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55" yWindow="285" windowWidth="25410" windowHeight="15150" tabRatio="851" firstSheet="0" activeTab="8"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Resources" sheetId="25" state="visible"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RCN">'Cost Approach'!$G$33</definedName>
    <definedName name="caRCNDeprec">'Cost Approach'!$G$46</definedName>
    <definedName name="Category">[3]OpActuals!$A:$A</definedName>
    <definedName name="caValue">'Cost Approach'!$G$51</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s>
  <calcPr calcId="191029" fullCalcOnLoad="1"/>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82">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s>
  <fills count="25">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37437055574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s>
  <borders count="82">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374370555742"/>
      </top>
      <bottom style="thin">
        <color theme="0" tint="-0.149937437055574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374370555742"/>
      </top>
      <bottom style="thin">
        <color theme="0" tint="-0.149937437055574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37437055574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374370555742"/>
      </bottom>
      <diagonal/>
    </border>
    <border>
      <left/>
      <right style="thin">
        <color indexed="64"/>
      </right>
      <top style="thin">
        <color indexed="64"/>
      </top>
      <bottom style="thin">
        <color theme="0" tint="-0.1499374370555742"/>
      </bottom>
      <diagonal/>
    </border>
    <border>
      <left/>
      <right style="thin">
        <color indexed="64"/>
      </right>
      <top style="thin">
        <color theme="0" tint="-0.1499374370555742"/>
      </top>
      <bottom style="thin">
        <color theme="0" tint="-0.1499374370555742"/>
      </bottom>
      <diagonal/>
    </border>
    <border>
      <left style="thin">
        <color indexed="64"/>
      </left>
      <right style="thin">
        <color indexed="64"/>
      </right>
      <top style="thin">
        <color theme="0" tint="-0.1499374370555742"/>
      </top>
      <bottom/>
      <diagonal/>
    </border>
    <border>
      <left/>
      <right/>
      <top style="thin">
        <color theme="0" tint="-0.1499374370555742"/>
      </top>
      <bottom style="thin">
        <color theme="0" tint="-0.249946592608417"/>
      </bottom>
      <diagonal/>
    </border>
    <border>
      <left/>
      <right style="thin">
        <color indexed="64"/>
      </right>
      <top style="thin">
        <color theme="0" tint="-0.149937437055574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374370555742"/>
      </bottom>
      <diagonal/>
    </border>
    <border>
      <left style="thin">
        <color indexed="64"/>
      </left>
      <right style="thin">
        <color indexed="64"/>
      </right>
      <top style="thin">
        <color theme="0" tint="-0.1499374370555742"/>
      </top>
      <bottom style="thin">
        <color theme="0" tint="-0.1499374370555742"/>
      </bottom>
      <diagonal/>
    </border>
    <border>
      <left style="thin">
        <color indexed="64"/>
      </left>
      <right style="thin">
        <color indexed="64"/>
      </right>
      <top style="thin">
        <color theme="0" tint="-0.149937437055574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374370555742"/>
      </top>
      <bottom/>
      <diagonal/>
    </border>
    <border>
      <left/>
      <right style="thin">
        <color indexed="64"/>
      </right>
      <top style="thin">
        <color theme="0" tint="-0.1499374370555742"/>
      </top>
      <bottom/>
      <diagonal/>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264">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77" fillId="0" borderId="0" pivotButton="0" quotePrefix="0" xfId="0"/>
    <xf numFmtId="0" fontId="0" fillId="0" borderId="0" pivotButton="0" quotePrefix="0" xfId="0"/>
    <xf numFmtId="0" fontId="58" fillId="9" borderId="0" applyAlignment="1" pivotButton="0" quotePrefix="0" xfId="0">
      <alignment horizontal="center"/>
    </xf>
    <xf numFmtId="0" fontId="76" fillId="16" borderId="0" applyAlignment="1" pivotButton="0" quotePrefix="0" xfId="0">
      <alignment horizontal="center"/>
    </xf>
    <xf numFmtId="0" fontId="5" fillId="23" borderId="0" applyAlignment="1" pivotButton="0" quotePrefix="0" xfId="0">
      <alignment horizontal="center"/>
    </xf>
    <xf numFmtId="0" fontId="78" fillId="16" borderId="0" applyAlignment="1" pivotButton="0" quotePrefix="0" xfId="0">
      <alignment horizontal="center"/>
    </xf>
    <xf numFmtId="171" fontId="32" fillId="6" borderId="0" applyAlignment="1" pivotButton="0" quotePrefix="0" xfId="4">
      <alignment horizontal="left" wrapText="1"/>
    </xf>
    <xf numFmtId="0" fontId="32" fillId="6" borderId="0" applyAlignment="1" pivotButton="0" quotePrefix="0" xfId="11">
      <alignment horizontal="left" vertical="center" wrapText="1"/>
    </xf>
    <xf numFmtId="0" fontId="32" fillId="6" borderId="0" applyAlignment="1" pivotButton="0" quotePrefix="0" xfId="11">
      <alignment horizontal="left" wrapText="1"/>
    </xf>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0" fontId="32" fillId="6" borderId="1" applyAlignment="1" pivotButton="0" quotePrefix="0" xfId="11">
      <alignment horizontal="left" wrapText="1"/>
    </xf>
    <xf numFmtId="0" fontId="0" fillId="0" borderId="1" pivotButton="0" quotePrefix="0" xfId="0"/>
    <xf numFmtId="0" fontId="48" fillId="6" borderId="0" applyAlignment="1" pivotButton="0" quotePrefix="0" xfId="0">
      <alignment horizontal="justify" vertical="top" wrapText="1"/>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0" fillId="5" borderId="0" applyAlignment="1" pivotButton="0" quotePrefix="0" xfId="0">
      <alignment horizontal="left" wrapText="1"/>
    </xf>
    <xf numFmtId="0" fontId="32" fillId="5" borderId="0" applyAlignment="1" pivotButton="0" quotePrefix="0" xfId="11">
      <alignment horizontal="left" wrapText="1"/>
    </xf>
    <xf numFmtId="0" fontId="18" fillId="5" borderId="1" applyAlignment="1" pivotButton="0" quotePrefix="0" xfId="0">
      <alignment horizontal="left"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1" fontId="32" fillId="6" borderId="0" applyAlignment="1" pivotButton="0" quotePrefix="0" xfId="11">
      <alignment horizontal="left" vertical="center" wrapText="1"/>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32" fillId="6" borderId="0" applyAlignment="1" pivotButton="0" quotePrefix="0" xfId="0">
      <alignment horizontal="left" vertical="center" wrapText="1"/>
    </xf>
    <xf numFmtId="0" fontId="0" fillId="5" borderId="1" applyAlignment="1" pivotButton="0" quotePrefix="0" xfId="0">
      <alignment horizontal="center"/>
    </xf>
    <xf numFmtId="0" fontId="18" fillId="5" borderId="0" applyAlignment="1" pivotButton="0" quotePrefix="0" xfId="0">
      <alignment horizontal="left" vertical="top"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179" fontId="47" fillId="5" borderId="0" applyAlignment="1" pivotButton="0" quotePrefix="0" xfId="11">
      <alignment horizontal="left" wrapText="1"/>
    </xf>
    <xf numFmtId="0" fontId="58" fillId="16" borderId="0" applyAlignment="1" pivotButton="0" quotePrefix="0" xfId="0">
      <alignment horizontal="center" vertical="top" wrapText="1"/>
    </xf>
    <xf numFmtId="0" fontId="48" fillId="5" borderId="0" applyAlignment="1" pivotButton="0" quotePrefix="0" xfId="0">
      <alignment horizontal="left"/>
    </xf>
    <xf numFmtId="0" fontId="55" fillId="19" borderId="47" applyAlignment="1" pivotButton="0" quotePrefix="0" xfId="0">
      <alignment horizontal="center"/>
    </xf>
    <xf numFmtId="0" fontId="0" fillId="0" borderId="47" pivotButton="0" quotePrefix="0" xfId="0"/>
    <xf numFmtId="10" fontId="48" fillId="6" borderId="5" applyAlignment="1" pivotButton="0" quotePrefix="0" xfId="4">
      <alignment horizontal="center"/>
    </xf>
    <xf numFmtId="0" fontId="0" fillId="0" borderId="5" pivotButton="0" quotePrefix="0" xfId="0"/>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5" borderId="1" applyAlignment="1" pivotButton="0" quotePrefix="0" xfId="11">
      <alignment horizontal="left" vertical="top" wrapText="1"/>
    </xf>
    <xf numFmtId="0" fontId="32" fillId="6" borderId="67"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9" fontId="32" fillId="6" borderId="0" applyAlignment="1" pivotButton="0" quotePrefix="0" xfId="4">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39" fillId="16" borderId="0" applyAlignment="1" pivotButton="0" quotePrefix="0" xfId="0">
      <alignment horizont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180" fontId="49" fillId="6" borderId="2" applyAlignment="1" pivotButton="0" quotePrefix="0" xfId="0">
      <alignment horizontal="right" vertical="center" justifyLastLine="1"/>
    </xf>
    <xf numFmtId="0" fontId="39" fillId="16" borderId="0" applyAlignment="1" pivotButton="0" quotePrefix="0" xfId="0">
      <alignment horizontal="center" vertic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48" fillId="6" borderId="0" applyAlignment="1" pivotButton="0" quotePrefix="0" xfId="0">
      <alignment horizontal="right" vertical="top" wrapText="1" justifyLastLine="1"/>
    </xf>
    <xf numFmtId="0" fontId="0" fillId="0" borderId="0" applyAlignment="1" pivotButton="0" quotePrefix="0" xfId="0">
      <alignment wrapText="1"/>
    </xf>
    <xf numFmtId="0" fontId="48" fillId="6" borderId="0" applyAlignment="1" pivotButton="0" quotePrefix="0" xfId="0">
      <alignment horizontal="right" vertical="top"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2" applyAlignment="1" pivotButton="0" quotePrefix="0" xfId="2">
      <alignment horizontal="right" vertical="center" justifyLastLine="1"/>
    </xf>
    <xf numFmtId="3" fontId="48" fillId="0" borderId="15" applyAlignment="1" pivotButton="0" quotePrefix="0" xfId="2">
      <alignment horizontal="right" vertical="center" justifyLastLine="1"/>
    </xf>
    <xf numFmtId="180" fontId="49" fillId="0" borderId="2" applyAlignment="1" pivotButton="0" quotePrefix="0" xfId="0">
      <alignment horizontal="right" vertical="center" justifyLastLine="1"/>
    </xf>
    <xf numFmtId="169" fontId="48" fillId="0" borderId="2" applyAlignment="1" pivotButton="0" quotePrefix="0" xfId="3">
      <alignment horizontal="right" vertical="center" justifyLastLine="1"/>
    </xf>
    <xf numFmtId="3" fontId="48" fillId="6" borderId="15" applyAlignment="1" pivotButton="0" quotePrefix="0" xfId="2">
      <alignment horizontal="right" vertical="top"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69" fontId="49" fillId="0" borderId="75" applyAlignment="1" pivotButton="0" quotePrefix="0" xfId="3">
      <alignment horizontal="right" vertical="center" wrapText="1" justifyLastLine="1"/>
    </xf>
    <xf numFmtId="0" fontId="0" fillId="0" borderId="41" pivotButton="0" quotePrefix="0" xfId="0"/>
    <xf numFmtId="168" fontId="48" fillId="0" borderId="15" applyAlignment="1" pivotButton="0" quotePrefix="0" xfId="2">
      <alignment horizontal="right" vertical="center"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169" fontId="49" fillId="6" borderId="75" applyAlignment="1" pivotButton="0" quotePrefix="0" xfId="3">
      <alignment horizontal="right" vertical="top" wrapText="1"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5" borderId="15" applyAlignment="1" pivotButton="0" quotePrefix="0" xfId="3">
      <alignment horizontal="center" vertical="center" wrapText="1"/>
    </xf>
    <xf numFmtId="3" fontId="41" fillId="0" borderId="15" applyAlignment="1" pivotButton="0" quotePrefix="0" xfId="0">
      <alignment horizontal="center" vertical="center" wrapText="1"/>
    </xf>
    <xf numFmtId="167" fontId="43" fillId="3" borderId="10" applyAlignment="1" pivotButton="0" quotePrefix="0" xfId="0">
      <alignment vertical="center" wrapText="1"/>
    </xf>
    <xf numFmtId="167" fontId="41" fillId="0" borderId="22" applyAlignment="1" pivotButton="0" quotePrefix="0" xfId="3">
      <alignment horizontal="center" vertical="center" wrapText="1"/>
    </xf>
    <xf numFmtId="180" fontId="41" fillId="0" borderId="15"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0" fontId="20" fillId="2" borderId="0" applyAlignment="1" pivotButton="0" quotePrefix="0" xfId="6">
      <alignment horizontal="center" vertical="top"/>
    </xf>
    <xf numFmtId="166" fontId="4" fillId="0" borderId="0" applyAlignment="1" pivotButton="0" quotePrefix="0" xfId="3">
      <alignment horizontal="center"/>
    </xf>
    <xf numFmtId="170" fontId="4" fillId="0" borderId="0" applyAlignment="1" pivotButton="0" quotePrefix="0" xfId="3">
      <alignment horizont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203" fontId="9" fillId="0" borderId="0" applyAlignment="1" pivotButton="0" quotePrefix="0" xfId="0">
      <alignment horizontal="left" vertical="top" wrapText="1"/>
    </xf>
    <xf numFmtId="170" fontId="4" fillId="0" borderId="0" applyAlignment="1" pivotButton="0" quotePrefix="0" xfId="3">
      <alignment horizontal="center" vertical="center"/>
    </xf>
    <xf numFmtId="166"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9" fillId="16" borderId="1" applyAlignment="1" pivotButton="0" quotePrefix="0" xfId="0">
      <alignment horizontal="center" vertical="center"/>
    </xf>
    <xf numFmtId="169" fontId="32" fillId="5" borderId="11" applyAlignment="1" pivotButton="0" quotePrefix="0" xfId="3">
      <alignment horizontal="right"/>
    </xf>
    <xf numFmtId="0" fontId="40" fillId="16" borderId="46" applyAlignment="1" pivotButton="0" quotePrefix="0" xfId="0">
      <alignment horizontal="center" vertical="center" wrapText="1"/>
    </xf>
    <xf numFmtId="193" fontId="32" fillId="0" borderId="0" pivotButton="0" quotePrefix="0" xfId="3"/>
    <xf numFmtId="0" fontId="0" fillId="0" borderId="46" pivotButton="0" quotePrefix="0" xfId="0"/>
    <xf numFmtId="0" fontId="32" fillId="5" borderId="0" applyAlignment="1" pivotButton="0" quotePrefix="0" xfId="0">
      <alignment horizontal="left" wrapText="1"/>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0" fontId="21" fillId="16" borderId="0" applyAlignment="1" pivotButton="0" quotePrefix="0" xfId="0">
      <alignment horizontal="center" vertical="center"/>
    </xf>
    <xf numFmtId="0" fontId="32" fillId="3" borderId="11" applyAlignment="1" pivotButton="0" quotePrefix="0" xfId="0">
      <alignment horizontal="left"/>
    </xf>
    <xf numFmtId="169" fontId="32" fillId="3" borderId="9" applyAlignment="1" pivotButton="0" quotePrefix="0" xfId="3">
      <alignment horizontal="right"/>
    </xf>
    <xf numFmtId="170" fontId="50" fillId="3" borderId="9" applyAlignment="1" pivotButton="0" quotePrefix="0" xfId="0">
      <alignment horizontal="center"/>
    </xf>
    <xf numFmtId="170" fontId="47" fillId="0" borderId="11" applyAlignment="1" pivotButton="0" quotePrefix="0" xfId="0">
      <alignment horizontal="center"/>
    </xf>
    <xf numFmtId="0" fontId="21" fillId="17" borderId="1" applyAlignment="1" pivotButton="0" quotePrefix="0" xfId="0">
      <alignment horizontal="center"/>
    </xf>
    <xf numFmtId="0" fontId="5" fillId="0" borderId="9" applyAlignment="1" pivotButton="0" quotePrefix="0" xfId="0">
      <alignment horizontal="center"/>
    </xf>
    <xf numFmtId="170" fontId="47" fillId="0" borderId="1" applyAlignment="1" pivotButton="0" quotePrefix="0" xfId="0">
      <alignment horizontal="center"/>
    </xf>
    <xf numFmtId="170" fontId="47" fillId="0" borderId="0" applyAlignment="1" pivotButton="0" quotePrefix="0" xfId="0">
      <alignment horizontal="center"/>
    </xf>
    <xf numFmtId="170" fontId="50" fillId="3" borderId="9" applyAlignment="1" pivotButton="0" quotePrefix="0" xfId="0">
      <alignment horizontal="center" vertical="center"/>
    </xf>
    <xf numFmtId="170" fontId="50" fillId="0" borderId="9" applyAlignment="1" pivotButton="0" quotePrefix="0" xfId="0">
      <alignment horizontal="center"/>
    </xf>
    <xf numFmtId="10" fontId="32" fillId="5" borderId="0" applyAlignment="1" pivotButton="0" quotePrefix="0" xfId="4">
      <alignment horizontal="right" vertical="top"/>
    </xf>
    <xf numFmtId="10" fontId="34" fillId="3" borderId="9" applyAlignment="1" pivotButton="0" quotePrefix="0" xfId="4">
      <alignment horizontal="right"/>
    </xf>
    <xf numFmtId="169" fontId="32" fillId="0" borderId="0" applyAlignment="1" pivotButton="0" quotePrefix="0" xfId="3">
      <alignment horizontal="right"/>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39" fillId="15" borderId="0" applyAlignment="1" pivotButton="0" quotePrefix="0" xfId="0">
      <alignment horizontal="center"/>
    </xf>
    <xf numFmtId="0" fontId="34" fillId="3" borderId="1" applyAlignment="1" pivotButton="0" quotePrefix="0" xfId="0">
      <alignment horizontal="left"/>
    </xf>
    <xf numFmtId="169" fontId="32" fillId="0" borderId="9" applyAlignment="1" pivotButton="0" quotePrefix="0" xfId="3">
      <alignment horizontal="right"/>
    </xf>
    <xf numFmtId="10" fontId="32" fillId="5" borderId="1" applyAlignment="1" pivotButton="0" quotePrefix="0" xfId="4">
      <alignment horizontal="right" vertical="top"/>
    </xf>
    <xf numFmtId="10" fontId="34" fillId="3" borderId="1" applyAlignment="1" pivotButton="0" quotePrefix="0" xfId="4">
      <alignment horizontal="right"/>
    </xf>
    <xf numFmtId="0" fontId="39" fillId="16" borderId="0" applyAlignment="1" pivotButton="0" quotePrefix="0" xfId="0">
      <alignment horizontal="center"/>
    </xf>
    <xf numFmtId="10" fontId="39" fillId="15" borderId="0" applyAlignment="1" pivotButton="0" quotePrefix="0" xfId="4">
      <alignment horizontal="right"/>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0">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externalLink" Target="/xl/externalLinks/externalLink1.xml" Id="rId26" /><Relationship Type="http://schemas.openxmlformats.org/officeDocument/2006/relationships/externalLink" Target="/xl/externalLinks/externalLink2.xml" Id="rId27" /><Relationship Type="http://schemas.openxmlformats.org/officeDocument/2006/relationships/externalLink" Target="/xl/externalLinks/externalLink3.xml" Id="rId28" /><Relationship Type="http://schemas.openxmlformats.org/officeDocument/2006/relationships/externalLink" Target="/xl/externalLinks/externalLink4.xml" Id="rId29" /><Relationship Type="http://schemas.openxmlformats.org/officeDocument/2006/relationships/externalLink" Target="/xl/externalLinks/externalLink5.xml" Id="rId30" /><Relationship Type="http://schemas.openxmlformats.org/officeDocument/2006/relationships/externalLink" Target="/xl/externalLinks/externalLink6.xml" Id="rId31" /><Relationship Type="http://schemas.openxmlformats.org/officeDocument/2006/relationships/externalLink" Target="/xl/externalLinks/externalLink7.xml" Id="rId32" /><Relationship Type="http://schemas.openxmlformats.org/officeDocument/2006/relationships/externalLink" Target="/xl/externalLinks/externalLink8.xml" Id="rId33" /><Relationship Type="http://schemas.openxmlformats.org/officeDocument/2006/relationships/externalLink" Target="/xl/externalLinks/externalLink9.xml" Id="rId34" /><Relationship Type="http://schemas.openxmlformats.org/officeDocument/2006/relationships/externalLink" Target="/xl/externalLinks/externalLink10.xml" Id="rId35" /><Relationship Type="http://schemas.openxmlformats.org/officeDocument/2006/relationships/externalLink" Target="/xl/externalLinks/externalLink11.xml" Id="rId36" /><Relationship Type="http://schemas.openxmlformats.org/officeDocument/2006/relationships/externalLink" Target="/xl/externalLinks/externalLink12.xml" Id="rId37" /><Relationship Type="http://schemas.openxmlformats.org/officeDocument/2006/relationships/externalLink" Target="/xl/externalLinks/externalLink13.xml" Id="rId38" /><Relationship Type="http://schemas.openxmlformats.org/officeDocument/2006/relationships/externalLink" Target="/xl/externalLinks/externalLink14.xml" Id="rId39" /><Relationship Type="http://schemas.openxmlformats.org/officeDocument/2006/relationships/styles" Target="styles.xml" Id="rId40" /><Relationship Type="http://schemas.openxmlformats.org/officeDocument/2006/relationships/theme" Target="theme/theme1.xml" Id="rId41" /></Relationships>
</file>

<file path=xl/comments/comment1.xml><?xml version="1.0" encoding="utf-8"?>
<comments xmlns="http://schemas.openxmlformats.org/spreadsheetml/2006/main">
  <authors>
    <author>Auto-Calc</author>
  </authors>
  <commentList>
    <comment ref="C8" authorId="0" shapeId="0">
      <text>
        <t>Source: MVS Sec.99 p.7 (Jan 2025). Drives LAM auto-lookup in C19.</t>
      </text>
    </comment>
    <comment ref="C14" authorId="0" shapeId="0">
      <text>
        <t>Formula: INDEX/MATCH from TABLE A (406) or TABLE F (407). Key = Class~Quality. Source: MVS Sec.14 (Feb 2024).</t>
      </text>
    </comment>
    <comment ref="C15" authorId="0" shapeId="0">
      <text>
        <t>Formula: INDEX/MATCH from TABLE D. Uses floor coverage band (not interpolated). Source: MVS Sec.14 p.37 (Feb 2024).</t>
      </text>
    </comment>
    <comment ref="H15" authorId="0" shapeId="0">
      <text>
        <t>Input: sprinkler tier used with building area (C10) to auto-calc C15.</t>
      </text>
    </comment>
    <comment ref="C18" authorId="0" shapeId="0">
      <text>
        <t>Formula: Looks up EASTERN region row (row 81) from TABLE C using class. Source: MVS Sec.99 p.3 (Jan 2025).</t>
      </text>
    </comment>
    <comment ref="C19" authorId="0" shapeId="0">
      <text>
        <t>Formula: INDEX/MATCH from TABLE C2 using city (C8) and class. Source: MVS Sec.99 p.7 (Jan 2025).</t>
      </text>
    </comment>
    <comment ref="C22" authorId="0" shapeId="0">
      <text>
        <t>Formula: VLOOKUP (approximate match) from TABLE G using eave height (G22). Source: MVS Sec.14 p.39 (Feb 2024).</t>
      </text>
    </comment>
    <comment ref="G22" authorId="0" shapeId="0">
      <text>
        <t>Input: Enter average eave height in feet. Used to auto-calculate story height multiplier (C22). Base height = 14 ft; common values: 14, 16, 18, 20, 24, 30, 40 ft.</t>
      </text>
    </comment>
    <comment ref="A114" authorId="0" shapeId="0">
      <text>
        <t>NOTE: Values are space-heater configuration. B Average / C Average / C Good ordering may differ from prior editions — verify against physical MVS Sec.14 p.23 if unusual. D-class and additional S-class entries not yet extracted.</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t="str"/>
        </row>
        <row r="23">
          <cell r="C23" t="str"/>
        </row>
        <row r="27">
          <cell r="C27">
            <v>0</v>
          </cell>
        </row>
        <row r="28">
          <cell r="C28" t="str">
            <v>Manual fill.</v>
          </cell>
        </row>
        <row r="29">
          <cell r="C29" t="str">
            <v>N/R</v>
          </cell>
        </row>
        <row r="30">
          <cell r="C30">
            <v>0</v>
          </cell>
        </row>
        <row r="31">
          <cell r="C31">
            <v>0.18029073080825908</v>
          </cell>
        </row>
        <row r="35">
          <cell r="C35" t="str">
            <v>Manual Entry</v>
          </cell>
        </row>
        <row r="37">
          <cell r="C37" t="str"/>
        </row>
        <row r="38">
          <cell r="C38" t="str"/>
        </row>
        <row r="39">
          <cell r="C39" t="str">
            <v>Manual fill.</v>
          </cell>
        </row>
        <row r="40">
          <cell r="C40" t="str"/>
        </row>
        <row r="41">
          <cell r="C41" t="str"/>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t="str"/>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30"/>
  <sheetViews>
    <sheetView topLeftCell="A3" zoomScale="120" zoomScaleNormal="120" workbookViewId="0">
      <selection activeCell="F31" sqref="F31"/>
    </sheetView>
  </sheetViews>
  <sheetFormatPr baseColWidth="8" defaultRowHeight="15"/>
  <cols>
    <col width="24.42578125" bestFit="1" customWidth="1" style="1439" min="1" max="1"/>
    <col width="35.7109375" bestFit="1" customWidth="1" style="1439" min="2" max="2"/>
    <col width="17.140625" customWidth="1" style="1439" min="3" max="3"/>
    <col width="18.28515625" customWidth="1" style="1439" min="6" max="6"/>
    <col width="32.42578125" bestFit="1" customWidth="1" style="1439" min="7" max="7"/>
  </cols>
  <sheetData>
    <row r="1">
      <c r="A1" t="inlineStr">
        <is>
          <t>Account</t>
        </is>
      </c>
      <c r="B1" s="1136" t="inlineStr">
        <is>
          <t>R0118932</t>
        </is>
      </c>
      <c r="E1" s="1236" t="n"/>
      <c r="F1" s="1237" t="n"/>
      <c r="G1" s="1246" t="inlineStr">
        <is>
          <t>Fill in Highlighted Fields</t>
        </is>
      </c>
    </row>
    <row r="2" ht="15.75" customHeight="1" s="1439" thickBot="1">
      <c r="A2" t="inlineStr">
        <is>
          <t>Occ. Code</t>
        </is>
      </c>
      <c r="B2" s="1137" t="n">
        <v>407</v>
      </c>
      <c r="E2" s="1239" t="n"/>
      <c r="F2" s="362" t="n"/>
      <c r="G2" s="1234" t="inlineStr">
        <is>
          <t>DO NOT UPDATE CELLS IN THIS BOX</t>
        </is>
      </c>
    </row>
    <row r="3">
      <c r="A3" t="inlineStr">
        <is>
          <t>Number of Buildings</t>
        </is>
      </c>
      <c r="B3" s="1137" t="n">
        <v>1</v>
      </c>
      <c r="E3" s="1239" t="n"/>
      <c r="F3" s="362" t="n"/>
      <c r="G3" s="1241" t="n"/>
    </row>
    <row r="4">
      <c r="A4" t="inlineStr">
        <is>
          <t>GBA</t>
        </is>
      </c>
      <c r="B4" s="1138" t="n">
        <v>187720</v>
      </c>
      <c r="E4" s="1239" t="n"/>
      <c r="F4" s="362" t="n"/>
      <c r="G4" s="1242" t="n"/>
    </row>
    <row r="5">
      <c r="A5" t="inlineStr">
        <is>
          <t>Footprint</t>
        </is>
      </c>
      <c r="B5" s="1138" t="n">
        <v>33950</v>
      </c>
      <c r="E5" s="1239" t="n"/>
      <c r="F5" s="362" t="n"/>
      <c r="G5" s="1242" t="n"/>
    </row>
    <row r="6">
      <c r="A6" t="inlineStr">
        <is>
          <t>NRA</t>
        </is>
      </c>
      <c r="B6" s="1138" t="n">
        <v>33750</v>
      </c>
      <c r="E6" s="1239" t="n"/>
      <c r="F6" s="362" t="n"/>
      <c r="G6" s="1242" t="n"/>
    </row>
    <row r="7">
      <c r="A7" t="inlineStr">
        <is>
          <t>SF Basis</t>
        </is>
      </c>
      <c r="B7" s="1138" t="inlineStr">
        <is>
          <t>GBA</t>
        </is>
      </c>
      <c r="C7" t="inlineStr">
        <is>
          <t>←Dropdown</t>
        </is>
      </c>
      <c r="E7" s="1239" t="inlineStr">
        <is>
          <t>GBA</t>
        </is>
      </c>
      <c r="F7" s="362" t="inlineStr">
        <is>
          <t>Gross Building Area</t>
        </is>
      </c>
      <c r="G7" s="1242" t="n"/>
    </row>
    <row r="8">
      <c r="A8" t="inlineStr">
        <is>
          <t>Year Built</t>
        </is>
      </c>
      <c r="B8" s="1136" t="n">
        <v>1999</v>
      </c>
      <c r="E8" s="1239" t="inlineStr">
        <is>
          <t>NRA</t>
        </is>
      </c>
      <c r="F8" s="362" t="inlineStr">
        <is>
          <t>Net Renatable Area</t>
        </is>
      </c>
      <c r="G8" s="1242" t="n"/>
    </row>
    <row r="9">
      <c r="A9" t="inlineStr">
        <is>
          <t>Condition</t>
        </is>
      </c>
      <c r="B9" s="1136" t="inlineStr">
        <is>
          <t>Average</t>
        </is>
      </c>
      <c r="E9" s="1239" t="inlineStr">
        <is>
          <t>GLA</t>
        </is>
      </c>
      <c r="F9" s="362" t="inlineStr">
        <is>
          <t>Gross Leasable Area</t>
        </is>
      </c>
      <c r="G9" s="1242" t="n"/>
    </row>
    <row r="10">
      <c r="A10" t="inlineStr">
        <is>
          <t>Year/Condition</t>
        </is>
      </c>
      <c r="B10" s="1139" t="inlineStr">
        <is>
          <t>1999/Average</t>
        </is>
      </c>
      <c r="E10" s="1239" t="n"/>
      <c r="F10" s="362" t="n"/>
      <c r="G10" s="1242" t="n"/>
    </row>
    <row r="11">
      <c r="A11" t="inlineStr">
        <is>
          <t>Site Size</t>
        </is>
      </c>
      <c r="B11" s="1138" t="n">
        <v>108316</v>
      </c>
      <c r="E11" s="1239" t="n"/>
      <c r="F11" s="362" t="n"/>
      <c r="G11" s="1242" t="n"/>
    </row>
    <row r="12" ht="15.75" customHeight="1" s="1439" thickBot="1">
      <c r="A12" t="inlineStr">
        <is>
          <t>Acres</t>
        </is>
      </c>
      <c r="B12" s="732">
        <f>B11/43560</f>
        <v/>
      </c>
      <c r="E12" s="1243" t="n"/>
      <c r="F12" s="1244" t="n"/>
      <c r="G12" s="1245" t="n"/>
    </row>
    <row r="13">
      <c r="A13" t="inlineStr">
        <is>
          <t>Coverage Ratio</t>
        </is>
      </c>
      <c r="B13" s="733">
        <f>B5/B11</f>
        <v/>
      </c>
      <c r="E13" s="1550" t="n"/>
      <c r="F13" s="1550" t="n"/>
      <c r="G13" s="1550" t="n"/>
    </row>
    <row r="14">
      <c r="A14" t="inlineStr">
        <is>
          <t>Office %</t>
        </is>
      </c>
      <c r="B14" s="1141" t="n">
        <v>0.052</v>
      </c>
      <c r="E14" s="1550" t="n"/>
      <c r="F14" s="1550" t="n"/>
      <c r="G14" s="1550" t="n"/>
    </row>
    <row r="15">
      <c r="A15" t="inlineStr">
        <is>
          <t>Type</t>
        </is>
      </c>
      <c r="B15" s="1136" t="inlineStr">
        <is>
          <t>Distribution Warehouse</t>
        </is>
      </c>
      <c r="E15" s="1550" t="n"/>
      <c r="F15" s="1550" t="n"/>
      <c r="G15" s="1550" t="n"/>
    </row>
    <row r="16">
      <c r="A16" t="inlineStr">
        <is>
          <t>Address</t>
        </is>
      </c>
      <c r="B16" s="1136" t="inlineStr">
        <is>
          <t>6245  Washington Street</t>
        </is>
      </c>
      <c r="E16" s="1550" t="n"/>
      <c r="F16" s="1550" t="n"/>
      <c r="G16" s="1550" t="n"/>
    </row>
    <row r="17">
      <c r="A17" t="inlineStr">
        <is>
          <t>City</t>
        </is>
      </c>
      <c r="B17" s="1136" t="inlineStr">
        <is>
          <t>Unincorporated Adams County, CO</t>
        </is>
      </c>
      <c r="E17" s="1550" t="n"/>
      <c r="F17" s="1550" t="n"/>
      <c r="G17" s="1550" t="n"/>
    </row>
    <row r="18">
      <c r="A18" t="inlineStr">
        <is>
          <t>County</t>
        </is>
      </c>
      <c r="B18" s="465" t="inlineStr">
        <is>
          <t>Adams County</t>
        </is>
      </c>
      <c r="E18" s="1550" t="n"/>
      <c r="F18" s="1550" t="n"/>
      <c r="G18" s="1550" t="n"/>
    </row>
    <row r="19">
      <c r="A19" t="inlineStr">
        <is>
          <t>Assumed Occupancy</t>
        </is>
      </c>
      <c r="B19" s="1141" t="n">
        <v>1</v>
      </c>
      <c r="E19" s="1550" t="n"/>
      <c r="F19" s="1550" t="n"/>
      <c r="G19" s="1550" t="n"/>
    </row>
    <row r="20">
      <c r="A20" t="inlineStr">
        <is>
          <t>Assessor's Assigned Value</t>
        </is>
      </c>
      <c r="B20" s="1690" t="n">
        <v>3916200</v>
      </c>
      <c r="C20" s="1691" t="n"/>
      <c r="D20" s="1692" t="n"/>
      <c r="E20" s="1247" t="n"/>
      <c r="F20" s="1550" t="n"/>
      <c r="G20" s="1550" t="n"/>
    </row>
    <row r="21">
      <c r="A21" t="inlineStr">
        <is>
          <t>Petitioner's Value</t>
        </is>
      </c>
      <c r="B21" s="1690" t="n">
        <v>3060000</v>
      </c>
      <c r="C21" s="1691" t="n"/>
      <c r="E21" s="1550" t="n"/>
      <c r="F21" s="1550" t="n"/>
      <c r="G21" s="1550" t="n"/>
    </row>
    <row r="22">
      <c r="A22" t="inlineStr">
        <is>
          <t>Recent Sale Date</t>
        </is>
      </c>
      <c r="B22" s="1143" t="n">
        <v>42675</v>
      </c>
      <c r="E22" s="1550" t="n"/>
      <c r="F22" s="1550" t="n"/>
      <c r="G22" s="1550" t="n"/>
    </row>
    <row r="23">
      <c r="A23" t="inlineStr">
        <is>
          <t>Recent Sale Price</t>
        </is>
      </c>
      <c r="B23" s="1690" t="n">
        <v>2880000</v>
      </c>
      <c r="C23" s="1691" t="n"/>
      <c r="E23" s="1550" t="n"/>
      <c r="F23" s="1550" t="n"/>
      <c r="G23" s="1550" t="n"/>
    </row>
    <row r="24">
      <c r="A24" t="inlineStr">
        <is>
          <t>Sale Type</t>
        </is>
      </c>
      <c r="B24" s="1136" t="inlineStr">
        <is>
          <t>Investment</t>
        </is>
      </c>
      <c r="E24" s="1550" t="n"/>
      <c r="F24" s="1550" t="n"/>
      <c r="G24" s="1550" t="n"/>
    </row>
    <row r="25">
      <c r="A25" t="inlineStr">
        <is>
          <t>Value Premise</t>
        </is>
      </c>
      <c r="B25" s="1693" t="inlineStr">
        <is>
          <t>Fee Simple</t>
        </is>
      </c>
      <c r="E25" s="1550" t="n"/>
      <c r="F25" s="1550" t="n"/>
      <c r="G25" s="1550" t="n"/>
    </row>
    <row r="26">
      <c r="A26" t="inlineStr">
        <is>
          <t>Date of Value</t>
        </is>
      </c>
      <c r="B26" s="1143" t="n">
        <v>44012</v>
      </c>
    </row>
    <row r="27">
      <c r="A27" t="inlineStr">
        <is>
          <t>Report Date</t>
        </is>
      </c>
      <c r="B27" s="1143" t="n">
        <v>45127</v>
      </c>
    </row>
    <row r="28">
      <c r="A28" t="inlineStr">
        <is>
          <t>Hearing Date</t>
        </is>
      </c>
      <c r="B28" s="1144" t="n">
        <v>45192</v>
      </c>
    </row>
    <row r="29">
      <c r="A29" t="inlineStr">
        <is>
          <t>Zoning</t>
        </is>
      </c>
      <c r="B29" s="1140" t="inlineStr">
        <is>
          <t>I-1 (Light Industrial)</t>
        </is>
      </c>
    </row>
    <row r="30">
      <c r="A30" t="inlineStr">
        <is>
          <t>Zoning Authority</t>
        </is>
      </c>
      <c r="B30" s="1140" t="inlineStr">
        <is>
          <t>Adams County</t>
        </is>
      </c>
    </row>
  </sheetData>
  <dataValidations count="1">
    <dataValidation sqref="B7" showDropDown="0" showInputMessage="1" showErrorMessage="1" allowBlank="1" type="list">
      <formula1>$E$7:$E$9</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0" min="1" max="1"/>
    <col width="33.85546875" bestFit="1" customWidth="1" style="1439" min="2" max="2"/>
    <col width="51" customWidth="1" style="1439" min="3" max="3"/>
    <col width="33.42578125" customWidth="1" style="1439" min="4" max="4"/>
    <col width="13" bestFit="1" customWidth="1" style="1439" min="5" max="5"/>
    <col width="12.140625" customWidth="1" style="1439" min="6" max="6"/>
    <col width="33.7109375" customWidth="1" style="1439" min="7" max="7"/>
    <col width="11.140625" customWidth="1" style="1439" min="8" max="12"/>
    <col width="43.85546875" bestFit="1" customWidth="1" style="1439" min="13" max="13"/>
    <col width="14.28515625" customWidth="1" style="1439" min="14" max="16"/>
    <col width="27.7109375" customWidth="1" style="1439" min="17" max="17"/>
    <col width="38.28515625" customWidth="1" style="1439" min="18" max="18"/>
    <col width="57.5703125" customWidth="1" style="1439" min="19" max="19"/>
    <col width="27.140625" customWidth="1" style="1439" min="20" max="20"/>
    <col width="29.28515625" customWidth="1" style="1439" min="21" max="21"/>
    <col width="12" bestFit="1" customWidth="1" style="1439" min="22" max="22"/>
    <col width="10.28515625" customWidth="1" style="1439" min="23" max="23"/>
    <col width="6.28515625" customWidth="1" style="1439" min="24" max="24"/>
    <col width="26.85546875" bestFit="1" customWidth="1" style="1439" min="25" max="25"/>
    <col width="16.42578125" customWidth="1" style="1439" min="26" max="28"/>
    <col width="30.28515625" customWidth="1" style="1439" min="29" max="29"/>
    <col width="15" customWidth="1" style="1439" min="30" max="32"/>
    <col width="25.28515625" bestFit="1" customWidth="1" style="1439" min="33" max="33"/>
    <col width="6.7109375" bestFit="1" customWidth="1" style="1439" min="34" max="34"/>
    <col width="21.140625" customWidth="1" style="1439" min="35" max="36"/>
  </cols>
  <sheetData>
    <row r="1" customFormat="1" s="1450">
      <c r="A1" s="1450" t="inlineStr">
        <is>
          <t>Note:</t>
        </is>
      </c>
      <c r="B1" s="1450" t="inlineStr">
        <is>
          <t>FILL ONLY HIGHLIGHTED CELLS</t>
        </is>
      </c>
    </row>
    <row r="2" customFormat="1" s="1450"/>
    <row r="3">
      <c r="B3" s="1465" t="inlineStr">
        <is>
          <t>EXECUTIVE SUMMARY</t>
        </is>
      </c>
      <c r="D3" s="1450" t="n"/>
      <c r="E3" s="1450" t="n"/>
      <c r="F3" s="1450" t="n"/>
      <c r="G3" s="1450" t="n"/>
      <c r="H3" s="1450" t="n"/>
      <c r="I3" s="1450" t="n"/>
      <c r="J3" s="1450" t="n"/>
      <c r="K3" s="1450" t="n"/>
      <c r="L3" s="1450" t="n"/>
      <c r="M3" s="1450" t="n"/>
      <c r="N3" s="1450" t="n"/>
      <c r="O3" s="1450" t="n"/>
      <c r="P3" s="1450" t="n"/>
      <c r="Q3" s="1450" t="n"/>
      <c r="R3" s="1450" t="n"/>
      <c r="S3" s="1450" t="n"/>
      <c r="T3" s="1450" t="n"/>
    </row>
    <row r="4">
      <c r="B4" s="1152" t="inlineStr">
        <is>
          <t>Account Number</t>
        </is>
      </c>
      <c r="C4" s="1153">
        <f>'Property Info'!B1</f>
        <v/>
      </c>
      <c r="D4" s="1450" t="n"/>
      <c r="E4" s="1450" t="n"/>
      <c r="F4" s="1450" t="n"/>
      <c r="G4" s="1450" t="n"/>
      <c r="H4" s="1450" t="n"/>
      <c r="I4" s="1450" t="n"/>
      <c r="J4" s="1450" t="n"/>
      <c r="K4" s="1450" t="n"/>
      <c r="L4" s="1450" t="n"/>
      <c r="M4" s="1450" t="n"/>
      <c r="N4" s="1450" t="n"/>
      <c r="O4" s="1450" t="n"/>
      <c r="P4" s="1450" t="n"/>
      <c r="Q4" s="1450" t="n"/>
      <c r="R4" s="1450" t="n"/>
      <c r="S4" s="1450" t="n"/>
      <c r="T4" s="1450" t="n"/>
    </row>
    <row r="5">
      <c r="B5" s="1152" t="inlineStr">
        <is>
          <t>Address</t>
        </is>
      </c>
      <c r="C5" s="1153">
        <f>'Property Info'!B16</f>
        <v/>
      </c>
      <c r="D5" s="1450" t="n"/>
      <c r="E5" s="1450" t="n"/>
      <c r="F5" s="1450" t="n"/>
      <c r="G5" s="1450" t="n"/>
      <c r="H5" s="1450" t="n"/>
      <c r="I5" s="1450" t="n"/>
      <c r="J5" s="1450" t="n"/>
      <c r="K5" s="1450" t="n"/>
      <c r="L5" s="1450" t="n"/>
      <c r="M5" s="1450" t="n"/>
      <c r="N5" s="1450" t="n"/>
      <c r="O5" s="1450" t="n"/>
      <c r="P5" s="1450" t="n"/>
      <c r="Q5" s="1450" t="n"/>
      <c r="R5" s="1450" t="n"/>
      <c r="S5" s="1450" t="n"/>
      <c r="T5" s="1450" t="n"/>
    </row>
    <row r="6">
      <c r="B6" s="1152" t="inlineStr">
        <is>
          <t>County</t>
        </is>
      </c>
      <c r="C6" s="1153">
        <f>'Property Info'!B18</f>
        <v/>
      </c>
      <c r="D6" s="1450" t="n"/>
      <c r="E6" s="1450" t="n"/>
      <c r="F6" s="1450" t="n"/>
      <c r="G6" s="1450" t="n"/>
      <c r="H6" s="1450" t="n"/>
      <c r="I6" s="1450" t="n"/>
      <c r="J6" s="1450" t="n"/>
      <c r="K6" s="1450" t="n"/>
      <c r="L6" s="1450" t="n"/>
      <c r="M6" s="1450" t="n"/>
      <c r="N6" s="1450" t="n"/>
      <c r="O6" s="1450" t="n"/>
      <c r="P6" s="1450" t="n"/>
      <c r="Q6" s="1450" t="n"/>
      <c r="R6" s="1450" t="n"/>
      <c r="S6" s="1450" t="n"/>
      <c r="T6" s="1450" t="n"/>
    </row>
    <row r="7">
      <c r="B7" s="1152" t="inlineStr">
        <is>
          <t>City, State</t>
        </is>
      </c>
      <c r="C7" s="1153">
        <f>'Property Info'!B17</f>
        <v/>
      </c>
      <c r="D7" s="1450" t="n"/>
      <c r="E7" s="1450" t="n"/>
      <c r="F7" s="1450" t="n"/>
      <c r="G7" s="1450" t="n"/>
      <c r="H7" s="1450" t="n"/>
      <c r="I7" s="1450" t="n"/>
      <c r="J7" s="1450" t="n"/>
      <c r="K7" s="1450" t="n"/>
      <c r="L7" s="1450" t="n"/>
      <c r="M7" s="1450" t="n"/>
      <c r="N7" s="1450" t="n"/>
      <c r="O7" s="1450" t="n"/>
      <c r="P7" s="1450" t="n"/>
      <c r="Q7" s="1450" t="n"/>
      <c r="R7" s="1450" t="n"/>
      <c r="S7" s="1450" t="n"/>
      <c r="T7" s="1450" t="n"/>
    </row>
    <row r="8">
      <c r="B8" s="1152" t="inlineStr">
        <is>
          <t>Effective Date</t>
        </is>
      </c>
      <c r="C8" s="1694">
        <f>'Property Info'!B26</f>
        <v/>
      </c>
      <c r="D8" s="1450" t="n"/>
      <c r="E8" s="1450" t="n"/>
      <c r="F8" s="1450" t="n"/>
      <c r="G8" s="1450" t="n"/>
      <c r="H8" s="1450" t="n"/>
      <c r="I8" s="1450" t="n"/>
      <c r="J8" s="1450" t="n"/>
      <c r="K8" s="1450" t="n"/>
      <c r="L8" s="1450" t="n"/>
      <c r="M8" s="1450" t="n"/>
      <c r="N8" s="1450" t="n"/>
      <c r="O8" s="1450" t="n"/>
      <c r="P8" s="1450" t="n"/>
      <c r="Q8" s="1450" t="n"/>
      <c r="R8" s="1450" t="n"/>
      <c r="S8" s="1450" t="n"/>
      <c r="T8" s="1450" t="n"/>
    </row>
    <row r="9">
      <c r="B9" s="1152" t="inlineStr">
        <is>
          <t>Appraisal Date</t>
        </is>
      </c>
      <c r="C9" s="1694">
        <f>'Property Info'!B27</f>
        <v/>
      </c>
      <c r="D9" s="1450" t="n"/>
      <c r="E9" s="1450" t="n"/>
      <c r="F9" s="1450" t="n"/>
      <c r="G9" s="1450" t="n"/>
      <c r="H9" s="1450" t="n"/>
      <c r="I9" s="1450" t="n"/>
      <c r="J9" s="1450" t="n"/>
      <c r="K9" s="1450" t="n"/>
      <c r="L9" s="1450" t="n"/>
      <c r="M9" s="1450" t="n"/>
      <c r="N9" s="1450" t="n"/>
      <c r="O9" s="1450" t="n"/>
      <c r="P9" s="1450" t="n"/>
      <c r="Q9" s="1450" t="n"/>
      <c r="R9" s="1450" t="n"/>
      <c r="S9" s="1450" t="n"/>
      <c r="T9" s="1450" t="n"/>
    </row>
    <row r="10">
      <c r="B10" s="1152" t="inlineStr">
        <is>
          <t>Hearing Date</t>
        </is>
      </c>
      <c r="C10" s="1694">
        <f>'Property Info'!B28</f>
        <v/>
      </c>
      <c r="D10" s="1450" t="n"/>
      <c r="E10" s="1450" t="n"/>
      <c r="F10" s="1450" t="n"/>
      <c r="G10" s="1450" t="n"/>
      <c r="H10" s="1450" t="n"/>
      <c r="I10" s="1450" t="n"/>
      <c r="J10" s="1450" t="n"/>
      <c r="K10" s="1450" t="n"/>
      <c r="L10" s="1450" t="n"/>
      <c r="M10" s="1450" t="n"/>
      <c r="N10" s="1450" t="n"/>
      <c r="O10" s="1450" t="n"/>
      <c r="P10" s="1450" t="n"/>
      <c r="Q10" s="1450" t="n"/>
      <c r="R10" s="1450" t="n"/>
      <c r="S10" s="1450" t="n"/>
      <c r="T10" s="1450" t="n"/>
    </row>
    <row r="11" ht="2.25" customHeight="1" s="1439">
      <c r="B11" s="1155" t="n"/>
      <c r="C11" s="1156" t="n"/>
      <c r="D11" s="1450" t="n"/>
      <c r="E11" s="1450" t="n"/>
      <c r="F11" s="1450" t="n"/>
      <c r="G11" s="1450" t="n"/>
      <c r="H11" s="1450" t="n"/>
      <c r="I11" s="1450" t="n"/>
      <c r="J11" s="1450" t="n"/>
      <c r="K11" s="1450" t="n"/>
      <c r="L11" s="1450" t="n"/>
      <c r="M11" s="1450" t="n"/>
      <c r="N11" s="1450" t="n"/>
      <c r="O11" s="1450" t="n"/>
      <c r="P11" s="1450" t="n"/>
      <c r="Q11" s="1450" t="n"/>
      <c r="R11" s="1450" t="n"/>
      <c r="S11" s="1450" t="n"/>
      <c r="T11" s="1450" t="n"/>
    </row>
    <row r="12">
      <c r="B12" s="1152" t="inlineStr">
        <is>
          <t>Property Type</t>
        </is>
      </c>
      <c r="C12" s="1153">
        <f>'Property Info'!B15</f>
        <v/>
      </c>
      <c r="D12" s="1450" t="n"/>
      <c r="E12" s="1450" t="n"/>
      <c r="F12" s="1450" t="n"/>
      <c r="G12" s="1450" t="n"/>
      <c r="H12" s="1450" t="n"/>
      <c r="I12" s="1450" t="n"/>
      <c r="J12" s="1450" t="n"/>
      <c r="K12" s="1450" t="n"/>
      <c r="L12" s="1450" t="n"/>
      <c r="M12" s="1450" t="n"/>
      <c r="N12" s="1450" t="n"/>
      <c r="O12" s="1450" t="n"/>
      <c r="P12" s="1450" t="n"/>
      <c r="Q12" s="1450" t="n"/>
      <c r="R12" s="1450" t="n"/>
      <c r="S12" s="1450" t="n"/>
      <c r="T12" s="1450" t="n"/>
    </row>
    <row r="13">
      <c r="B13" s="1152" t="inlineStr">
        <is>
          <t>Property Size</t>
        </is>
      </c>
      <c r="C13" s="1157" t="n"/>
      <c r="D13" s="1450" t="n"/>
      <c r="E13" s="1450" t="n"/>
      <c r="F13" s="1450" t="n"/>
      <c r="G13" s="1450" t="n"/>
      <c r="H13" s="1450" t="n"/>
      <c r="I13" s="1450" t="n"/>
      <c r="J13" s="1450" t="n"/>
      <c r="K13" s="1450" t="n"/>
      <c r="L13" s="1450" t="n"/>
      <c r="M13" s="1450" t="n"/>
      <c r="N13" s="1450" t="n"/>
      <c r="O13" s="1450" t="n"/>
      <c r="P13" s="1450" t="n"/>
      <c r="Q13" s="1450" t="n"/>
      <c r="R13" s="1450" t="n"/>
      <c r="S13" s="1450" t="n"/>
      <c r="T13" s="1450" t="n"/>
    </row>
    <row r="14">
      <c r="B14" s="1233">
        <f>'Property Info'!B7</f>
        <v/>
      </c>
      <c r="C14" s="1157">
        <f>IF(B14="GBA", 'Property Info'!B4,IF(B14="NRA",'Property Info'!B6,'Property Info'!B4))</f>
        <v/>
      </c>
      <c r="D14" s="1450" t="n"/>
      <c r="E14" s="1450" t="n"/>
      <c r="F14" s="1450" t="n"/>
      <c r="G14" s="1450" t="n"/>
      <c r="H14" s="1450" t="n"/>
      <c r="I14" s="1450" t="n"/>
      <c r="J14" s="1450" t="n"/>
      <c r="K14" s="1450" t="n"/>
      <c r="L14" s="1450" t="n"/>
      <c r="M14" s="1450" t="n"/>
      <c r="N14" s="1450" t="n"/>
      <c r="O14" s="1450" t="n"/>
      <c r="P14" s="1450" t="n"/>
      <c r="Q14" s="1450" t="n"/>
      <c r="R14" s="1450" t="n"/>
      <c r="S14" s="1450" t="n"/>
      <c r="T14" s="1450" t="n"/>
    </row>
    <row r="15">
      <c r="B15" s="1152" t="inlineStr">
        <is>
          <t>Number of Buildings</t>
        </is>
      </c>
      <c r="C15" s="1158">
        <f>'Property Info'!B3</f>
        <v/>
      </c>
      <c r="D15" s="1450" t="n"/>
      <c r="E15" s="1450" t="n"/>
      <c r="F15" s="1450" t="n"/>
      <c r="G15" s="1450" t="n"/>
      <c r="H15" s="1450" t="n"/>
      <c r="I15" s="1450" t="n"/>
      <c r="J15" s="1450" t="n"/>
      <c r="K15" s="1450" t="n"/>
      <c r="L15" s="1450" t="n"/>
      <c r="M15" s="1450" t="n"/>
      <c r="N15" s="1450" t="n"/>
      <c r="O15" s="1450" t="n"/>
      <c r="P15" s="1450" t="n"/>
      <c r="Q15" s="1450" t="n"/>
      <c r="R15" s="1450" t="n"/>
      <c r="S15" s="1450" t="n"/>
      <c r="T15" s="1450" t="n"/>
    </row>
    <row r="16">
      <c r="B16" s="1152" t="inlineStr">
        <is>
          <t>Year Built/Condition</t>
        </is>
      </c>
      <c r="C16" s="1153">
        <f>'Property Info'!B10</f>
        <v/>
      </c>
      <c r="D16" s="1450" t="n"/>
      <c r="E16" s="1450" t="n"/>
      <c r="F16" s="1450" t="n"/>
      <c r="G16" s="1450" t="n"/>
      <c r="H16" s="1450" t="n"/>
      <c r="I16" s="1450" t="n"/>
      <c r="J16" s="1450" t="n"/>
      <c r="K16" s="1450" t="n"/>
      <c r="L16" s="1450" t="n"/>
      <c r="M16" s="1450" t="n"/>
      <c r="N16" s="1450" t="n"/>
      <c r="O16" s="1450" t="n"/>
      <c r="P16" s="1450" t="n"/>
      <c r="Q16" s="1450" t="n"/>
      <c r="R16" s="1450" t="n"/>
      <c r="S16" s="1450" t="n"/>
      <c r="T16" s="1450" t="n"/>
    </row>
    <row r="17" hidden="1" s="1439">
      <c r="B17" s="1152" t="inlineStr">
        <is>
          <t>Condition</t>
        </is>
      </c>
      <c r="C17" s="1159" t="inlineStr">
        <is>
          <t>Average</t>
        </is>
      </c>
      <c r="D17" s="1450" t="n"/>
      <c r="E17" s="1450" t="n"/>
      <c r="F17" s="1450" t="n"/>
      <c r="G17" s="1450" t="n"/>
      <c r="H17" s="1450" t="n"/>
      <c r="I17" s="1450" t="n"/>
      <c r="J17" s="1450" t="n"/>
      <c r="K17" s="1450" t="n"/>
      <c r="L17" s="1450" t="n"/>
      <c r="M17" s="1450" t="n"/>
      <c r="N17" s="1450" t="n"/>
      <c r="O17" s="1450" t="n"/>
      <c r="P17" s="1450" t="n"/>
      <c r="Q17" s="1450" t="n"/>
      <c r="R17" s="1450" t="n"/>
      <c r="S17" s="1450" t="n"/>
      <c r="T17" s="1450" t="n"/>
    </row>
    <row r="18">
      <c r="B18" s="1152" t="inlineStr">
        <is>
          <t>Site Size (SF)</t>
        </is>
      </c>
      <c r="C18" s="1157">
        <f>'Property Info'!B11</f>
        <v/>
      </c>
      <c r="D18" s="1450" t="n"/>
      <c r="E18" s="1450" t="n"/>
      <c r="F18" s="1450" t="n"/>
      <c r="G18" s="1450" t="n"/>
      <c r="H18" s="1450" t="n"/>
      <c r="I18" s="1450" t="n"/>
      <c r="J18" s="1450" t="n"/>
      <c r="K18" s="1450" t="n"/>
      <c r="L18" s="1450" t="n"/>
      <c r="M18" s="1450" t="n"/>
      <c r="N18" s="1450" t="n"/>
      <c r="O18" s="1450" t="n"/>
      <c r="P18" s="1450" t="n"/>
      <c r="Q18" s="1450" t="n"/>
      <c r="R18" s="1450" t="n"/>
      <c r="S18" s="1450" t="n"/>
      <c r="T18" s="1450" t="n"/>
    </row>
    <row r="19">
      <c r="B19" s="1152" t="inlineStr">
        <is>
          <t>Property Rights Appraised</t>
        </is>
      </c>
      <c r="C19" s="1153">
        <f>'Property Info'!B25</f>
        <v/>
      </c>
      <c r="D19" s="1450" t="n"/>
      <c r="E19" s="1450" t="n"/>
      <c r="F19" s="1450" t="n"/>
      <c r="G19" s="1450" t="n"/>
      <c r="H19" s="1450" t="n"/>
      <c r="I19" s="1450" t="n"/>
      <c r="J19" s="1450" t="n"/>
      <c r="K19" s="1450" t="n"/>
      <c r="L19" s="1450" t="n"/>
      <c r="M19" s="1450" t="n"/>
      <c r="N19" s="1450" t="n"/>
      <c r="O19" s="1450" t="n"/>
      <c r="P19" s="1450" t="n"/>
      <c r="Q19" s="1450" t="n"/>
      <c r="R19" s="1450" t="n"/>
      <c r="S19" s="1450" t="n"/>
      <c r="T19" s="1450" t="n"/>
    </row>
    <row r="20">
      <c r="B20" s="1152" t="inlineStr">
        <is>
          <t>Assumed Occupancy</t>
        </is>
      </c>
      <c r="C20" s="1160">
        <f>'Property Info'!B19</f>
        <v/>
      </c>
      <c r="D20" s="1450" t="n"/>
      <c r="E20" s="1450" t="n"/>
      <c r="F20" s="1450" t="n"/>
      <c r="G20" s="1450" t="n"/>
      <c r="H20" s="1450" t="n"/>
      <c r="I20" s="1450" t="n"/>
      <c r="J20" s="1450" t="n"/>
      <c r="K20" s="1450" t="n"/>
      <c r="L20" s="1450" t="n"/>
      <c r="M20" s="1450" t="n"/>
      <c r="N20" s="1450" t="n"/>
      <c r="O20" s="1450" t="n"/>
      <c r="P20" s="1450" t="n"/>
      <c r="Q20" s="1450" t="n"/>
      <c r="R20" s="1450" t="n"/>
      <c r="S20" s="1450" t="n"/>
      <c r="T20" s="1450" t="n"/>
    </row>
    <row r="21">
      <c r="B21" s="1161" t="inlineStr">
        <is>
          <t>Stabilized Occupancy</t>
        </is>
      </c>
      <c r="C21" s="1162">
        <f>'Income Approach'!D22</f>
        <v/>
      </c>
      <c r="D21" s="1450" t="n"/>
      <c r="E21" s="1450" t="n"/>
      <c r="F21" s="1450" t="n"/>
      <c r="G21" s="1450" t="n"/>
      <c r="H21" s="1450" t="n"/>
      <c r="I21" s="1450" t="n"/>
      <c r="J21" s="1450" t="n"/>
      <c r="K21" s="1450" t="n"/>
      <c r="L21" s="1450" t="n"/>
      <c r="M21" s="1450" t="n"/>
      <c r="N21" s="1450" t="n"/>
      <c r="O21" s="1450" t="n"/>
      <c r="P21" s="1450" t="n"/>
      <c r="Q21" s="1450" t="n"/>
      <c r="R21" s="1450" t="n"/>
      <c r="S21" s="1450" t="n"/>
      <c r="T21" s="1450" t="n"/>
    </row>
    <row r="22">
      <c r="B22" s="1152" t="n"/>
      <c r="C22" s="1160" t="n"/>
      <c r="D22" s="1450" t="n"/>
      <c r="E22" s="1450" t="n"/>
      <c r="F22" s="1450" t="n"/>
      <c r="G22" s="1450" t="n"/>
      <c r="H22" s="1450" t="n"/>
      <c r="I22" s="1450" t="n"/>
      <c r="J22" s="1450" t="n"/>
      <c r="K22" s="1450" t="n"/>
      <c r="L22" s="1450" t="n"/>
      <c r="M22" s="1450" t="n"/>
      <c r="N22" s="1450" t="n"/>
      <c r="O22" s="1450" t="n"/>
      <c r="P22" s="1450" t="n"/>
      <c r="Q22" s="1450" t="n"/>
      <c r="R22" s="1450" t="n"/>
      <c r="S22" s="1450" t="n"/>
      <c r="T22" s="1450" t="n"/>
    </row>
    <row r="23">
      <c r="B23" s="1450" t="n"/>
      <c r="C23" s="1450" t="n"/>
      <c r="D23" s="1472" t="inlineStr">
        <is>
          <t xml:space="preserve">PETITION SCENARIO </t>
        </is>
      </c>
      <c r="E23" s="1468" t="n"/>
      <c r="F23" s="1468" t="n"/>
      <c r="G23" s="1450" t="n"/>
      <c r="H23" s="1450" t="n"/>
      <c r="I23" s="1450" t="n"/>
      <c r="J23" s="1450" t="n"/>
      <c r="K23" s="1450" t="n"/>
      <c r="L23" s="1450" t="n"/>
      <c r="M23" s="1450" t="n"/>
      <c r="N23" s="1450" t="n"/>
      <c r="O23" s="1450" t="n"/>
      <c r="P23" s="1450" t="n"/>
      <c r="Q23" s="1450" t="n"/>
      <c r="R23" s="1450" t="n"/>
      <c r="S23" s="1450" t="n"/>
      <c r="T23" s="1450" t="n"/>
    </row>
    <row r="24">
      <c r="B24" s="1450" t="n"/>
      <c r="C24" s="1450" t="n"/>
      <c r="D24" s="1440" t="n"/>
      <c r="E24" s="1440" t="inlineStr">
        <is>
          <t>$</t>
        </is>
      </c>
      <c r="F24" s="1440" t="inlineStr">
        <is>
          <t>$/SF</t>
        </is>
      </c>
      <c r="G24" s="1450" t="n"/>
      <c r="H24" s="1450" t="n"/>
      <c r="I24" s="1450" t="n"/>
      <c r="J24" s="1450" t="n"/>
      <c r="K24" s="1450" t="n"/>
      <c r="L24" s="1450" t="n"/>
      <c r="M24" s="1450" t="n"/>
      <c r="N24" s="1450" t="n"/>
      <c r="O24" s="1450" t="n"/>
      <c r="P24" s="1450" t="n"/>
      <c r="Q24" s="1450" t="n"/>
      <c r="R24" s="1450" t="n"/>
      <c r="S24" s="1450" t="n"/>
      <c r="T24" s="1450" t="n"/>
    </row>
    <row r="25">
      <c r="B25" s="1450" t="n"/>
      <c r="C25" s="1450" t="n"/>
      <c r="D25" s="1164" t="inlineStr">
        <is>
          <t>Assessor's Assigned Value</t>
        </is>
      </c>
      <c r="E25" s="1695">
        <f>'Basic Sales Grid'!D51</f>
        <v/>
      </c>
      <c r="F25" s="1696">
        <f>E25/C14</f>
        <v/>
      </c>
      <c r="G25" s="1450" t="n"/>
      <c r="H25" s="1450" t="n"/>
      <c r="I25" s="1450" t="n"/>
      <c r="J25" s="1450" t="n"/>
      <c r="K25" s="1450" t="n"/>
      <c r="L25" s="1450" t="n"/>
      <c r="M25" s="1450" t="n"/>
      <c r="N25" s="1450" t="n"/>
      <c r="O25" s="1450" t="n"/>
      <c r="P25" s="1450" t="n"/>
      <c r="Q25" s="1450" t="n"/>
      <c r="R25" s="1450" t="n"/>
      <c r="S25" s="1450" t="n"/>
      <c r="T25" s="1450" t="n"/>
    </row>
    <row r="26">
      <c r="B26" s="1450" t="n"/>
      <c r="C26" s="1450" t="n"/>
      <c r="D26" s="1167" t="inlineStr">
        <is>
          <t>Petitioner’s Requested Value</t>
        </is>
      </c>
      <c r="E26" s="1697">
        <f>'Basic Sales Grid'!D52</f>
        <v/>
      </c>
      <c r="F26" s="1698">
        <f>E26/C14</f>
        <v/>
      </c>
      <c r="G26" s="1450" t="n"/>
      <c r="H26" s="1450" t="n"/>
      <c r="I26" s="1450" t="n"/>
      <c r="J26" s="1450" t="n"/>
      <c r="K26" s="1450" t="n"/>
      <c r="L26" s="1450" t="n"/>
      <c r="M26" s="1450" t="n"/>
      <c r="N26" s="1450" t="n"/>
      <c r="O26" s="1450" t="n"/>
      <c r="P26" s="1450" t="n"/>
      <c r="Q26" s="1450" t="n"/>
      <c r="R26" s="1450" t="n"/>
      <c r="S26" s="1450" t="n"/>
      <c r="T26" s="1450" t="n"/>
    </row>
    <row r="27">
      <c r="B27" s="1450" t="n"/>
      <c r="C27" s="1450" t="n"/>
      <c r="D27" s="1450" t="n"/>
      <c r="E27" s="1450" t="n"/>
      <c r="F27" s="1450" t="n"/>
      <c r="G27" s="1450" t="n"/>
      <c r="H27" s="1450" t="n"/>
      <c r="I27" s="1450" t="n"/>
      <c r="J27" s="1450" t="n"/>
      <c r="K27" s="1450" t="n"/>
      <c r="L27" s="1450" t="n"/>
      <c r="M27" s="1450" t="n"/>
      <c r="N27" s="1450" t="n"/>
      <c r="O27" s="1450" t="n"/>
      <c r="P27" s="1450" t="n"/>
      <c r="Q27" s="1450" t="n"/>
      <c r="R27" s="1450" t="n"/>
      <c r="S27" s="1450" t="n"/>
      <c r="T27" s="1450" t="n"/>
    </row>
    <row r="28">
      <c r="B28" s="1450" t="n"/>
      <c r="C28" s="1450" t="n"/>
      <c r="D28" s="1450" t="n"/>
      <c r="E28" s="1450" t="n"/>
      <c r="F28" s="1450" t="n"/>
      <c r="G28" s="1471" t="inlineStr">
        <is>
          <t>APPRAISAL INFORMATION</t>
        </is>
      </c>
      <c r="M28" s="1170" t="n"/>
      <c r="N28" s="1170" t="n"/>
      <c r="O28" s="1170" t="n"/>
      <c r="P28" s="1170" t="n"/>
      <c r="Q28" s="1170" t="n"/>
      <c r="R28" s="1170" t="n"/>
      <c r="S28" s="1170" t="n"/>
      <c r="T28" s="1450" t="n"/>
    </row>
    <row r="29" ht="31.5" customHeight="1" s="1439">
      <c r="B29" s="1450" t="n"/>
      <c r="C29" s="1450" t="n"/>
      <c r="D29" s="1450" t="n"/>
      <c r="E29" s="1450" t="n"/>
      <c r="F29" s="1450" t="n"/>
      <c r="G29" s="1171" t="inlineStr">
        <is>
          <t>Intended User</t>
        </is>
      </c>
      <c r="H29" s="1448" t="inlineStr">
        <is>
          <t>Adams County Board of Equalization, Adams County Attorney, Colorado Board of Assessment Appeals</t>
        </is>
      </c>
      <c r="M29" s="1482" t="n"/>
      <c r="N29" s="1482" t="n"/>
      <c r="O29" s="1482" t="n"/>
      <c r="P29" s="1482" t="n"/>
      <c r="Q29" s="1482" t="n"/>
      <c r="R29" s="1482" t="n"/>
      <c r="S29" s="1482" t="n"/>
      <c r="T29" s="1450" t="n"/>
    </row>
    <row r="30" hidden="1" s="1439">
      <c r="B30" s="1450" t="n"/>
      <c r="C30" s="1450" t="n"/>
      <c r="D30" s="1450" t="n"/>
      <c r="E30" s="1450" t="n"/>
      <c r="F30" s="1450" t="n"/>
      <c r="G30" s="1171" t="n"/>
      <c r="H30" s="1460">
        <f>clCompanyAddressStreet1&amp;", "&amp;clCompanyAddressStreet2</f>
        <v/>
      </c>
      <c r="L30" s="1173" t="n"/>
      <c r="M30" s="1173" t="n"/>
      <c r="N30" s="1173" t="n"/>
      <c r="O30" s="1173" t="n"/>
      <c r="P30" s="1173" t="n"/>
      <c r="Q30" s="1173" t="n"/>
      <c r="R30" s="1173" t="n"/>
      <c r="S30" s="1173" t="n"/>
      <c r="T30" s="1450" t="n"/>
    </row>
    <row r="31" hidden="1" s="1439">
      <c r="B31" s="1450" t="n"/>
      <c r="C31" s="1450" t="n"/>
      <c r="D31" s="1450" t="n"/>
      <c r="E31" s="1450" t="n"/>
      <c r="F31" s="1450" t="n"/>
      <c r="G31" s="1171" t="n"/>
      <c r="H31" s="1460">
        <f>clCompanyAddressCity&amp;", "&amp;clCompanyAddressState&amp;"  "&amp;clCompanyAddressZip</f>
        <v/>
      </c>
      <c r="L31" s="1173" t="n"/>
      <c r="M31" s="1173" t="n"/>
      <c r="N31" s="1173" t="n"/>
      <c r="O31" s="1173" t="n"/>
      <c r="P31" s="1173" t="n"/>
      <c r="Q31" s="1173" t="n"/>
      <c r="R31" s="1173" t="n"/>
      <c r="S31" s="1173" t="n"/>
      <c r="T31" s="1450" t="n"/>
    </row>
    <row r="32" hidden="1" s="1439">
      <c r="B32" s="1450" t="n"/>
      <c r="C32" s="1450" t="n"/>
      <c r="D32" s="1450" t="n"/>
      <c r="E32" s="1450" t="n"/>
      <c r="F32" s="1450" t="n"/>
      <c r="G32" s="1171" t="inlineStr">
        <is>
          <t>Intended User(s)</t>
        </is>
      </c>
      <c r="H32" s="1461">
        <f>H29</f>
        <v/>
      </c>
      <c r="L32" s="1174" t="n"/>
      <c r="M32" s="1173" t="n"/>
      <c r="N32" s="1173" t="n"/>
      <c r="O32" s="1173" t="n"/>
      <c r="P32" s="1173" t="n"/>
      <c r="Q32" s="1173" t="n"/>
      <c r="R32" s="1173" t="n"/>
      <c r="S32" s="1173" t="n"/>
      <c r="T32" s="1450" t="n"/>
    </row>
    <row r="33" ht="15" customHeight="1" s="1439">
      <c r="B33" s="1450" t="n"/>
      <c r="C33" s="1450" t="n"/>
      <c r="D33" s="1450" t="n"/>
      <c r="E33" s="1450" t="n"/>
      <c r="F33" s="1450" t="n"/>
      <c r="G33" s="1171" t="inlineStr">
        <is>
          <t>Intended Use</t>
        </is>
      </c>
      <c r="H33" s="1448" t="inlineStr">
        <is>
          <t>Aid in tax appeal decision</t>
        </is>
      </c>
      <c r="M33" s="1482" t="n"/>
      <c r="N33" s="1482" t="n"/>
      <c r="O33" s="1482" t="n"/>
      <c r="P33" s="1482" t="n"/>
      <c r="Q33" s="1482" t="n"/>
      <c r="R33" s="1482" t="n"/>
      <c r="S33" s="1482" t="n"/>
      <c r="T33" s="1450" t="n"/>
    </row>
    <row r="34" ht="20.25" customHeight="1" s="1439">
      <c r="B34" s="1450" t="n"/>
      <c r="C34" s="1450" t="n"/>
      <c r="D34" s="1450" t="n"/>
      <c r="E34" s="1450" t="n"/>
      <c r="F34" s="1450" t="n"/>
      <c r="G34" s="1171" t="inlineStr">
        <is>
          <t>Values Concluded</t>
        </is>
      </c>
      <c r="H34" s="1448" t="inlineStr">
        <is>
          <t xml:space="preserve">Retrospective Market Value </t>
        </is>
      </c>
      <c r="M34" s="1482" t="n"/>
      <c r="N34" s="1482" t="n"/>
      <c r="O34" s="1482" t="n"/>
      <c r="P34" s="1482" t="n"/>
      <c r="Q34" s="1482" t="n"/>
      <c r="R34" s="1482" t="n"/>
      <c r="S34" s="1482" t="n"/>
      <c r="T34" s="1450" t="n"/>
    </row>
    <row r="35" ht="29.25" customHeight="1" s="1439">
      <c r="B35" s="1450" t="n"/>
      <c r="C35" s="1450" t="n"/>
      <c r="D35" s="1450" t="n"/>
      <c r="E35" s="1450" t="n"/>
      <c r="F35" s="1450" t="n"/>
      <c r="G35" s="1171" t="inlineStr">
        <is>
          <t>Property Rights Appraised / Premise</t>
        </is>
      </c>
      <c r="H35" s="1448" t="inlineStr">
        <is>
          <t>Retrospective Market Value of the Fee Simple interest in the subject property, As Is as of June 30, 2020</t>
        </is>
      </c>
      <c r="M35" s="1482" t="n"/>
      <c r="N35" s="1482" t="n"/>
      <c r="O35" s="1482" t="n"/>
      <c r="P35" s="1482" t="n"/>
      <c r="Q35" s="1482" t="n"/>
      <c r="R35" s="1482" t="n"/>
      <c r="S35" s="1482" t="n"/>
      <c r="T35" s="1450" t="n"/>
    </row>
    <row r="36" ht="18" customHeight="1" s="1439">
      <c r="B36" s="1450" t="n"/>
      <c r="C36" s="1450" t="n"/>
      <c r="D36" s="1450" t="n"/>
      <c r="E36" s="1450" t="n"/>
      <c r="F36" s="1450" t="n"/>
      <c r="G36" s="1171" t="inlineStr">
        <is>
          <t>Premise Summary</t>
        </is>
      </c>
      <c r="H36" s="1448" t="inlineStr">
        <is>
          <t>Retrospective Market Value As Is  - June 30, 2020</t>
        </is>
      </c>
      <c r="M36" s="1482" t="n"/>
      <c r="N36" s="1482" t="n"/>
      <c r="O36" s="1482" t="n"/>
      <c r="P36" s="1482" t="n"/>
      <c r="Q36" s="1482" t="n"/>
      <c r="R36" s="1482" t="n"/>
      <c r="S36" s="1482" t="n"/>
      <c r="T36" s="1450" t="n"/>
    </row>
    <row r="37">
      <c r="B37" s="1450" t="n"/>
      <c r="C37" s="1450" t="n"/>
      <c r="D37" s="1450" t="n"/>
      <c r="E37" s="1450" t="n"/>
      <c r="F37" s="1450" t="n"/>
      <c r="G37" s="1171" t="inlineStr">
        <is>
          <t>Date of Inspection</t>
        </is>
      </c>
      <c r="H37" s="1699" t="n">
        <v>45079</v>
      </c>
      <c r="M37" s="1700" t="n"/>
      <c r="N37" s="1700" t="n"/>
      <c r="O37" s="1700" t="n"/>
      <c r="P37" s="1700" t="n"/>
      <c r="Q37" s="1700" t="n"/>
      <c r="R37" s="1700" t="n"/>
      <c r="S37" s="1700" t="n"/>
      <c r="T37" s="1450" t="n"/>
    </row>
    <row r="38">
      <c r="B38" s="1450" t="n"/>
      <c r="C38" s="1450" t="n"/>
      <c r="D38" s="1450" t="n"/>
      <c r="E38" s="1450" t="n"/>
      <c r="F38" s="1450" t="n"/>
      <c r="G38" s="1171" t="inlineStr">
        <is>
          <t>Report Date</t>
        </is>
      </c>
      <c r="H38" s="1700">
        <f>'Property Info'!B27</f>
        <v/>
      </c>
      <c r="M38" s="1700" t="n"/>
      <c r="N38" s="1700" t="n"/>
      <c r="O38" s="1700" t="n"/>
      <c r="P38" s="1700" t="n"/>
      <c r="Q38" s="1700" t="n"/>
      <c r="R38" s="1700" t="n"/>
      <c r="S38" s="1700" t="n"/>
      <c r="T38" s="1450" t="n"/>
    </row>
    <row r="39">
      <c r="B39" s="1450" t="n"/>
      <c r="C39" s="1450" t="n"/>
      <c r="D39" s="1450" t="n"/>
      <c r="E39" s="1450" t="n"/>
      <c r="F39" s="1450" t="n"/>
      <c r="G39" s="1171" t="inlineStr">
        <is>
          <t>Marketing Time</t>
        </is>
      </c>
      <c r="H39" s="1701" t="inlineStr">
        <is>
          <t>12 months</t>
        </is>
      </c>
      <c r="M39" s="1701" t="n"/>
      <c r="N39" s="1701" t="n"/>
      <c r="O39" s="1701" t="n"/>
      <c r="P39" s="1701" t="n"/>
      <c r="Q39" s="1701" t="n"/>
      <c r="R39" s="1701" t="n"/>
      <c r="S39" s="1701" t="n"/>
      <c r="T39" s="1450" t="n"/>
    </row>
    <row r="40">
      <c r="B40" s="1450" t="n"/>
      <c r="C40" s="1450" t="n"/>
      <c r="D40" s="1450" t="n"/>
      <c r="E40" s="1450" t="n"/>
      <c r="F40" s="1450" t="n"/>
      <c r="G40" s="1171" t="inlineStr">
        <is>
          <t>Exposure Time</t>
        </is>
      </c>
      <c r="H40" s="1701" t="inlineStr">
        <is>
          <t>12 months</t>
        </is>
      </c>
      <c r="M40" s="1701" t="n"/>
      <c r="N40" s="1701" t="n"/>
      <c r="O40" s="1701" t="n"/>
      <c r="P40" s="1701" t="n"/>
      <c r="Q40" s="1701" t="n"/>
      <c r="R40" s="1701" t="n"/>
      <c r="S40" s="1701" t="n"/>
      <c r="T40" s="1450" t="n"/>
    </row>
    <row r="41">
      <c r="B41" s="1450" t="n"/>
      <c r="C41" s="1450" t="n"/>
      <c r="D41" s="1450" t="n"/>
      <c r="E41" s="1450" t="n"/>
      <c r="F41" s="1450" t="n"/>
      <c r="G41" s="1171" t="inlineStr">
        <is>
          <t>Owner of Record</t>
        </is>
      </c>
      <c r="H41" s="1448" t="n"/>
      <c r="M41" s="1482" t="n"/>
      <c r="N41" s="1482" t="n"/>
      <c r="O41" s="1482" t="n"/>
      <c r="P41" s="1482" t="n"/>
      <c r="Q41" s="1482" t="n"/>
      <c r="R41" s="1482" t="n"/>
      <c r="S41" s="1482" t="n"/>
      <c r="T41" s="1450" t="n"/>
    </row>
    <row r="42" ht="67.5" customHeight="1" s="1439">
      <c r="B42" s="1450" t="n"/>
      <c r="C42" s="1450" t="n"/>
      <c r="D42" s="1450" t="n"/>
      <c r="E42" s="1450" t="n"/>
      <c r="F42" s="1450" t="n"/>
      <c r="G42" s="1171" t="inlineStr">
        <is>
          <t>Property Contact(s)</t>
        </is>
      </c>
      <c r="H42" s="1448" t="inlineStr">
        <is>
          <t xml:space="preserve">Mr. Patrick de Jongh and Mr. Michael Kaufman, taxpayer representatives, were interviewed by phone and email throughout the appraisal process and intended our inspection of the subject property. </t>
        </is>
      </c>
      <c r="M42" s="1482" t="n"/>
      <c r="N42" s="1482" t="n"/>
      <c r="O42" s="1482" t="n"/>
      <c r="P42" s="1482" t="n"/>
      <c r="Q42" s="1482" t="n"/>
      <c r="R42" s="1482" t="n"/>
      <c r="S42" s="1482" t="n"/>
      <c r="T42" s="1450" t="n"/>
    </row>
    <row r="43">
      <c r="B43" s="1450" t="n"/>
      <c r="C43" s="1450" t="n"/>
      <c r="D43" s="1450" t="n"/>
      <c r="E43" s="1450" t="n"/>
      <c r="F43" s="1450" t="n"/>
      <c r="G43" s="1171" t="inlineStr">
        <is>
          <t>Most Probable Purchaser</t>
        </is>
      </c>
      <c r="H43" s="1482">
        <f>pdMostProbablePurchaser</f>
        <v/>
      </c>
      <c r="M43" s="1482" t="n"/>
      <c r="N43" s="1482" t="n"/>
      <c r="O43" s="1482" t="n"/>
      <c r="P43" s="1482" t="n"/>
      <c r="Q43" s="1482" t="n"/>
      <c r="R43" s="1482" t="n"/>
      <c r="S43" s="1482" t="n"/>
      <c r="T43" s="1450" t="n"/>
    </row>
    <row r="44">
      <c r="B44" s="1450" t="n"/>
      <c r="C44" s="1450" t="n"/>
      <c r="D44" s="1450" t="n"/>
      <c r="E44" s="1450" t="n"/>
      <c r="F44" s="1450" t="n"/>
      <c r="G44" s="1171" t="inlineStr">
        <is>
          <t>Highest and Best Use</t>
        </is>
      </c>
      <c r="H44" s="1460" t="n"/>
      <c r="I44" s="1178" t="n"/>
      <c r="J44" s="1178" t="n"/>
      <c r="K44" s="1178" t="n"/>
      <c r="L44" s="1178" t="n"/>
      <c r="M44" s="1178" t="n"/>
      <c r="N44" s="1178" t="n"/>
      <c r="O44" s="1178" t="n"/>
      <c r="P44" s="1178" t="n"/>
      <c r="Q44" s="1178" t="n"/>
      <c r="R44" s="1178" t="n"/>
      <c r="S44" s="1178" t="n"/>
      <c r="T44" s="1450" t="n"/>
    </row>
    <row r="45" ht="15" customHeight="1" s="1439">
      <c r="B45" s="1450" t="n"/>
      <c r="C45" s="1450" t="n"/>
      <c r="D45" s="1450" t="n"/>
      <c r="E45" s="1450" t="n"/>
      <c r="F45" s="1450" t="n"/>
      <c r="G45" s="1179" t="inlineStr">
        <is>
          <t>If Vacant</t>
        </is>
      </c>
      <c r="H45" s="1448" t="inlineStr">
        <is>
          <t xml:space="preserve">Light Industrial Development </t>
        </is>
      </c>
      <c r="M45" s="1482" t="n"/>
      <c r="N45" s="1482" t="n"/>
      <c r="O45" s="1482" t="n"/>
      <c r="P45" s="1482" t="n"/>
      <c r="Q45" s="1482" t="n"/>
      <c r="R45" s="1482" t="n"/>
      <c r="S45" s="1482" t="n"/>
      <c r="T45" s="1450" t="n"/>
    </row>
    <row r="46" ht="15" customHeight="1" s="1439">
      <c r="B46" s="1450" t="n"/>
      <c r="C46" s="1450" t="n"/>
      <c r="D46" s="1450" t="n"/>
      <c r="E46" s="1450" t="n"/>
      <c r="F46" s="1450" t="n"/>
      <c r="G46" s="1180" t="inlineStr">
        <is>
          <t>As Improved</t>
        </is>
      </c>
      <c r="H46" s="1483">
        <f>pdHBUAsImproved</f>
        <v/>
      </c>
      <c r="I46" s="1458" t="n"/>
      <c r="J46" s="1458" t="n"/>
      <c r="K46" s="1458" t="n"/>
      <c r="L46" s="1458" t="n"/>
      <c r="M46" s="1482" t="n"/>
      <c r="N46" s="1482" t="n"/>
      <c r="O46" s="1482" t="n"/>
      <c r="P46" s="1482" t="n"/>
      <c r="Q46" s="1482" t="n"/>
      <c r="R46" s="1482" t="n"/>
      <c r="S46" s="1482" t="n"/>
      <c r="T46" s="1450" t="n"/>
    </row>
    <row r="47">
      <c r="B47" s="1450" t="n"/>
      <c r="C47" s="1450" t="n"/>
      <c r="D47" s="1450" t="n"/>
      <c r="E47" s="1450" t="n"/>
      <c r="F47" s="1450" t="n"/>
      <c r="G47" s="1179" t="n"/>
      <c r="H47" s="1460" t="n"/>
      <c r="I47" s="1173" t="n"/>
      <c r="J47" s="1173" t="n"/>
      <c r="K47" s="1173" t="n"/>
      <c r="L47" s="1173" t="n"/>
      <c r="M47" s="1173" t="n"/>
      <c r="N47" s="1173" t="n"/>
      <c r="O47" s="1173" t="n"/>
      <c r="P47" s="1173" t="n"/>
      <c r="Q47" s="1173" t="n"/>
      <c r="R47" s="1173" t="n"/>
      <c r="S47" s="1173" t="n"/>
      <c r="T47" s="1450" t="n"/>
    </row>
    <row r="48">
      <c r="B48" s="1450" t="n"/>
      <c r="C48" s="1450" t="n"/>
      <c r="D48" s="1450" t="n"/>
      <c r="E48" s="1450" t="n"/>
      <c r="F48" s="1450" t="n"/>
      <c r="G48" s="1179" t="n"/>
      <c r="H48" s="1460" t="n"/>
      <c r="I48" s="1173" t="n"/>
      <c r="J48" s="1173" t="n"/>
      <c r="K48" s="1173" t="n"/>
      <c r="L48" s="1173" t="n"/>
      <c r="M48" s="1173" t="n"/>
      <c r="N48" s="1173" t="n"/>
      <c r="O48" s="1173" t="n"/>
      <c r="P48" s="1173" t="n"/>
      <c r="Q48" s="1173" t="n"/>
      <c r="R48" s="1173" t="n"/>
      <c r="S48" s="1173" t="n"/>
      <c r="T48" s="1450" t="n"/>
    </row>
    <row r="49">
      <c r="B49" s="1450" t="n"/>
      <c r="C49" s="1450" t="n"/>
      <c r="D49" s="1450" t="n"/>
      <c r="E49" s="1450" t="n"/>
      <c r="F49" s="1450" t="n"/>
      <c r="G49" s="1179" t="n"/>
      <c r="H49" s="1460" t="n"/>
      <c r="I49" s="1173" t="n"/>
      <c r="J49" s="1173" t="n"/>
      <c r="K49" s="1173" t="n"/>
      <c r="L49" s="1173" t="n"/>
      <c r="M49" s="1474" t="inlineStr">
        <is>
          <t>SCOPE OF THE INVESTIGATION</t>
        </is>
      </c>
      <c r="R49" s="1409" t="n"/>
      <c r="S49" s="1409" t="n"/>
    </row>
    <row r="50" customFormat="1" s="1450">
      <c r="G50" s="1179" t="n"/>
      <c r="H50" s="1460" t="n"/>
      <c r="I50" s="1173" t="n"/>
      <c r="J50" s="1173" t="n"/>
      <c r="K50" s="1173" t="n"/>
      <c r="L50" s="1173" t="n"/>
      <c r="M50" s="1470" t="inlineStr">
        <is>
          <t>General and Market Data Analyzed</t>
        </is>
      </c>
      <c r="N50" s="1456" t="inlineStr">
        <is>
          <t>§  Regional economic data and trends</t>
        </is>
      </c>
      <c r="R50" s="1456" t="n"/>
      <c r="S50" s="1456" t="n"/>
    </row>
    <row r="51" customFormat="1" s="1450">
      <c r="G51" s="1179" t="n"/>
      <c r="H51" s="1460" t="n"/>
      <c r="I51" s="1173" t="n"/>
      <c r="J51" s="1173" t="n"/>
      <c r="K51" s="1173" t="n"/>
      <c r="L51" s="1173" t="n"/>
      <c r="N51" s="1456" t="inlineStr">
        <is>
          <t>§  Market analysis data specific to the subject property type</t>
        </is>
      </c>
      <c r="R51" s="1456" t="n"/>
      <c r="S51" s="1456" t="n"/>
    </row>
    <row r="52" customFormat="1" s="1450">
      <c r="G52" s="1179" t="n"/>
      <c r="H52" s="1460" t="n"/>
      <c r="I52" s="1173" t="n"/>
      <c r="J52" s="1173" t="n"/>
      <c r="K52" s="1173" t="n"/>
      <c r="L52" s="1173" t="n"/>
      <c r="N52" s="1456" t="inlineStr">
        <is>
          <t>§  Published survey data</t>
        </is>
      </c>
      <c r="R52" s="1456" t="n"/>
      <c r="S52" s="1456" t="n"/>
    </row>
    <row r="53" customFormat="1" s="1450">
      <c r="G53" s="1179" t="n"/>
      <c r="H53" s="1460" t="n"/>
      <c r="I53" s="1173" t="n"/>
      <c r="J53" s="1173" t="n"/>
      <c r="K53" s="1173" t="n"/>
      <c r="L53" s="1173" t="n"/>
      <c r="N53" s="1456" t="inlineStr">
        <is>
          <t>§  Neighborhood demographic data</t>
        </is>
      </c>
      <c r="R53" s="1456" t="n"/>
      <c r="S53" s="1456" t="n"/>
    </row>
    <row r="54" customFormat="1" s="1450">
      <c r="G54" s="1179" t="n"/>
      <c r="H54" s="1460" t="n"/>
      <c r="I54" s="1173" t="n"/>
      <c r="J54" s="1173" t="n"/>
      <c r="K54" s="1173" t="n"/>
      <c r="L54" s="1173" t="n"/>
      <c r="N54" s="1456" t="inlineStr">
        <is>
          <t>§  Comparable cost, sale, rental, expense, and capitalization rate data</t>
        </is>
      </c>
      <c r="R54" s="1456" t="n"/>
      <c r="S54" s="1456" t="n"/>
    </row>
    <row r="55" customFormat="1" s="1450">
      <c r="G55" s="1179" t="n"/>
      <c r="H55" s="1460" t="n"/>
      <c r="I55" s="1173" t="n"/>
      <c r="J55" s="1173" t="n"/>
      <c r="K55" s="1173" t="n"/>
      <c r="L55" s="1173" t="n"/>
      <c r="N55" s="1456" t="inlineStr">
        <is>
          <t>§  Floodplain status</t>
        </is>
      </c>
      <c r="R55" s="1456" t="n"/>
      <c r="S55" s="1456" t="n"/>
    </row>
    <row r="56" customFormat="1" s="1450">
      <c r="G56" s="1179" t="n"/>
      <c r="H56" s="1460" t="n"/>
      <c r="I56" s="1173" t="n"/>
      <c r="J56" s="1173" t="n"/>
      <c r="K56" s="1173" t="n"/>
      <c r="L56" s="1173" t="n"/>
      <c r="N56" s="1456" t="inlineStr">
        <is>
          <t>§  Zoning information</t>
        </is>
      </c>
      <c r="R56" s="1456" t="n"/>
      <c r="S56" s="1456" t="n"/>
    </row>
    <row r="57" customFormat="1" s="1450">
      <c r="G57" s="1179" t="n"/>
      <c r="H57" s="1460" t="n"/>
      <c r="I57" s="1173" t="n"/>
      <c r="J57" s="1173" t="n"/>
      <c r="K57" s="1173" t="n"/>
      <c r="L57" s="1173" t="n"/>
      <c r="N57" s="1456" t="inlineStr">
        <is>
          <t>§  Assessor’s information</t>
        </is>
      </c>
      <c r="R57" s="1456" t="n"/>
      <c r="S57" s="1456" t="n"/>
    </row>
    <row r="58" customFormat="1" s="1450">
      <c r="G58" s="1179" t="n"/>
      <c r="H58" s="1460" t="n"/>
      <c r="I58" s="1173" t="n"/>
      <c r="J58" s="1173" t="n"/>
      <c r="K58" s="1173" t="n"/>
      <c r="L58" s="1173" t="n"/>
      <c r="N58" s="1456" t="inlineStr">
        <is>
          <t>§  Interviewed professionals knowledgeable about the subject’s property type and market</t>
        </is>
      </c>
      <c r="R58" s="1456" t="n"/>
      <c r="S58" s="1456" t="n"/>
    </row>
    <row r="59" ht="15" customFormat="1" customHeight="1" s="1450">
      <c r="G59" s="1179" t="n"/>
      <c r="H59" s="1460" t="n"/>
      <c r="I59" s="1173" t="n"/>
      <c r="J59" s="1173" t="n"/>
      <c r="K59" s="1173" t="n"/>
      <c r="L59" s="1173" t="n"/>
      <c r="M59" s="1470" t="inlineStr">
        <is>
          <t>Inspection Details</t>
        </is>
      </c>
      <c r="N59" s="1449" t="inlineStr">
        <is>
          <t>The interior and exterior of the subject was inspected.</t>
        </is>
      </c>
      <c r="R59" s="1449" t="n"/>
      <c r="S59" s="1449" t="n"/>
    </row>
    <row r="60" customFormat="1" s="1450">
      <c r="G60" s="1179" t="n"/>
      <c r="H60" s="1460" t="n"/>
      <c r="I60" s="1173" t="n"/>
      <c r="J60" s="1173" t="n"/>
      <c r="K60" s="1173" t="n"/>
      <c r="L60" s="1173" t="n"/>
      <c r="M60" s="1470" t="inlineStr">
        <is>
          <t>Data Sources</t>
        </is>
      </c>
      <c r="N60" s="1449" t="n"/>
      <c r="R60" s="1449" t="n"/>
      <c r="S60" s="1449" t="n"/>
    </row>
    <row r="61" customFormat="1" s="1450">
      <c r="G61" s="1179" t="n"/>
      <c r="H61" s="1460" t="n"/>
      <c r="I61" s="1173" t="n"/>
      <c r="J61" s="1173" t="n"/>
      <c r="K61" s="1173" t="n"/>
      <c r="L61" s="1173" t="n"/>
      <c r="M61" s="1206" t="inlineStr">
        <is>
          <t>Site Size</t>
        </is>
      </c>
      <c r="N61" s="1476" t="inlineStr">
        <is>
          <t>Adams County Assessor Records, Appraiser Measurement</t>
        </is>
      </c>
      <c r="R61" s="1449" t="n"/>
      <c r="S61" s="1449" t="n"/>
    </row>
    <row r="62" customFormat="1" s="1450">
      <c r="G62" s="1179" t="n"/>
      <c r="H62" s="1460" t="n"/>
      <c r="I62" s="1173" t="n"/>
      <c r="J62" s="1173" t="n"/>
      <c r="K62" s="1173" t="n"/>
      <c r="L62" s="1173" t="n"/>
      <c r="M62" s="1206" t="inlineStr">
        <is>
          <t>Building Size</t>
        </is>
      </c>
      <c r="N62" s="1462" t="inlineStr">
        <is>
          <t>Adams County Assessor Records, Appraiser Measurement</t>
        </is>
      </c>
      <c r="R62" s="1449" t="n"/>
      <c r="S62" s="1449" t="n"/>
    </row>
    <row r="63" customFormat="1" s="1450">
      <c r="G63" s="1179" t="n"/>
      <c r="H63" s="1460" t="n"/>
      <c r="I63" s="1173" t="n"/>
      <c r="J63" s="1173" t="n"/>
      <c r="K63" s="1173" t="n"/>
      <c r="L63" s="1173" t="n"/>
      <c r="M63" s="1206" t="inlineStr">
        <is>
          <t>Zoning information</t>
        </is>
      </c>
      <c r="N63" s="1462" t="inlineStr">
        <is>
          <t>Adams County Planning Department</t>
        </is>
      </c>
      <c r="R63" s="1449" t="n"/>
      <c r="S63" s="1449" t="n"/>
    </row>
    <row r="64" customFormat="1" s="1450">
      <c r="G64" s="1179" t="n"/>
      <c r="H64" s="1460" t="n"/>
      <c r="I64" s="1173" t="n"/>
      <c r="J64" s="1173" t="n"/>
      <c r="K64" s="1173" t="n"/>
      <c r="L64" s="1173" t="n"/>
      <c r="M64" s="1206" t="inlineStr">
        <is>
          <t>Flood Status</t>
        </is>
      </c>
      <c r="N64" s="1462" t="inlineStr">
        <is>
          <t>FEMA Flood Map Service Center</t>
        </is>
      </c>
      <c r="R64" s="1449" t="n"/>
      <c r="S64" s="1449" t="n"/>
    </row>
    <row r="65" customFormat="1" s="1450">
      <c r="G65" s="1179" t="n"/>
      <c r="H65" s="1460" t="n"/>
      <c r="I65" s="1173" t="n"/>
      <c r="J65" s="1173" t="n"/>
      <c r="K65" s="1173" t="n"/>
      <c r="L65" s="1173" t="n"/>
      <c r="M65" s="1206" t="inlineStr">
        <is>
          <t>Demographics</t>
        </is>
      </c>
      <c r="N65" s="1462" t="inlineStr">
        <is>
          <t>CoStar Market Reports</t>
        </is>
      </c>
      <c r="R65" s="1449" t="n"/>
      <c r="S65" s="1449" t="n"/>
    </row>
    <row r="66" customFormat="1" s="1450">
      <c r="G66" s="1179" t="n"/>
      <c r="H66" s="1460" t="n"/>
      <c r="I66" s="1173" t="n"/>
      <c r="J66" s="1173" t="n"/>
      <c r="K66" s="1173" t="n"/>
      <c r="L66" s="1173" t="n"/>
      <c r="M66" s="1206" t="inlineStr">
        <is>
          <t>Land Sales</t>
        </is>
      </c>
      <c r="N66" s="1462" t="inlineStr">
        <is>
          <t>CoStar, MLS, Adams County Sales Data, Local Brokers</t>
        </is>
      </c>
      <c r="R66" s="1449" t="n"/>
      <c r="S66" s="1449" t="n"/>
    </row>
    <row r="67" customFormat="1" s="1450">
      <c r="G67" s="1179" t="n"/>
      <c r="H67" s="1460" t="n"/>
      <c r="I67" s="1173" t="n"/>
      <c r="J67" s="1173" t="n"/>
      <c r="K67" s="1173" t="n"/>
      <c r="L67" s="1173" t="n"/>
      <c r="M67" s="1206" t="inlineStr">
        <is>
          <t>Cost Estimate Data</t>
        </is>
      </c>
      <c r="N67" s="1462" t="inlineStr">
        <is>
          <t>Marshall &amp; Swift Cost Estimator</t>
        </is>
      </c>
      <c r="R67" s="1449" t="n"/>
      <c r="S67" s="1449" t="n"/>
    </row>
    <row r="68" customFormat="1" s="1450">
      <c r="G68" s="1179" t="n"/>
      <c r="H68" s="1460" t="n"/>
      <c r="I68" s="1173" t="n"/>
      <c r="J68" s="1173" t="n"/>
      <c r="K68" s="1173" t="n"/>
      <c r="L68" s="1173" t="n"/>
      <c r="M68" s="1206" t="inlineStr">
        <is>
          <t>Comparable Improved Sales</t>
        </is>
      </c>
      <c r="N68" s="1462" t="inlineStr">
        <is>
          <t>CoStar, MLS, Adams County Sales Data, Local Brokers</t>
        </is>
      </c>
      <c r="R68" s="1449" t="n"/>
      <c r="S68" s="1449" t="n"/>
    </row>
    <row r="69" customFormat="1" s="1450">
      <c r="G69" s="1179" t="n"/>
      <c r="H69" s="1460" t="n"/>
      <c r="I69" s="1173" t="n"/>
      <c r="J69" s="1173" t="n"/>
      <c r="K69" s="1173" t="n"/>
      <c r="L69" s="1173" t="n"/>
      <c r="M69" s="1206" t="inlineStr">
        <is>
          <t>Comparable Improved Rents</t>
        </is>
      </c>
      <c r="N69" s="1462" t="inlineStr">
        <is>
          <t>CoStar, MLS, Adams County Lease Data, Local Brokers</t>
        </is>
      </c>
      <c r="R69" s="1449" t="n"/>
      <c r="S69" s="1449" t="n"/>
    </row>
    <row r="70" ht="15" customFormat="1" customHeight="1" s="1450">
      <c r="K70" s="1482" t="n"/>
      <c r="L70" s="1482" t="n"/>
      <c r="M70" s="1475" t="inlineStr">
        <is>
          <t>Property Specific Data Requested and Received</t>
        </is>
      </c>
      <c r="N70" s="1482" t="n"/>
      <c r="R70" s="1482" t="n"/>
      <c r="S70" s="1482" t="n"/>
    </row>
    <row r="71" ht="15" customFormat="1" customHeight="1" s="1450">
      <c r="K71" s="1482" t="n"/>
      <c r="L71" s="1482" t="n"/>
      <c r="N71" s="1448" t="inlineStr">
        <is>
          <t>Lease, Lease Addendum</t>
        </is>
      </c>
      <c r="R71" s="1482" t="n"/>
      <c r="S71" s="1482" t="n"/>
    </row>
    <row r="72" customFormat="1" s="1450">
      <c r="K72" s="1482" t="n"/>
      <c r="L72" s="1482" t="n"/>
      <c r="N72" s="1448" t="inlineStr">
        <is>
          <t>Estimated financial analysis</t>
        </is>
      </c>
      <c r="R72" s="1482" t="n"/>
      <c r="S72" s="1482" t="n"/>
    </row>
    <row r="73" customFormat="1" s="1450">
      <c r="K73" s="1482" t="n"/>
      <c r="L73" s="1482" t="n"/>
      <c r="N73" s="1448" t="inlineStr">
        <is>
          <t>Property Expenses (2019, 2020)</t>
        </is>
      </c>
      <c r="R73" s="1482" t="n"/>
      <c r="S73" s="1482" t="n"/>
    </row>
    <row r="74" hidden="1" ht="15" customFormat="1" customHeight="1" s="1450">
      <c r="K74" s="1482" t="n"/>
      <c r="L74" s="1482" t="n"/>
      <c r="N74" s="1448" t="n"/>
      <c r="R74" s="1482" t="n"/>
      <c r="S74" s="1482" t="n"/>
    </row>
    <row r="75" customFormat="1" s="1450">
      <c r="K75" s="1482" t="n"/>
      <c r="L75" s="1482" t="n"/>
      <c r="M75" s="1171" t="inlineStr">
        <is>
          <t>Data Requested, but not Provided</t>
        </is>
      </c>
      <c r="N75" s="1448" t="n"/>
      <c r="R75" s="1482" t="n"/>
      <c r="S75" s="1482" t="n"/>
    </row>
    <row r="76" ht="15" customFormat="1" customHeight="1" s="1450">
      <c r="K76" s="1182" t="n"/>
      <c r="L76" s="1182" t="n"/>
      <c r="M76" s="1179" t="n"/>
      <c r="N76" s="1448" t="inlineStr">
        <is>
          <t>Rent Roll</t>
        </is>
      </c>
      <c r="O76" s="1448" t="n"/>
      <c r="P76" s="1448" t="n"/>
      <c r="Q76" s="1448" t="n"/>
      <c r="R76" s="1482" t="n"/>
      <c r="S76" s="1482" t="n"/>
    </row>
    <row r="77" customFormat="1" s="1450">
      <c r="K77" s="1482" t="n"/>
      <c r="L77" s="1482" t="n"/>
      <c r="M77" s="1179" t="n"/>
      <c r="N77" s="1448" t="inlineStr">
        <is>
          <t>Building Plans</t>
        </is>
      </c>
      <c r="O77" s="1448" t="n"/>
      <c r="P77" s="1448" t="n"/>
      <c r="Q77" s="1448" t="n"/>
      <c r="R77" s="1482" t="n"/>
      <c r="S77" s="1482" t="n"/>
    </row>
    <row r="78" ht="15" customFormat="1" customHeight="1" s="1450">
      <c r="K78" s="1482" t="n"/>
      <c r="L78" s="1482" t="n"/>
      <c r="M78" s="1179" t="n"/>
      <c r="N78" s="1448" t="inlineStr">
        <is>
          <t>Environmental survey</t>
        </is>
      </c>
      <c r="R78" s="1482" t="n"/>
      <c r="S78" s="1482" t="n"/>
    </row>
    <row r="79" ht="15" customFormat="1" customHeight="1" s="1450">
      <c r="K79" s="1482" t="n"/>
      <c r="L79" s="1482" t="n"/>
      <c r="M79" s="1180" t="n"/>
      <c r="N79" s="1483" t="inlineStr">
        <is>
          <t>ALTA Survey</t>
        </is>
      </c>
      <c r="O79" s="1458" t="n"/>
      <c r="P79" s="1458" t="n"/>
      <c r="Q79" s="1458" t="n"/>
      <c r="R79" s="1482" t="n"/>
      <c r="S79" s="1482" t="n"/>
    </row>
    <row r="80" ht="15" customFormat="1" customHeight="1" s="1450">
      <c r="K80" s="1482" t="n"/>
      <c r="L80" s="1482" t="n"/>
      <c r="M80" s="1179" t="n"/>
      <c r="N80" s="1482" t="n"/>
      <c r="O80" s="1482" t="n"/>
      <c r="P80" s="1482" t="n"/>
      <c r="Q80" s="1482" t="n"/>
      <c r="R80" s="1482" t="n"/>
      <c r="S80" s="1482" t="n"/>
    </row>
    <row r="81">
      <c r="D81" s="1402" t="n"/>
      <c r="R81" s="1471" t="inlineStr">
        <is>
          <t>EXTRAORDINARY ASSUMPTION(S) AND HYPOTHETICAL CONDITION(S)</t>
        </is>
      </c>
    </row>
    <row r="82" ht="63" customFormat="1" customHeight="1" s="1450">
      <c r="R82" s="1459"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0">
      <c r="E83" s="1403" t="n"/>
      <c r="F83" s="1404" t="n"/>
      <c r="R83" s="1053" t="inlineStr">
        <is>
          <t>Extraordinary Assumption(s)</t>
        </is>
      </c>
      <c r="S83" s="1459" t="n"/>
    </row>
    <row r="84" customFormat="1" s="1450">
      <c r="A84" s="1407">
        <f>IF(R84="","X","")</f>
        <v/>
      </c>
      <c r="E84" s="1403" t="n"/>
      <c r="Q84" s="1450" t="n">
        <v>1</v>
      </c>
      <c r="R84" s="1454" t="inlineStr">
        <is>
          <t>This appraisal employs no extroidinary assumptions.</t>
        </is>
      </c>
    </row>
    <row r="85" customFormat="1" s="1450">
      <c r="A85" s="1407">
        <f>IF(R85="","X","")</f>
        <v/>
      </c>
      <c r="E85" s="1403" t="n"/>
      <c r="Q85" s="1450" t="n">
        <v>2</v>
      </c>
      <c r="R85" s="1454">
        <f>IFERROR(IF(INDEX([14]!TableCondLang[#Data],MATCH($E85,[14]!TableCondLang[Row_Num],0),COLUMN([14]!TableCondLang[Discriminator])-1)="Extraordinary",INDEX([14]!TableCondLang[#Data],MATCH($E85,[14]!TableCondLang[Row_Num],0),COLUMN([14]!TableCondLang[Description])-1),""),"")</f>
        <v/>
      </c>
    </row>
    <row r="86" customFormat="1" s="1450">
      <c r="A86" s="1407">
        <f>IF(R86="","X","")</f>
        <v/>
      </c>
      <c r="E86" s="1403" t="n"/>
      <c r="Q86" s="1450" t="n">
        <v>3</v>
      </c>
      <c r="R86" s="1454">
        <f>IFERROR(IF(INDEX([14]!TableCondLang[#Data],MATCH($E86,[14]!TableCondLang[Row_Num],0),COLUMN([14]!TableCondLang[Discriminator])-1)="Extraordinary",INDEX([14]!TableCondLang[#Data],MATCH($E86,[14]!TableCondLang[Row_Num],0),COLUMN([14]!TableCondLang[Description])-1),""),"")</f>
        <v/>
      </c>
    </row>
    <row r="87" customFormat="1" s="1450">
      <c r="A87" s="1407">
        <f>IF(R87="","X","")</f>
        <v/>
      </c>
      <c r="E87" s="1403" t="n"/>
      <c r="Q87" s="1450" t="n">
        <v>4</v>
      </c>
      <c r="R87" s="1454">
        <f>IFERROR(IF(INDEX([14]!TableCondLang[#Data],MATCH($E87,[14]!TableCondLang[Row_Num],0),COLUMN([14]!TableCondLang[Discriminator])-1)="Extraordinary",INDEX([14]!TableCondLang[#Data],MATCH($E87,[14]!TableCondLang[Row_Num],0),COLUMN([14]!TableCondLang[Description])-1),""),"")</f>
        <v/>
      </c>
    </row>
    <row r="88" customFormat="1" s="1450">
      <c r="A88" s="1407">
        <f>IF(S88="","X","")</f>
        <v/>
      </c>
      <c r="E88" s="1403" t="n"/>
      <c r="S88" s="1459">
        <f>IFERROR(IF(INDEX([14]!TableCondLang[#Data],MATCH($E88,[14]!TableCondLang[Row_Num],0),COLUMN([14]!TableCondLang[Discriminator])-1)="Extraordinary",INDEX([14]!TableCondLang[#Data],MATCH($E88,[14]!TableCondLang[Row_Num],0),COLUMN([14]!TableCondLang[Description])-1),""),"")</f>
        <v/>
      </c>
    </row>
    <row r="89" customFormat="1" s="1450">
      <c r="A89" s="1407">
        <f>IF(S89="","X","")</f>
        <v/>
      </c>
      <c r="E89" s="1403" t="n"/>
      <c r="R89" s="1053" t="inlineStr">
        <is>
          <t>Hypothetical Condition(s)</t>
        </is>
      </c>
      <c r="S89" s="1459">
        <f>IFERROR(IF(INDEX([14]!TableCondLang[#Data],MATCH($E89,[14]!TableCondLang[Row_Num],0),COLUMN([14]!TableCondLang[Discriminator])-1)="Extraordinary",INDEX([14]!TableCondLang[#Data],MATCH($E89,[14]!TableCondLang[Row_Num],0),COLUMN([14]!TableCondLang[Description])-1),""),"")</f>
        <v/>
      </c>
    </row>
    <row r="90" customFormat="1" s="1450">
      <c r="A90" s="1407">
        <f>IF(R90="","X","")</f>
        <v/>
      </c>
      <c r="E90" s="1403" t="n"/>
      <c r="Q90" s="1450" t="n">
        <v>1</v>
      </c>
      <c r="R90" s="1454" t="inlineStr">
        <is>
          <t>This appraisal employs no hypothetical conditions.</t>
        </is>
      </c>
    </row>
    <row r="91" customFormat="1" s="1450">
      <c r="A91" s="1407">
        <f>IF(R91="","X","")</f>
        <v/>
      </c>
      <c r="E91" s="1403" t="n"/>
      <c r="Q91" s="1450" t="n">
        <v>2</v>
      </c>
      <c r="R91" s="1454">
        <f>IFERROR(IF(INDEX([14]!TableCondLang[#Data],MATCH($E91,[14]!TableCondLang[Row_Num],0),COLUMN([14]!TableCondLang[Discriminator])-1)="Extraordinary",INDEX([14]!TableCondLang[#Data],MATCH($E91,[14]!TableCondLang[Row_Num],0),COLUMN([14]!TableCondLang[Description])-1),""),"")</f>
        <v/>
      </c>
    </row>
    <row r="92" customFormat="1" s="1450">
      <c r="A92" s="1407">
        <f>IF(R92="","X","")</f>
        <v/>
      </c>
      <c r="E92" s="1403" t="n"/>
      <c r="Q92" s="1450" t="n">
        <v>3</v>
      </c>
      <c r="R92" s="1481">
        <f>IFERROR(IF(INDEX([14]!TableCondLang[#Data],MATCH($E92,[14]!TableCondLang[Row_Num],0),COLUMN([14]!TableCondLang[Discriminator])-1)="Extraordinary",INDEX([14]!TableCondLang[#Data],MATCH($E92,[14]!TableCondLang[Row_Num],0),COLUMN([14]!TableCondLang[Description])-1),""),"")</f>
        <v/>
      </c>
    </row>
    <row r="93" customFormat="1" s="1450">
      <c r="A93" s="1407">
        <f>IF(R93="","X","")</f>
        <v/>
      </c>
      <c r="E93" s="1403" t="n"/>
      <c r="F93" s="1405" t="n"/>
      <c r="G93" s="1406" t="n"/>
      <c r="Q93" s="1450" t="n">
        <v>4</v>
      </c>
      <c r="R93" s="1464">
        <f>IFERROR(IF(INDEX([14]!TableCondLang[#Data],MATCH($E93,[14]!TableCondLang[Row_Num],0),COLUMN([14]!TableCondLang[Discriminator])-1)="Extraordinary",INDEX([14]!TableCondLang[#Data],MATCH($E93,[14]!TableCondLang[Row_Num],0),COLUMN([14]!TableCondLang[Description])-1),""),"")</f>
        <v/>
      </c>
      <c r="S93" s="1458" t="n"/>
    </row>
    <row r="94" customFormat="1" s="1450">
      <c r="A94" s="1407">
        <f>IF(R94="","X","")</f>
        <v/>
      </c>
      <c r="E94" s="1403" t="n"/>
      <c r="F94" s="1405" t="n"/>
      <c r="G94" s="1406" t="n"/>
      <c r="R94" s="1484">
        <f>IFERROR(IF(INDEX([14]!TableCondLang[#Data],MATCH($E94,[14]!TableCondLang[Row_Num],0),COLUMN([14]!TableCondLang[Discriminator])-1)="Extraordinary",INDEX([14]!TableCondLang[#Data],MATCH($E94,[14]!TableCondLang[Row_Num],0),COLUMN([14]!TableCondLang[Description])-1),""),"")</f>
        <v/>
      </c>
    </row>
    <row r="95">
      <c r="G95" s="1179" t="n"/>
      <c r="H95" s="1486" t="n"/>
      <c r="K95" s="1450" t="n"/>
      <c r="L95" s="1450" t="n"/>
      <c r="M95" s="1450" t="n"/>
      <c r="N95" s="1450" t="n"/>
      <c r="O95" s="1450" t="n"/>
      <c r="P95" s="1450" t="n"/>
      <c r="Q95" s="1450" t="n"/>
      <c r="R95" s="1450" t="n"/>
      <c r="S95" s="1450" t="n"/>
      <c r="T95" s="1471" t="inlineStr">
        <is>
          <t>PROPERTY OVERVIEW</t>
        </is>
      </c>
    </row>
    <row r="96" ht="15" customHeight="1" s="1439">
      <c r="N96" s="1450" t="n"/>
      <c r="O96" s="1450" t="n"/>
      <c r="P96" s="1450" t="n"/>
      <c r="Q96" s="1450" t="n"/>
      <c r="R96" s="1450" t="n"/>
      <c r="S96" s="1450" t="n"/>
      <c r="T96" s="808" t="inlineStr">
        <is>
          <t>Property Name</t>
        </is>
      </c>
      <c r="U96" s="1451" t="inlineStr">
        <is>
          <t>Single-Tenant Industrial Building</t>
        </is>
      </c>
    </row>
    <row r="97">
      <c r="N97" s="1450" t="n"/>
      <c r="O97" s="1450" t="n"/>
      <c r="P97" s="1450" t="n"/>
      <c r="Q97" s="1450" t="n"/>
      <c r="R97" s="1450" t="n"/>
      <c r="S97" s="1450" t="n"/>
      <c r="T97" s="808" t="inlineStr">
        <is>
          <t>Address</t>
        </is>
      </c>
      <c r="U97" s="1445">
        <f>'Property Info'!B16</f>
        <v/>
      </c>
    </row>
    <row r="98">
      <c r="N98" s="1450" t="n"/>
      <c r="O98" s="1450" t="n"/>
      <c r="P98" s="1450" t="n"/>
      <c r="Q98" s="1450" t="n"/>
      <c r="R98" s="1450" t="n"/>
      <c r="S98" s="1450" t="n"/>
      <c r="T98" s="808" t="n"/>
      <c r="U98" s="1445">
        <f>'Property Info'!B17</f>
        <v/>
      </c>
    </row>
    <row r="99" ht="30.75" customHeight="1" s="1439">
      <c r="N99" s="1450" t="n"/>
      <c r="O99" s="1450" t="n"/>
      <c r="P99" s="1450" t="n"/>
      <c r="Q99" s="1450" t="n"/>
      <c r="R99" s="1450" t="n"/>
      <c r="S99" s="1450" t="n"/>
      <c r="T99" s="808" t="inlineStr">
        <is>
          <t>Location</t>
        </is>
      </c>
      <c r="U99" s="1451" t="inlineStr">
        <is>
          <t xml:space="preserve">North side of West 62nd Avenue, west of Washington Street, in unincorporated Adams County, Colorado. </t>
        </is>
      </c>
    </row>
    <row r="100">
      <c r="N100" s="1450" t="n"/>
      <c r="O100" s="1450" t="n"/>
      <c r="P100" s="1450" t="n"/>
      <c r="Q100" s="1450" t="n"/>
      <c r="R100" s="1450" t="n"/>
      <c r="S100" s="1450" t="n"/>
      <c r="T100" s="808" t="inlineStr">
        <is>
          <t>Property Description</t>
        </is>
      </c>
      <c r="U100" s="1445">
        <f>U96</f>
        <v/>
      </c>
    </row>
    <row r="101" hidden="1" ht="15" customHeight="1" s="1439">
      <c r="N101" s="1450" t="n"/>
      <c r="O101" s="1450" t="n"/>
      <c r="P101" s="1450" t="n"/>
      <c r="Q101" s="1450" t="n"/>
      <c r="R101" s="1450" t="n"/>
      <c r="S101" s="1450" t="n"/>
      <c r="T101" s="1147" t="inlineStr">
        <is>
          <t>and</t>
        </is>
      </c>
      <c r="U101" s="1451">
        <f>'[7]Improvement Description_2'!C31&amp;" ("&amp;'[7]Improvement Description_2'!C32&amp;")
"&amp;'[7]Improvement Description_2'!C33</f>
        <v/>
      </c>
    </row>
    <row r="102">
      <c r="N102" s="1450" t="n"/>
      <c r="O102" s="1450" t="n"/>
      <c r="P102" s="1450" t="n"/>
      <c r="Q102" s="1450" t="n"/>
      <c r="R102" s="1450" t="n"/>
      <c r="S102" s="1450" t="n"/>
      <c r="T102" s="808" t="inlineStr">
        <is>
          <t>County</t>
        </is>
      </c>
      <c r="U102" s="1479">
        <f>'Property Info'!B18</f>
        <v/>
      </c>
    </row>
    <row r="103">
      <c r="N103" s="1450" t="n"/>
      <c r="O103" s="1450" t="n"/>
      <c r="P103" s="1450" t="n"/>
      <c r="Q103" s="1450" t="n"/>
      <c r="R103" s="1450" t="n"/>
      <c r="S103" s="1450" t="n"/>
      <c r="T103" s="808" t="inlineStr">
        <is>
          <t>Account Number(s)</t>
        </is>
      </c>
      <c r="U103" s="1479">
        <f>'Property Info'!B1</f>
        <v/>
      </c>
    </row>
    <row r="104" ht="49.5" customHeight="1" s="1439">
      <c r="N104" s="1450" t="n"/>
      <c r="O104" s="1450" t="n"/>
      <c r="P104" s="1450" t="n"/>
      <c r="Q104" s="1450" t="n"/>
      <c r="R104" s="1470" t="n"/>
      <c r="S104" s="1470" t="n"/>
      <c r="T104" s="1148" t="inlineStr">
        <is>
          <t>Note:</t>
        </is>
      </c>
      <c r="U104" s="1469" t="inlineStr">
        <is>
          <t xml:space="preserve">Property has a mailing address for the City of Denver, but is located in unincorporated Adams County and is governed by County regulations. </t>
        </is>
      </c>
    </row>
    <row r="105" hidden="1" ht="15" customHeight="1" s="1439">
      <c r="N105" s="1450" t="n"/>
      <c r="O105" s="1450" t="n"/>
      <c r="P105" s="1450" t="n"/>
      <c r="Q105" s="1450" t="n"/>
      <c r="R105" s="1450" t="n"/>
      <c r="S105" s="1450" t="n"/>
      <c r="T105" s="826" t="inlineStr">
        <is>
          <t>Census Tract No.</t>
        </is>
      </c>
      <c r="U105" s="1445">
        <f>pdCensusTract</f>
        <v/>
      </c>
    </row>
    <row r="106">
      <c r="N106" s="1450" t="n"/>
      <c r="O106" s="1450" t="n"/>
      <c r="P106" s="1450" t="n"/>
      <c r="Q106" s="1450" t="n"/>
      <c r="R106" s="1450" t="n"/>
      <c r="S106" s="1450" t="n"/>
      <c r="T106" s="808" t="inlineStr">
        <is>
          <t>Legal Description</t>
        </is>
      </c>
      <c r="U106" s="1451" t="inlineStr">
        <is>
          <t>SUB:SAL LOT:1</t>
        </is>
      </c>
    </row>
    <row r="107">
      <c r="N107" s="1450" t="n"/>
      <c r="O107" s="1450" t="n"/>
      <c r="P107" s="1450" t="n"/>
      <c r="Q107" s="1450" t="n"/>
      <c r="R107" s="1450" t="n"/>
      <c r="S107" s="1450" t="n"/>
      <c r="T107" s="808" t="inlineStr">
        <is>
          <t>Site Area</t>
        </is>
      </c>
      <c r="U107" s="1479" t="n"/>
      <c r="V107" s="1148" t="n"/>
      <c r="W107" s="1148" t="n"/>
      <c r="X107" s="1148" t="n"/>
    </row>
    <row r="108">
      <c r="N108" s="1450" t="n"/>
      <c r="O108" s="1450" t="n"/>
      <c r="P108" s="1450" t="n"/>
      <c r="Q108" s="1450" t="n"/>
      <c r="R108" s="1450" t="n"/>
      <c r="S108" s="1450" t="n"/>
      <c r="T108" s="1209" t="inlineStr">
        <is>
          <t>Primary Site</t>
        </is>
      </c>
      <c r="U108" s="1702">
        <f>'Property Info'!B11</f>
        <v/>
      </c>
      <c r="V108" s="1703">
        <f>U108/43560</f>
        <v/>
      </c>
      <c r="W108" s="1148" t="n"/>
      <c r="X108" s="1148" t="n"/>
    </row>
    <row r="109">
      <c r="N109" s="1450" t="n"/>
      <c r="O109" s="1450" t="n"/>
      <c r="P109" s="1450" t="n"/>
      <c r="Q109" s="1450" t="n"/>
      <c r="R109" s="1450" t="n"/>
      <c r="S109" s="1450" t="n"/>
      <c r="T109" s="1209" t="inlineStr">
        <is>
          <t>Excess Land</t>
        </is>
      </c>
      <c r="U109" s="1702" t="n">
        <v>0</v>
      </c>
      <c r="V109" s="1703">
        <f>U109/43560</f>
        <v/>
      </c>
      <c r="W109" s="1148" t="n"/>
      <c r="X109" s="1148" t="n"/>
    </row>
    <row r="110">
      <c r="N110" s="1450" t="n"/>
      <c r="O110" s="1450" t="n"/>
      <c r="P110" s="1450" t="n"/>
      <c r="Q110" s="1450" t="n"/>
      <c r="R110" s="1450" t="n"/>
      <c r="S110" s="1450" t="n"/>
      <c r="T110" s="1209" t="inlineStr">
        <is>
          <t>Surplus Land</t>
        </is>
      </c>
      <c r="U110" s="1702" t="n">
        <v>0</v>
      </c>
      <c r="V110" s="1703">
        <f>U110/43560</f>
        <v/>
      </c>
      <c r="W110" s="1148" t="n"/>
      <c r="X110" s="1148" t="n"/>
    </row>
    <row r="111">
      <c r="N111" s="1450" t="n"/>
      <c r="O111" s="1450" t="n"/>
      <c r="P111" s="1450" t="n"/>
      <c r="Q111" s="1450" t="n"/>
      <c r="R111" s="1450" t="n"/>
      <c r="S111" s="1450" t="n"/>
      <c r="T111" s="826" t="inlineStr">
        <is>
          <t>Total</t>
        </is>
      </c>
      <c r="U111" s="1704">
        <f>SUM(U108:U110)</f>
        <v/>
      </c>
      <c r="V111" s="1705">
        <f>U111/43560</f>
        <v/>
      </c>
      <c r="W111" s="1148" t="n"/>
      <c r="X111" s="1148" t="n"/>
    </row>
    <row r="112">
      <c r="N112" s="1450" t="n"/>
      <c r="O112" s="1450" t="n"/>
      <c r="P112" s="1450" t="n"/>
      <c r="Q112" s="1450" t="n"/>
      <c r="R112" s="1450" t="n"/>
      <c r="S112" s="1450" t="n"/>
      <c r="T112" s="826" t="inlineStr">
        <is>
          <t>Zoning</t>
        </is>
      </c>
      <c r="U112" s="1445">
        <f>'Property Info'!B29</f>
        <v/>
      </c>
    </row>
    <row r="113">
      <c r="N113" s="1450" t="n"/>
      <c r="O113" s="1450" t="n"/>
      <c r="P113" s="1450" t="n"/>
      <c r="Q113" s="1450" t="n"/>
      <c r="R113" s="1450" t="n"/>
      <c r="S113" s="1450" t="n"/>
      <c r="T113" s="826" t="inlineStr">
        <is>
          <t>Flood Status</t>
        </is>
      </c>
      <c r="U113" s="1445">
        <f>'Site Information'!C17</f>
        <v/>
      </c>
    </row>
    <row r="114">
      <c r="N114" s="1450" t="n"/>
      <c r="O114" s="1450" t="n"/>
      <c r="P114" s="1450" t="n"/>
      <c r="Q114" s="1450" t="n"/>
      <c r="R114" s="1450" t="n"/>
      <c r="S114" s="1450" t="n"/>
      <c r="T114" s="826" t="inlineStr">
        <is>
          <t>Year Built</t>
        </is>
      </c>
      <c r="U114" s="1445">
        <f>'Property Info'!B8</f>
        <v/>
      </c>
    </row>
    <row r="115" hidden="1" s="1439">
      <c r="N115" s="1450" t="n"/>
      <c r="O115" s="1450" t="n"/>
      <c r="P115" s="1450" t="n"/>
      <c r="Q115" s="1450" t="n"/>
      <c r="R115" s="1450" t="n"/>
      <c r="S115" s="1450" t="n"/>
      <c r="T115" s="1147" t="inlineStr">
        <is>
          <t>and</t>
        </is>
      </c>
      <c r="U115" s="1451">
        <f>'[7]Improvement Description_2'!C34</f>
        <v/>
      </c>
    </row>
    <row r="116">
      <c r="N116" s="1450" t="n"/>
      <c r="O116" s="1450" t="n"/>
      <c r="P116" s="1450" t="n"/>
      <c r="Q116" s="1450" t="n"/>
      <c r="R116" s="1450" t="n"/>
      <c r="S116" s="1450" t="n"/>
      <c r="T116" s="826" t="inlineStr">
        <is>
          <t>Year Renovated</t>
        </is>
      </c>
      <c r="U116" s="1451" t="n">
        <v>2009</v>
      </c>
    </row>
    <row r="117" hidden="1" s="1439">
      <c r="N117" s="1450" t="n"/>
      <c r="O117" s="1450" t="n"/>
      <c r="P117" s="1450" t="n"/>
      <c r="Q117" s="1450" t="n"/>
      <c r="R117" s="1450" t="n"/>
      <c r="S117" s="1450" t="n"/>
      <c r="T117" s="1147" t="inlineStr">
        <is>
          <t>and</t>
        </is>
      </c>
      <c r="U117" s="1445">
        <f>IF(OR('[7]Improvement Description_2'!C35=0,'[7]Improvement Description_2'!C35=""),"N/A",'[7]Improvement Description_2'!C35)</f>
        <v/>
      </c>
    </row>
    <row r="118">
      <c r="N118" s="1450" t="n"/>
      <c r="O118" s="1450" t="n"/>
      <c r="P118" s="1450" t="n"/>
      <c r="Q118" s="1450" t="n"/>
      <c r="R118" s="1450" t="n"/>
      <c r="S118" s="1450" t="n"/>
      <c r="T118" s="826" t="inlineStr">
        <is>
          <t>Type of Construction</t>
        </is>
      </c>
      <c r="U118" s="1451" t="inlineStr">
        <is>
          <t>Masonry, steel-frame</t>
        </is>
      </c>
    </row>
    <row r="119" hidden="1" s="1439">
      <c r="N119" s="1450" t="n"/>
      <c r="O119" s="1450" t="n"/>
      <c r="P119" s="1450" t="n"/>
      <c r="Q119" s="1450" t="n"/>
      <c r="R119" s="1450" t="n"/>
      <c r="S119" s="1450" t="n"/>
      <c r="T119" s="1147" t="inlineStr">
        <is>
          <t>and</t>
        </is>
      </c>
      <c r="U119" s="1445">
        <f>'[7]Improvement Description_2'!C85</f>
        <v/>
      </c>
    </row>
    <row r="120">
      <c r="N120" s="1450" t="n"/>
      <c r="O120" s="1450" t="n"/>
      <c r="P120" s="1450" t="n"/>
      <c r="Q120" s="1450" t="n"/>
      <c r="R120" s="1450" t="n"/>
      <c r="S120" s="1450" t="n"/>
      <c r="T120" s="826" t="inlineStr">
        <is>
          <t>Number of Buildings</t>
        </is>
      </c>
      <c r="U120" s="1473">
        <f>'Property Info'!B3</f>
        <v/>
      </c>
    </row>
    <row r="121" hidden="1" s="1439">
      <c r="N121" s="1450" t="n"/>
      <c r="O121" s="1450" t="n"/>
      <c r="P121" s="1450" t="n"/>
      <c r="Q121" s="1450" t="n"/>
      <c r="R121" s="1450" t="n"/>
      <c r="S121" s="1450" t="n"/>
      <c r="T121" s="1147" t="inlineStr">
        <is>
          <t>and</t>
        </is>
      </c>
      <c r="U121" s="1445">
        <f>'[7]Improvement Description_2'!C36</f>
        <v/>
      </c>
    </row>
    <row r="122">
      <c r="N122" s="1450" t="n"/>
      <c r="O122" s="1450" t="n"/>
      <c r="P122" s="1450" t="n"/>
      <c r="Q122" s="1450" t="n"/>
      <c r="R122" s="1450" t="n"/>
      <c r="S122" s="1450" t="n"/>
      <c r="T122" s="826" t="inlineStr">
        <is>
          <t>Gross Leasable Area (SF)</t>
        </is>
      </c>
      <c r="U122" s="1706">
        <f>'Property Info'!B4</f>
        <v/>
      </c>
    </row>
    <row r="123" hidden="1" s="1439">
      <c r="N123" s="1450" t="n"/>
      <c r="O123" s="1450" t="n"/>
      <c r="P123" s="1450" t="n"/>
      <c r="Q123" s="1450" t="n"/>
      <c r="R123" s="1450" t="n"/>
      <c r="S123" s="1450" t="n"/>
      <c r="T123" s="1147" t="inlineStr">
        <is>
          <t>and</t>
        </is>
      </c>
      <c r="U123" s="1706">
        <f>'[7]Improvement Description_2'!C39</f>
        <v/>
      </c>
    </row>
    <row r="124" hidden="1" s="1439">
      <c r="N124" s="1450" t="n"/>
      <c r="O124" s="1450" t="n"/>
      <c r="P124" s="1450" t="n"/>
      <c r="Q124" s="1450" t="n"/>
      <c r="R124" s="1450" t="n"/>
      <c r="S124" s="1450" t="n"/>
      <c r="T124" s="826" t="inlineStr">
        <is>
          <t>Net Rentable Area (SF)</t>
        </is>
      </c>
      <c r="U124" s="1706">
        <f>'Property Info'!B6</f>
        <v/>
      </c>
    </row>
    <row r="125" hidden="1" ht="14.25" customHeight="1" s="1439">
      <c r="N125" s="1450" t="n"/>
      <c r="O125" s="1450" t="n"/>
      <c r="P125" s="1450" t="n"/>
      <c r="Q125" s="1450" t="n"/>
      <c r="R125" s="1450" t="n"/>
      <c r="S125" s="1450" t="n"/>
      <c r="T125" s="1147" t="inlineStr">
        <is>
          <t>and</t>
        </is>
      </c>
      <c r="U125" s="1706">
        <f>'[7]Improvement Description_2'!C40</f>
        <v/>
      </c>
    </row>
    <row r="126">
      <c r="N126" s="1450" t="n"/>
      <c r="O126" s="1450" t="n"/>
      <c r="P126" s="1450" t="n"/>
      <c r="Q126" s="1450" t="n"/>
      <c r="R126" s="1470" t="n"/>
      <c r="S126" s="1470" t="n"/>
      <c r="T126" s="826" t="inlineStr">
        <is>
          <t>Total Number of Units</t>
        </is>
      </c>
      <c r="U126" s="1451" t="n">
        <v>1</v>
      </c>
    </row>
    <row r="127">
      <c r="N127" s="1450" t="n"/>
      <c r="O127" s="1450" t="n"/>
      <c r="P127" s="1450" t="n"/>
      <c r="Q127" s="1450" t="n"/>
      <c r="R127" s="1470" t="n"/>
      <c r="S127" s="1470" t="n"/>
      <c r="T127" s="826" t="inlineStr">
        <is>
          <t>Total Number of Tenants</t>
        </is>
      </c>
      <c r="U127" s="1451" t="n">
        <v>1</v>
      </c>
    </row>
    <row r="128">
      <c r="N128" s="1450" t="n"/>
      <c r="O128" s="1450" t="n"/>
      <c r="P128" s="1450" t="n"/>
      <c r="Q128" s="1450" t="n"/>
      <c r="R128" s="1450" t="n"/>
      <c r="S128" s="1450" t="n"/>
      <c r="T128" s="826" t="inlineStr">
        <is>
          <t>Assumed Occupancy</t>
        </is>
      </c>
      <c r="U128" s="1485">
        <f>'Property Info'!B19</f>
        <v/>
      </c>
    </row>
    <row r="129">
      <c r="N129" s="1450" t="n"/>
      <c r="O129" s="1450" t="n"/>
      <c r="P129" s="1450" t="n"/>
      <c r="Q129" s="1450" t="n"/>
      <c r="R129" s="1450" t="n"/>
      <c r="S129" s="1450" t="n"/>
      <c r="T129" s="826" t="inlineStr">
        <is>
          <t>Overall Condition</t>
        </is>
      </c>
      <c r="U129" s="1445">
        <f>'Property Info'!B9</f>
        <v/>
      </c>
    </row>
    <row r="130">
      <c r="N130" s="1450" t="n"/>
      <c r="O130" s="1450" t="n"/>
      <c r="P130" s="1450" t="n"/>
      <c r="Q130" s="1450" t="n"/>
      <c r="R130" s="1450" t="n"/>
      <c r="S130" s="1450" t="n"/>
      <c r="T130" s="826" t="inlineStr">
        <is>
          <t>Overall Quality</t>
        </is>
      </c>
      <c r="U130" s="1473">
        <f>Export030823!U2</f>
        <v/>
      </c>
    </row>
    <row r="131">
      <c r="T131" s="886" t="inlineStr">
        <is>
          <t>Overall Design/Functionality</t>
        </is>
      </c>
      <c r="U131" s="1477">
        <f>Export030823!X2</f>
        <v/>
      </c>
      <c r="V131" s="1458" t="n"/>
      <c r="W131" s="1458" t="n"/>
      <c r="X131" s="1458" t="n"/>
    </row>
    <row r="132" customFormat="1" s="1450">
      <c r="Y132" s="1480" t="inlineStr">
        <is>
          <t>FILL IN ENTIRE TABLE HERE</t>
        </is>
      </c>
      <c r="Z132" s="1458" t="n"/>
      <c r="AA132" s="1458" t="n"/>
      <c r="AB132" s="1458" t="n"/>
    </row>
    <row r="133">
      <c r="Y133" s="1467" t="inlineStr">
        <is>
          <t>APPEAL HISTORY</t>
        </is>
      </c>
      <c r="Z133" s="1468" t="n"/>
      <c r="AA133" s="1468" t="n"/>
      <c r="AB133" s="1468" t="n"/>
    </row>
    <row r="134">
      <c r="Y134" s="417" t="inlineStr">
        <is>
          <t>Docket #:</t>
        </is>
      </c>
      <c r="Z134" s="1478" t="inlineStr">
        <is>
          <t>2022BAA1194</t>
        </is>
      </c>
    </row>
    <row r="135">
      <c r="Y135" s="1190" t="n"/>
      <c r="Z135" s="1191" t="inlineStr">
        <is>
          <t>Land</t>
        </is>
      </c>
      <c r="AA135" s="1191" t="inlineStr">
        <is>
          <t>Improvements</t>
        </is>
      </c>
      <c r="AB135" s="1191" t="inlineStr">
        <is>
          <t>Total</t>
        </is>
      </c>
    </row>
    <row r="136">
      <c r="Y136" s="824" t="inlineStr">
        <is>
          <t>Assessor's Assigned Value</t>
        </is>
      </c>
      <c r="Z136" s="1707" t="n">
        <v>758212</v>
      </c>
      <c r="AA136" s="1708">
        <f>3916200-Z136</f>
        <v/>
      </c>
      <c r="AB136" s="1708">
        <f>SUM(Z136:AA136)</f>
        <v/>
      </c>
    </row>
    <row r="137">
      <c r="Y137" s="824" t="inlineStr">
        <is>
          <t>Petitioners Estimated Value</t>
        </is>
      </c>
      <c r="Z137" s="1707" t="n">
        <v>758212</v>
      </c>
      <c r="AA137" s="1708">
        <f>3060000-Z137</f>
        <v/>
      </c>
      <c r="AB137" s="1708">
        <f>SUM(Z137:AA137)</f>
        <v/>
      </c>
    </row>
    <row r="138" ht="13.5" customHeight="1" s="1439">
      <c r="Y138" s="417" t="inlineStr">
        <is>
          <t>Adjustment by Assessor</t>
        </is>
      </c>
      <c r="Z138" s="1707" t="n">
        <v>0</v>
      </c>
      <c r="AA138" s="1708" t="n">
        <v>0</v>
      </c>
      <c r="AB138" s="1708">
        <f>SUM(Z138:AA138)</f>
        <v/>
      </c>
    </row>
    <row r="139" ht="6.75" customHeight="1" s="1439">
      <c r="Y139" s="417" t="n"/>
      <c r="Z139" s="1707" t="n"/>
      <c r="AA139" s="1708" t="n"/>
      <c r="AB139" s="1708" t="n"/>
    </row>
    <row r="140" ht="15" customHeight="1" s="1439">
      <c r="Y140" s="417" t="inlineStr">
        <is>
          <t>BOE Assigned Value</t>
        </is>
      </c>
      <c r="Z140" s="1707">
        <f>Z136</f>
        <v/>
      </c>
      <c r="AA140" s="1708">
        <f>AA136</f>
        <v/>
      </c>
      <c r="AB140" s="1708">
        <f>SUM(Z140:AA140)</f>
        <v/>
      </c>
    </row>
    <row r="141" ht="15" customHeight="1" s="1439">
      <c r="Y141" s="1194" t="inlineStr">
        <is>
          <t>BOE #</t>
        </is>
      </c>
      <c r="Z141" s="1453" t="n">
        <v>126437</v>
      </c>
      <c r="AB141" s="1709" t="n"/>
    </row>
    <row r="142" ht="15" customHeight="1" s="1439">
      <c r="Y142" s="1196" t="inlineStr">
        <is>
          <t>Adjustment by BOE</t>
        </is>
      </c>
      <c r="Z142" s="1707" t="n">
        <v>0</v>
      </c>
      <c r="AA142" s="1708" t="n">
        <v>0</v>
      </c>
      <c r="AB142" s="1708">
        <f>SUM(Z142:AA142)</f>
        <v/>
      </c>
    </row>
    <row r="143">
      <c r="Y143" s="1197" t="inlineStr">
        <is>
          <t>Current Actual Value</t>
        </is>
      </c>
      <c r="Z143" s="1710">
        <f>Z136</f>
        <v/>
      </c>
      <c r="AA143" s="1711">
        <f>AA136</f>
        <v/>
      </c>
      <c r="AB143" s="1711">
        <f>SUM(Z143:AA143)</f>
        <v/>
      </c>
      <c r="AC143" s="1480" t="inlineStr">
        <is>
          <t>FILL IN ENTIRE TABLE HERE</t>
        </is>
      </c>
      <c r="AD143" s="1458" t="n"/>
      <c r="AE143" s="1458" t="n"/>
      <c r="AF143" s="1458" t="n"/>
    </row>
    <row r="144" hidden="1" s="1439">
      <c r="Y144" s="417" t="inlineStr">
        <is>
          <t>Current Assessed Value</t>
        </is>
      </c>
      <c r="Z144" s="1712" t="n"/>
      <c r="AA144" s="1713" t="n"/>
      <c r="AB144" s="1708">
        <f>SUM(Z144:AA144)</f>
        <v/>
      </c>
    </row>
    <row r="145" hidden="1" s="1439">
      <c r="Y145" s="1189" t="inlineStr">
        <is>
          <t>Current Assessed Value</t>
        </is>
      </c>
      <c r="Z145" s="1714" t="n"/>
      <c r="AA145" s="1715" t="n"/>
      <c r="AB145" s="1711">
        <f>SUM(Z145:AA145)</f>
        <v/>
      </c>
    </row>
    <row r="146" hidden="1" s="1439">
      <c r="Y146" s="417" t="n"/>
      <c r="Z146" s="1463" t="n"/>
    </row>
    <row r="147">
      <c r="Y147" s="417" t="n"/>
      <c r="Z147" s="1124" t="n"/>
      <c r="AA147" s="1184" t="n"/>
      <c r="AB147" s="1184" t="n"/>
      <c r="AC147" s="1474" t="inlineStr">
        <is>
          <t>SUBJECT SALE HISTORY</t>
        </is>
      </c>
    </row>
    <row r="148">
      <c r="Y148" s="824" t="n"/>
      <c r="Z148" s="1716" t="n"/>
      <c r="AA148" s="1717" t="n"/>
      <c r="AB148" s="1184" t="n"/>
      <c r="AC148" s="1065" t="n"/>
      <c r="AD148" s="1204" t="inlineStr">
        <is>
          <t>Status</t>
        </is>
      </c>
      <c r="AE148" s="1204" t="inlineStr">
        <is>
          <t>Price</t>
        </is>
      </c>
      <c r="AF148" s="1204" t="inlineStr">
        <is>
          <t>Price PSF</t>
        </is>
      </c>
    </row>
    <row r="149">
      <c r="Y149" s="824" t="n"/>
      <c r="Z149" s="1716" t="n"/>
      <c r="AA149" s="1717" t="n"/>
      <c r="AB149" s="1184" t="n"/>
      <c r="AC149" s="889" t="inlineStr">
        <is>
          <t>Subject Listed for Sale/Price</t>
        </is>
      </c>
      <c r="AD149" s="1718">
        <f>IF(AE149="N/A","N/A","Currently Listed")</f>
        <v/>
      </c>
      <c r="AE149" s="1719">
        <f>IF('[7]Property History'!T115&gt;0,'[7]Property History'!T115,"N/A")</f>
        <v/>
      </c>
      <c r="AF149" s="1720">
        <f>IFERROR(AE149/GBA,0)</f>
        <v/>
      </c>
    </row>
    <row r="150">
      <c r="Y150" s="824" t="n"/>
      <c r="Z150" s="1716" t="n"/>
      <c r="AA150" s="1717" t="n"/>
      <c r="AB150" s="1184" t="n"/>
      <c r="AC150" s="889" t="inlineStr">
        <is>
          <t>Subject Under Contract/Price</t>
        </is>
      </c>
      <c r="AD150" s="1718">
        <f>IF('[7]Property History'!T122="","N/A",'[7]Property History'!T122)</f>
        <v/>
      </c>
      <c r="AE150" s="1719">
        <f>IF('[7]Property History'!T123&gt;0,'[7]Property History'!T123,"N/A")</f>
        <v/>
      </c>
      <c r="AF150" s="1720">
        <f>IFERROR(AE150/GBA,0)</f>
        <v/>
      </c>
    </row>
    <row r="151">
      <c r="Y151" s="824" t="n"/>
      <c r="Z151" s="1721" t="n"/>
      <c r="AA151" s="1722" t="n"/>
      <c r="AB151" s="1184" t="n"/>
      <c r="AC151" s="889" t="inlineStr">
        <is>
          <t>Recent Sale</t>
        </is>
      </c>
      <c r="AD151" s="1718">
        <f>IF('[7]Property History'!T132="","N/A",'[7]Property History'!T132)</f>
        <v/>
      </c>
      <c r="AE151" s="1719">
        <f>IF('[7]Property History'!T134&gt;0,'[7]Property History'!T134,"N/A")</f>
        <v/>
      </c>
      <c r="AF151" s="1720">
        <f>IFERROR(AE151/GBA,0)</f>
        <v/>
      </c>
    </row>
    <row r="152">
      <c r="Y152" s="824" t="n"/>
      <c r="Z152" s="1446" t="n"/>
      <c r="AC152" s="1205" t="inlineStr">
        <is>
          <t>Recent Sale</t>
        </is>
      </c>
      <c r="AD152" s="1723">
        <f>IF('[7]Property History'!T132="","N/A",'[7]Property History'!T132)</f>
        <v/>
      </c>
      <c r="AE152" s="1724">
        <f>IF('[7]Property History'!T134&gt;0,'[7]Property History'!T134,"N/A")</f>
        <v/>
      </c>
      <c r="AF152" s="1725">
        <f>IFERROR(AE152/GBA,0)</f>
        <v/>
      </c>
    </row>
    <row r="153">
      <c r="Y153" s="824" t="n"/>
      <c r="Z153" s="1446" t="n"/>
    </row>
    <row r="154">
      <c r="Y154" s="1183" t="n"/>
      <c r="Z154" s="1446" t="n"/>
    </row>
    <row r="155">
      <c r="Y155" s="824" t="n"/>
      <c r="Z155" s="1726" t="n"/>
    </row>
    <row r="156">
      <c r="Y156" s="1183" t="n"/>
      <c r="Z156" s="1726" t="n"/>
    </row>
    <row r="157">
      <c r="Y157" s="824" t="n"/>
      <c r="Z157" s="1726" t="n"/>
    </row>
    <row r="158">
      <c r="Y158" s="1183" t="n"/>
      <c r="Z158" s="1726" t="n"/>
    </row>
    <row r="159">
      <c r="Y159" s="824" t="n"/>
      <c r="Z159" s="1446" t="n"/>
    </row>
    <row r="160">
      <c r="Y160" s="824" t="n"/>
      <c r="Z160" s="1446" t="n"/>
    </row>
    <row r="161">
      <c r="Y161" s="824" t="n"/>
      <c r="Z161" s="1727" t="n"/>
    </row>
    <row r="162">
      <c r="Y162" s="824" t="n"/>
      <c r="Z162" s="1446" t="n"/>
    </row>
    <row r="163">
      <c r="Y163" s="824" t="n"/>
      <c r="Z163" s="1446" t="n"/>
    </row>
    <row r="164">
      <c r="Y164" s="1189" t="n"/>
      <c r="Z164" s="1457" t="n"/>
      <c r="AA164" s="1458" t="n"/>
      <c r="AB164" s="1458"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H34:L34"/>
    <mergeCell ref="R87:S87"/>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topLeftCell="E16" zoomScale="175" zoomScaleNormal="175" workbookViewId="0">
      <selection activeCell="F32" sqref="F32"/>
    </sheetView>
  </sheetViews>
  <sheetFormatPr baseColWidth="8" defaultRowHeight="15"/>
  <cols>
    <col width="32.42578125" customWidth="1" style="1439" min="2" max="2"/>
    <col width="14.85546875" customWidth="1" style="1439" min="3" max="3"/>
    <col width="21.85546875" bestFit="1" customWidth="1" style="1439" min="4" max="4"/>
    <col width="14" bestFit="1" customWidth="1" style="1439" min="5" max="5"/>
    <col width="23.28515625" customWidth="1" style="1439" min="6" max="6"/>
    <col width="19.42578125" customWidth="1" style="1439" min="7" max="9"/>
    <col width="13.5703125" customWidth="1" style="1439" min="13" max="13"/>
  </cols>
  <sheetData>
    <row r="2">
      <c r="B2" s="1488" t="inlineStr">
        <is>
          <t>MARKET DATA</t>
        </is>
      </c>
    </row>
    <row r="3">
      <c r="B3" s="889" t="inlineStr">
        <is>
          <t>Surrounding Area</t>
        </is>
      </c>
      <c r="C3" s="1212" t="inlineStr">
        <is>
          <t xml:space="preserve">Industrial </t>
        </is>
      </c>
      <c r="D3" s="889" t="inlineStr">
        <is>
          <t>Market Trend</t>
        </is>
      </c>
      <c r="E3" s="1489" t="inlineStr">
        <is>
          <t>Growth</t>
        </is>
      </c>
    </row>
    <row r="4">
      <c r="B4" s="889" t="inlineStr">
        <is>
          <t>Overall Real Estate Values</t>
        </is>
      </c>
      <c r="C4" s="1212" t="inlineStr">
        <is>
          <t xml:space="preserve">Increasing </t>
        </is>
      </c>
      <c r="D4" s="889" t="inlineStr">
        <is>
          <t>Neighborhood Vacancy</t>
        </is>
      </c>
      <c r="E4" s="1214" t="n">
        <v>0.053</v>
      </c>
    </row>
    <row r="5" ht="15" customHeight="1" s="1439">
      <c r="B5" s="889" t="inlineStr">
        <is>
          <t>Predominant Property Use(s)</t>
        </is>
      </c>
      <c r="C5" s="1454" t="inlineStr">
        <is>
          <t>Industrial
Neighborhood Retail
Lodging</t>
        </is>
      </c>
      <c r="D5" s="889" t="inlineStr">
        <is>
          <t>Estimated Marketing</t>
        </is>
      </c>
      <c r="E5" s="1489" t="inlineStr">
        <is>
          <t>12 months</t>
        </is>
      </c>
    </row>
    <row r="6" ht="30.75" customHeight="1" s="1439">
      <c r="D6" s="889" t="inlineStr">
        <is>
          <t>Estimated Exposure</t>
        </is>
      </c>
      <c r="E6" s="1489" t="inlineStr">
        <is>
          <t>12 months</t>
        </is>
      </c>
    </row>
    <row r="7">
      <c r="B7" s="889" t="inlineStr">
        <is>
          <t>Market Subsector(s)</t>
        </is>
      </c>
      <c r="C7" s="1073" t="inlineStr">
        <is>
          <t>Adams County</t>
        </is>
      </c>
      <c r="D7" s="1490" t="inlineStr">
        <is>
          <t>Q1 2019-Q2 2020</t>
        </is>
      </c>
      <c r="E7" s="1491" t="n"/>
      <c r="F7" t="inlineStr">
        <is>
          <t>←Change this</t>
        </is>
      </c>
    </row>
    <row r="8">
      <c r="B8" s="1489" t="inlineStr">
        <is>
          <t>Vacancy - CoStar - Industrial 20,000 SF-50,000 SF</t>
        </is>
      </c>
      <c r="D8" s="1492" t="n">
        <v>0.07000000000000001</v>
      </c>
      <c r="E8" s="1493" t="n"/>
      <c r="F8" t="inlineStr">
        <is>
          <t>←From Income</t>
        </is>
      </c>
    </row>
    <row r="9">
      <c r="B9" s="889" t="n"/>
      <c r="C9" s="1073" t="inlineStr">
        <is>
          <t>Denver CBSA</t>
        </is>
      </c>
      <c r="D9" s="1490">
        <f>D7</f>
        <v/>
      </c>
      <c r="E9" s="1491" t="n"/>
      <c r="F9" t="inlineStr">
        <is>
          <t>←Change This</t>
        </is>
      </c>
    </row>
    <row r="10">
      <c r="B10" s="1495" t="inlineStr">
        <is>
          <t>Vacancy - CoStar - Industrial 20,000 SF-50,000 SF</t>
        </is>
      </c>
      <c r="C10" s="1458" t="n"/>
      <c r="D10" s="1498" t="n">
        <v>0.043</v>
      </c>
      <c r="E10" s="1499" t="n"/>
      <c r="F10" t="inlineStr">
        <is>
          <t>←From Income</t>
        </is>
      </c>
    </row>
    <row r="11">
      <c r="F11" s="1488" t="inlineStr">
        <is>
          <t>NEIGHBORHOOD DATA</t>
        </is>
      </c>
    </row>
    <row r="12" ht="173.25" customHeight="1" s="1439">
      <c r="F12" s="896" t="inlineStr">
        <is>
          <t>Market Area Comments</t>
        </is>
      </c>
      <c r="G12" s="1454" t="inlineStr">
        <is>
          <t xml:space="preserve">The subject property is located north of East 62nd Avenue, approximately 289 feet west of Washington Street, in unincorporated Adams County, Colorado. The immediate area is developed with light to medium intensity industrial properties, similar to the subject. The majority of the area is zoned I-1 (Light Industrial), allowing for warehousing, storage, distribution, and light-intensity industrial activity. A visual inspection the neighborhood indicates significant new development and redevelopment over the past five years. Local street/sidewalk infrastructure and municipal services have also been updated over that time.  </t>
        </is>
      </c>
    </row>
    <row r="13">
      <c r="F13" s="1497" t="inlineStr">
        <is>
          <t>Surrounding Uses</t>
        </is>
      </c>
      <c r="G13" s="1051" t="inlineStr">
        <is>
          <t>North:</t>
        </is>
      </c>
      <c r="H13" s="1489" t="inlineStr">
        <is>
          <t>Industrial Lots</t>
        </is>
      </c>
    </row>
    <row r="14">
      <c r="G14" s="1051" t="inlineStr">
        <is>
          <t>South:</t>
        </is>
      </c>
      <c r="H14" s="1489" t="inlineStr">
        <is>
          <t>Light Industrial</t>
        </is>
      </c>
    </row>
    <row r="15">
      <c r="G15" s="1051" t="inlineStr">
        <is>
          <t>East:</t>
        </is>
      </c>
      <c r="H15" s="1489" t="inlineStr">
        <is>
          <t xml:space="preserve">Industrial Storage Lot </t>
        </is>
      </c>
    </row>
    <row r="16">
      <c r="F16" s="1458" t="n"/>
      <c r="G16" s="1052" t="inlineStr">
        <is>
          <t>West:</t>
        </is>
      </c>
      <c r="H16" s="1495" t="inlineStr">
        <is>
          <t>Light Industrial</t>
        </is>
      </c>
      <c r="I16" s="1458" t="n"/>
    </row>
    <row r="17" hidden="1" ht="15" customHeight="1" s="1439">
      <c r="F17" s="897" t="inlineStr">
        <is>
          <t>Property Contact Interview</t>
        </is>
      </c>
      <c r="G17" s="1496">
        <f>clInspectionContactName</f>
        <v/>
      </c>
      <c r="H17" s="1458" t="n"/>
      <c r="I17" s="1458" t="n"/>
    </row>
    <row r="18" ht="51.75" customHeight="1" s="1439">
      <c r="I18" s="1343" t="inlineStr">
        <is>
          <t>CHANGE →</t>
        </is>
      </c>
      <c r="J18" s="1494" t="inlineStr">
        <is>
          <t>Average Sale Price - Denver Market Industrial - 10,000 SF-50,000 SF</t>
        </is>
      </c>
      <c r="N18" s="1494" t="inlineStr">
        <is>
          <t>Average Sale Price - Adams County Industrial - 10,000 SF-50,000 SF</t>
        </is>
      </c>
    </row>
    <row r="19" ht="25.5" customHeight="1" s="143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39">
      <c r="I20" t="inlineStr">
        <is>
          <t>Pase from CoStar→</t>
        </is>
      </c>
      <c r="J20" s="601" t="inlineStr">
        <is>
          <t>2023 Q2 QTD</t>
        </is>
      </c>
      <c r="K20" s="1728" t="n">
        <v>147</v>
      </c>
      <c r="L20" s="603" t="n"/>
      <c r="N20" s="601" t="inlineStr">
        <is>
          <t>2023 Q2 QTD</t>
        </is>
      </c>
      <c r="O20" s="1728" t="n">
        <v>147</v>
      </c>
      <c r="P20" s="603" t="n"/>
    </row>
    <row r="21">
      <c r="J21" s="601" t="inlineStr">
        <is>
          <t>2023 Q1</t>
        </is>
      </c>
      <c r="K21" s="1728" t="n">
        <v>143</v>
      </c>
      <c r="L21" s="1729">
        <f>($C$18-K21)/K21</f>
        <v/>
      </c>
      <c r="N21" s="601" t="inlineStr">
        <is>
          <t>2023 Q1</t>
        </is>
      </c>
      <c r="O21" s="1728" t="n">
        <v>143</v>
      </c>
      <c r="P21" s="1729" t="n"/>
    </row>
    <row r="22">
      <c r="J22" s="601" t="inlineStr">
        <is>
          <t>2022 Q4</t>
        </is>
      </c>
      <c r="K22" s="1728" t="n">
        <v>142</v>
      </c>
      <c r="L22" s="1729">
        <f>($C$18-K22)/K22</f>
        <v/>
      </c>
      <c r="N22" s="601" t="inlineStr">
        <is>
          <t>2022 Q4</t>
        </is>
      </c>
      <c r="O22" s="1728" t="n">
        <v>142</v>
      </c>
      <c r="P22" s="1729" t="n"/>
    </row>
    <row r="23">
      <c r="J23" s="601" t="inlineStr">
        <is>
          <t>2022 Q3</t>
        </is>
      </c>
      <c r="K23" s="1728" t="n">
        <v>141</v>
      </c>
      <c r="L23" s="1729">
        <f>($C$18-K23)/K23</f>
        <v/>
      </c>
      <c r="N23" s="601" t="inlineStr">
        <is>
          <t>2022 Q3</t>
        </is>
      </c>
      <c r="O23" s="1728" t="n">
        <v>141</v>
      </c>
      <c r="P23" s="1729" t="n"/>
    </row>
    <row r="24">
      <c r="J24" s="601" t="inlineStr">
        <is>
          <t>2022 Q2</t>
        </is>
      </c>
      <c r="K24" s="1728" t="n">
        <v>139</v>
      </c>
      <c r="L24" s="1729">
        <f>($C$18-K24)/K24</f>
        <v/>
      </c>
      <c r="N24" s="601" t="inlineStr">
        <is>
          <t>2022 Q2</t>
        </is>
      </c>
      <c r="O24" s="1728" t="n">
        <v>139</v>
      </c>
      <c r="P24" s="1729" t="n"/>
    </row>
    <row r="25">
      <c r="J25" s="601" t="inlineStr">
        <is>
          <t>2022 Q1</t>
        </is>
      </c>
      <c r="K25" s="1728" t="n">
        <v>138</v>
      </c>
      <c r="L25" s="1729">
        <f>($C$18-K25)/K25</f>
        <v/>
      </c>
      <c r="N25" s="601" t="inlineStr">
        <is>
          <t>2022 Q1</t>
        </is>
      </c>
      <c r="O25" s="1728" t="n">
        <v>138</v>
      </c>
      <c r="P25" s="1729" t="n"/>
    </row>
    <row r="26">
      <c r="J26" s="601" t="inlineStr">
        <is>
          <t>2021 Q4</t>
        </is>
      </c>
      <c r="K26" s="1728" t="n">
        <v>137</v>
      </c>
      <c r="L26" s="1729">
        <f>($C$18-K26)/K26</f>
        <v/>
      </c>
      <c r="N26" s="601" t="inlineStr">
        <is>
          <t>2021 Q4</t>
        </is>
      </c>
      <c r="O26" s="1728" t="n">
        <v>137</v>
      </c>
      <c r="P26" s="1729" t="n"/>
    </row>
    <row r="27">
      <c r="J27" s="601" t="inlineStr">
        <is>
          <t>2021 Q3</t>
        </is>
      </c>
      <c r="K27" s="1728" t="n">
        <v>136</v>
      </c>
      <c r="L27" s="1729">
        <f>($C$18-K27)/K27</f>
        <v/>
      </c>
      <c r="N27" s="601" t="inlineStr">
        <is>
          <t>2021 Q3</t>
        </is>
      </c>
      <c r="O27" s="1728" t="n">
        <v>136</v>
      </c>
      <c r="P27" s="1729" t="n"/>
    </row>
    <row r="28">
      <c r="J28" s="601" t="inlineStr">
        <is>
          <t>2021 Q2</t>
        </is>
      </c>
      <c r="K28" s="1728" t="n">
        <v>135</v>
      </c>
      <c r="L28" s="1729">
        <f>($C$18-K28)/K28</f>
        <v/>
      </c>
      <c r="N28" s="601" t="inlineStr">
        <is>
          <t>2021 Q2</t>
        </is>
      </c>
      <c r="O28" s="1728" t="n">
        <v>135</v>
      </c>
      <c r="P28" s="1729" t="n"/>
    </row>
    <row r="29">
      <c r="J29" s="601" t="inlineStr">
        <is>
          <t>2021 Q1</t>
        </is>
      </c>
      <c r="K29" s="1728" t="n">
        <v>134</v>
      </c>
      <c r="L29" s="1729">
        <f>($C$18-K29)/K29</f>
        <v/>
      </c>
      <c r="N29" s="601" t="inlineStr">
        <is>
          <t>2021 Q1</t>
        </is>
      </c>
      <c r="O29" s="1728" t="n">
        <v>134</v>
      </c>
      <c r="P29" s="1729" t="n"/>
    </row>
    <row r="30">
      <c r="J30" s="601" t="inlineStr">
        <is>
          <t>2020 Q4</t>
        </is>
      </c>
      <c r="K30" s="1728" t="n">
        <v>132</v>
      </c>
      <c r="L30" s="1729">
        <f>($C$18-K30)/K30</f>
        <v/>
      </c>
      <c r="N30" s="601" t="inlineStr">
        <is>
          <t>2020 Q4</t>
        </is>
      </c>
      <c r="O30" s="1728" t="n">
        <v>132</v>
      </c>
      <c r="P30" s="1729" t="n"/>
    </row>
    <row r="31">
      <c r="J31" s="601" t="inlineStr">
        <is>
          <t>2020 Q3</t>
        </is>
      </c>
      <c r="K31" s="1728" t="n">
        <v>131</v>
      </c>
      <c r="L31" s="1729">
        <f>($C$18-K31)/K31</f>
        <v/>
      </c>
      <c r="N31" s="601" t="inlineStr">
        <is>
          <t>2020 Q3</t>
        </is>
      </c>
      <c r="O31" s="1728" t="n">
        <v>131</v>
      </c>
      <c r="P31" s="1729" t="n"/>
    </row>
    <row r="32">
      <c r="J32" s="601" t="inlineStr">
        <is>
          <t>2020 Q2</t>
        </is>
      </c>
      <c r="K32" s="1728" t="n">
        <v>130</v>
      </c>
      <c r="L32" s="1729">
        <f>($C$18-K32)/K32</f>
        <v/>
      </c>
      <c r="N32" s="601" t="inlineStr">
        <is>
          <t>2020 Q2</t>
        </is>
      </c>
      <c r="O32" s="1728" t="n">
        <v>130</v>
      </c>
      <c r="P32" s="1729" t="n"/>
    </row>
    <row r="33">
      <c r="J33" s="601" t="inlineStr">
        <is>
          <t>2020 Q1</t>
        </is>
      </c>
      <c r="K33" s="1728" t="n">
        <v>129</v>
      </c>
      <c r="L33" s="1729">
        <f>($C$18-K33)/K33</f>
        <v/>
      </c>
      <c r="N33" s="601" t="inlineStr">
        <is>
          <t>2020 Q1</t>
        </is>
      </c>
      <c r="O33" s="1728" t="n">
        <v>129</v>
      </c>
      <c r="P33" s="1729">
        <f>($G$18-O33)/O33</f>
        <v/>
      </c>
    </row>
    <row r="34">
      <c r="J34" s="601" t="inlineStr">
        <is>
          <t>2019 Q4</t>
        </is>
      </c>
      <c r="K34" s="1728" t="n">
        <v>128</v>
      </c>
      <c r="L34" s="1729">
        <f>($C$18-K34)/K34</f>
        <v/>
      </c>
      <c r="N34" s="601" t="inlineStr">
        <is>
          <t>2019 Q4</t>
        </is>
      </c>
      <c r="O34" s="1728" t="n">
        <v>128</v>
      </c>
      <c r="P34" s="1729">
        <f>($G$18-O34)/O34</f>
        <v/>
      </c>
    </row>
    <row r="35">
      <c r="J35" s="601" t="inlineStr">
        <is>
          <t>2019 Q3</t>
        </is>
      </c>
      <c r="K35" s="1728" t="n">
        <v>127</v>
      </c>
      <c r="L35" s="1729">
        <f>($C$18-K35)/K35</f>
        <v/>
      </c>
      <c r="N35" s="601" t="inlineStr">
        <is>
          <t>2019 Q3</t>
        </is>
      </c>
      <c r="O35" s="1728" t="n">
        <v>127</v>
      </c>
      <c r="P35" s="1729">
        <f>($G$18-O35)/O35</f>
        <v/>
      </c>
    </row>
    <row r="36">
      <c r="J36" s="832" t="inlineStr">
        <is>
          <t>2019 Q2</t>
        </is>
      </c>
      <c r="K36" s="1730" t="n">
        <v>125</v>
      </c>
      <c r="L36" s="1731">
        <f>($C$18-K36)/K36</f>
        <v/>
      </c>
      <c r="N36" s="601" t="inlineStr">
        <is>
          <t>2019 Q2</t>
        </is>
      </c>
      <c r="O36" s="1728" t="n">
        <v>125</v>
      </c>
      <c r="P36" s="1729">
        <f>($G$18-O36)/O36</f>
        <v/>
      </c>
    </row>
    <row r="37">
      <c r="J37" s="605" t="inlineStr">
        <is>
          <t>2019 Q1</t>
        </is>
      </c>
      <c r="K37" s="1732" t="n">
        <v>124</v>
      </c>
      <c r="L37" s="1733">
        <f>($C$18-K37)/K37</f>
        <v/>
      </c>
      <c r="N37" s="605" t="inlineStr">
        <is>
          <t>2019 Q1</t>
        </is>
      </c>
      <c r="O37" s="1732" t="n">
        <v>124</v>
      </c>
      <c r="P37" s="1733">
        <f>($G$18-O37)/O37</f>
        <v/>
      </c>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B2:E2"/>
    <mergeCell ref="H14:I14"/>
    <mergeCell ref="G12:I12"/>
    <mergeCell ref="D9:E9"/>
    <mergeCell ref="B8:C8"/>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39" min="1" max="1"/>
    <col width="30" customWidth="1" style="1439" min="2" max="2"/>
    <col width="18.42578125" bestFit="1" customWidth="1" style="1439" min="3" max="3"/>
    <col width="16.28515625" bestFit="1" customWidth="1" style="1439" min="4" max="4"/>
    <col width="13.140625" bestFit="1" customWidth="1" style="1439" min="5" max="5"/>
    <col width="21.42578125" customWidth="1" style="1439" min="6" max="6"/>
    <col width="17.7109375" customWidth="1" style="1439" min="8" max="8"/>
    <col width="61.7109375" customWidth="1" style="1439" min="9" max="9"/>
    <col width="31.85546875" customWidth="1" style="1439" min="10" max="11"/>
  </cols>
  <sheetData>
    <row r="1" ht="8.25" customHeight="1" s="1439"/>
    <row r="2">
      <c r="B2" s="1501" t="inlineStr">
        <is>
          <t>SITE DESCRIPTION OVERVIEW</t>
        </is>
      </c>
    </row>
    <row r="3" ht="7.5" customHeight="1" s="1439">
      <c r="B3" s="811" t="n"/>
      <c r="C3" s="1503" t="n"/>
    </row>
    <row r="4" ht="36" customHeight="1" s="1439">
      <c r="B4" s="807" t="inlineStr">
        <is>
          <t>Location</t>
        </is>
      </c>
      <c r="C4" s="1504">
        <f>FE!U99</f>
        <v/>
      </c>
    </row>
    <row r="5">
      <c r="B5" s="807" t="inlineStr">
        <is>
          <t>Account Number</t>
        </is>
      </c>
      <c r="C5" s="1503">
        <f>FE!U103</f>
        <v/>
      </c>
    </row>
    <row r="6">
      <c r="B6" s="807" t="inlineStr">
        <is>
          <t>Legal Description</t>
        </is>
      </c>
      <c r="C6" s="1504">
        <f>FE!U106</f>
        <v/>
      </c>
    </row>
    <row r="7">
      <c r="B7" s="807" t="inlineStr">
        <is>
          <t>Site Area</t>
        </is>
      </c>
      <c r="C7" s="1503" t="n"/>
      <c r="D7" s="835" t="n"/>
      <c r="E7" s="835" t="n"/>
      <c r="F7" s="835" t="n"/>
    </row>
    <row r="8">
      <c r="B8" s="812" t="inlineStr">
        <is>
          <t>Primary Site</t>
        </is>
      </c>
      <c r="C8" s="1734">
        <f>FE!U108</f>
        <v/>
      </c>
      <c r="D8" s="1735">
        <f>FE!V108</f>
        <v/>
      </c>
      <c r="E8" s="835" t="n"/>
      <c r="F8" s="835" t="n"/>
    </row>
    <row r="9">
      <c r="B9" s="812" t="inlineStr">
        <is>
          <t>Excess Land</t>
        </is>
      </c>
      <c r="C9" s="1734">
        <f>FE!U109</f>
        <v/>
      </c>
      <c r="D9" s="1735">
        <f>FE!V109</f>
        <v/>
      </c>
      <c r="E9" s="835" t="n"/>
      <c r="F9" s="835" t="n"/>
    </row>
    <row r="10">
      <c r="B10" s="812" t="inlineStr">
        <is>
          <t>Surplus Land</t>
        </is>
      </c>
      <c r="C10" s="1734">
        <f>FE!U110</f>
        <v/>
      </c>
      <c r="D10" s="1735">
        <f>FE!V110</f>
        <v/>
      </c>
      <c r="E10" s="835" t="n"/>
      <c r="F10" s="835" t="n"/>
    </row>
    <row r="11">
      <c r="B11" s="812" t="inlineStr">
        <is>
          <t>Total</t>
        </is>
      </c>
      <c r="C11" s="1736">
        <f>FE!U111</f>
        <v/>
      </c>
      <c r="D11" s="1737">
        <f>FE!V111</f>
        <v/>
      </c>
      <c r="E11" s="835" t="n"/>
      <c r="F11" s="835" t="n"/>
    </row>
    <row r="12" ht="48" customHeight="1" s="1439">
      <c r="B12" s="809" t="inlineStr">
        <is>
          <t>Configuration</t>
        </is>
      </c>
      <c r="C12" s="1500" t="inlineStr">
        <is>
          <t xml:space="preserve">Generally rectangular site with street access from West 62nd Avenue and Washington St., via an apparent access easement with the adjacent property to the east. </t>
        </is>
      </c>
    </row>
    <row r="13">
      <c r="B13" s="809" t="inlineStr">
        <is>
          <t>Topography</t>
        </is>
      </c>
      <c r="C13" s="1500" t="inlineStr">
        <is>
          <t>Generally Level</t>
        </is>
      </c>
    </row>
    <row r="14">
      <c r="B14" s="809" t="inlineStr">
        <is>
          <t>Drainage</t>
        </is>
      </c>
      <c r="C14" s="1500" t="inlineStr">
        <is>
          <t>Appears adequate</t>
        </is>
      </c>
    </row>
    <row r="15">
      <c r="B15" s="809" t="inlineStr">
        <is>
          <t>Utilities/Municipal Services</t>
        </is>
      </c>
      <c r="C15" s="1500"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inlineStr">
        <is>
          <t>08001C0333H</t>
        </is>
      </c>
      <c r="E17" s="1738" t="n">
        <v>39146</v>
      </c>
      <c r="F17" s="825" t="n"/>
      <c r="I17" t="inlineStr">
        <is>
          <t>Zone A</t>
        </is>
      </c>
      <c r="J17" t="inlineStr">
        <is>
          <t>Zone X (Shaded)</t>
        </is>
      </c>
    </row>
    <row r="18" ht="111.75" customHeight="1" s="1439">
      <c r="B18" s="886" t="n"/>
      <c r="C18" s="1502"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58" t="n"/>
      <c r="E18" s="1458" t="n"/>
      <c r="F18" s="1458" t="n"/>
    </row>
    <row r="19" hidden="1" s="1439">
      <c r="B19" s="810" t="inlineStr">
        <is>
          <t>Census Tract No.</t>
        </is>
      </c>
      <c r="C19" s="1506">
        <f>pdCensusTract</f>
        <v/>
      </c>
      <c r="D19" s="1458" t="n"/>
      <c r="E19" s="1458" t="n"/>
      <c r="F19" s="1458" t="n"/>
    </row>
    <row r="20">
      <c r="B20" s="809" t="n"/>
      <c r="C20" s="1512" t="n"/>
      <c r="D20" s="871" t="n"/>
      <c r="E20" s="871" t="n"/>
      <c r="F20" s="871" t="n"/>
    </row>
    <row r="21">
      <c r="B21" s="1501" t="inlineStr">
        <is>
          <t>SITE DESCRIPTION OVERVIEW - CONTINUED</t>
        </is>
      </c>
    </row>
    <row r="22" ht="68.25" customHeight="1" s="1439">
      <c r="B22" s="809" t="inlineStr">
        <is>
          <t>Soil/Subsoil Conditions</t>
        </is>
      </c>
      <c r="C22" s="1500"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39">
      <c r="B23" s="809" t="inlineStr">
        <is>
          <t>Environmental Concerns</t>
        </is>
      </c>
      <c r="C23" s="1500" t="inlineStr">
        <is>
          <t>No unusual conditions observed.  No studies provided.  Site is assumed to be free of any environmental concerns.</t>
        </is>
      </c>
    </row>
    <row r="24" ht="60" customHeight="1" s="1439">
      <c r="B24" s="809" t="inlineStr">
        <is>
          <t>Land Use Restrictions</t>
        </is>
      </c>
      <c r="C24" s="1500" t="inlineStr">
        <is>
          <t xml:space="preserve">No atypical easements or encumbrances noted. Typical access easement appears to exist along the north boundary of the adjacent property to the east, providing access to the subject from Washington Street. Signage directs deliveries to access the subject from noted access road. </t>
        </is>
      </c>
    </row>
    <row r="25">
      <c r="B25" s="809" t="inlineStr">
        <is>
          <t>Hazards Nuisances</t>
        </is>
      </c>
      <c r="C25" s="1500" t="inlineStr">
        <is>
          <t>None noted</t>
        </is>
      </c>
    </row>
    <row r="26">
      <c r="B26" s="809" t="inlineStr">
        <is>
          <t>Frontage</t>
        </is>
      </c>
      <c r="C26" s="1500" t="inlineStr">
        <is>
          <t>West 62nd Avenue</t>
        </is>
      </c>
    </row>
    <row r="27" ht="31.5" customHeight="1" s="1439">
      <c r="B27" s="809" t="inlineStr">
        <is>
          <t>Access</t>
        </is>
      </c>
      <c r="C27" s="1500" t="inlineStr">
        <is>
          <t>West 62nd Avenue (direct), Washington Street (via apparent access easement to the east)</t>
        </is>
      </c>
    </row>
    <row r="28" ht="33" customHeight="1" s="1439">
      <c r="B28" s="809" t="inlineStr">
        <is>
          <t>Visibility</t>
        </is>
      </c>
      <c r="C28" s="1500" t="inlineStr">
        <is>
          <t>Unobstructed: West 62nd Ave. Obstructed: Washington Street - through adjacent parcel.</t>
        </is>
      </c>
    </row>
    <row r="29">
      <c r="B29" s="809" t="inlineStr">
        <is>
          <t>Surrounding Land Uses</t>
        </is>
      </c>
      <c r="C29" s="1500" t="inlineStr">
        <is>
          <t>Light to medium-intensity industrial</t>
        </is>
      </c>
    </row>
    <row r="30">
      <c r="B30" s="809" t="inlineStr">
        <is>
          <t>Enterprise Zone</t>
        </is>
      </c>
      <c r="C30" s="1500" t="inlineStr">
        <is>
          <t>None noted</t>
        </is>
      </c>
    </row>
    <row r="31" ht="37.5" customHeight="1" s="1439">
      <c r="B31" s="809" t="inlineStr">
        <is>
          <t>Traffic Counts</t>
        </is>
      </c>
      <c r="C31" s="1500" t="inlineStr">
        <is>
          <t>West 62nd Ave: 5,235 VPD, Washington Street: 13,501 VPD 
Per CoStar (Jan. 2022 Est.)</t>
        </is>
      </c>
    </row>
    <row r="32" ht="36" customHeight="1" s="1439">
      <c r="B32" s="809" t="inlineStr">
        <is>
          <t>Transportation Facilities</t>
        </is>
      </c>
      <c r="C32" s="1500" t="inlineStr">
        <is>
          <t xml:space="preserve">Northbound and southbound bus stops located along Washington Street, at 
E. 62nd Ave. </t>
        </is>
      </c>
    </row>
    <row r="33" ht="103.5" customHeight="1" s="1439">
      <c r="B33" s="810" t="inlineStr">
        <is>
          <t>Comments</t>
        </is>
      </c>
      <c r="C33" s="1508" t="inlineStr">
        <is>
          <t xml:space="preserve">Light industrial property located in an area of generally similar industrial development. Access to the property available from E. 62nd Ave. and Washington St. with visibility available from both thoroughfares. Convenient access to Interstate 25, Interstate 76, and Interstate 270, all less than one mile from the subject property. No atypical easements or encumbrances were noted at the property during the appraiser's inspection. </t>
        </is>
      </c>
      <c r="D33" s="1458" t="n"/>
      <c r="E33" s="1458" t="n"/>
      <c r="F33" s="1458" t="n"/>
    </row>
    <row r="35">
      <c r="H35" s="1505" t="inlineStr">
        <is>
          <t>ZONING</t>
        </is>
      </c>
    </row>
    <row r="36">
      <c r="H36" s="1053" t="inlineStr">
        <is>
          <t>Designation</t>
        </is>
      </c>
      <c r="I36" s="1218" t="inlineStr">
        <is>
          <t>I-1</t>
        </is>
      </c>
    </row>
    <row r="37">
      <c r="H37" s="1054" t="inlineStr">
        <is>
          <t>Description</t>
        </is>
      </c>
      <c r="I37" s="1218" t="inlineStr">
        <is>
          <t>Industrial-1 (Light Industrial)</t>
        </is>
      </c>
    </row>
    <row r="38" ht="140.25" customHeight="1" s="143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07" t="inlineStr">
        <is>
          <t>ZONING REQUIREMENTS</t>
        </is>
      </c>
    </row>
    <row r="41">
      <c r="H41" s="1055" t="inlineStr">
        <is>
          <t>Min. Lot Size:</t>
        </is>
      </c>
      <c r="I41" s="1220" t="inlineStr">
        <is>
          <t>1 Acre</t>
        </is>
      </c>
    </row>
    <row r="42">
      <c r="H42" s="1055" t="inlineStr">
        <is>
          <t>Min. Lot Width:</t>
        </is>
      </c>
      <c r="I42" s="1221" t="inlineStr">
        <is>
          <t>100 Feet</t>
        </is>
      </c>
    </row>
    <row r="43">
      <c r="H43" s="1450" t="inlineStr">
        <is>
          <t>Setbacks:</t>
        </is>
      </c>
      <c r="I43" s="1222" t="n"/>
    </row>
    <row r="44">
      <c r="H44" s="1056" t="inlineStr">
        <is>
          <t>Front</t>
        </is>
      </c>
      <c r="I44" s="1140" t="inlineStr">
        <is>
          <t>25 Feet</t>
        </is>
      </c>
    </row>
    <row r="45" ht="30" customHeight="1" s="143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topLeftCell="A76" zoomScale="130" zoomScaleNormal="130" workbookViewId="0">
      <selection activeCell="C98" sqref="C97:F98"/>
    </sheetView>
  </sheetViews>
  <sheetFormatPr baseColWidth="8" defaultRowHeight="15"/>
  <cols>
    <col width="3.85546875" customWidth="1" style="1439" min="1" max="1"/>
    <col width="30.140625" customWidth="1" style="1439" min="2" max="2"/>
    <col width="14.85546875" customWidth="1" style="1439" min="3" max="3"/>
    <col width="18.42578125" customWidth="1" style="1439" min="4" max="5"/>
    <col width="20.42578125" customWidth="1" style="1439" min="6" max="6"/>
    <col width="22.42578125" customWidth="1" style="1439" min="7" max="7"/>
  </cols>
  <sheetData>
    <row r="2">
      <c r="B2" s="1501">
        <f>IF(OR(pdGenPropUse2="",pdGenPropUse2=0),"GENERAL DESCRIPTION OVERVIEW", "GENERAL DESCRIPTION OVERVIEW - "&amp;UPPER(pdGenPropUse))</f>
        <v/>
      </c>
    </row>
    <row r="3">
      <c r="B3" s="417" t="inlineStr">
        <is>
          <t>Address</t>
        </is>
      </c>
      <c r="C3" s="1527">
        <f>'Property Info'!B16</f>
        <v/>
      </c>
    </row>
    <row r="4">
      <c r="B4" s="808" t="n"/>
      <c r="C4" s="1512">
        <f>'Property Info'!B17</f>
        <v/>
      </c>
    </row>
    <row r="5">
      <c r="B5" s="807" t="inlineStr">
        <is>
          <t>Property Description</t>
        </is>
      </c>
      <c r="C5" s="1512">
        <f>FE!U100</f>
        <v/>
      </c>
    </row>
    <row r="6">
      <c r="B6" s="807" t="inlineStr">
        <is>
          <t>Year Built</t>
        </is>
      </c>
      <c r="C6" s="1512">
        <f>'Property Info'!B8</f>
        <v/>
      </c>
    </row>
    <row r="7">
      <c r="B7" s="809" t="inlineStr">
        <is>
          <t>Year Renovated</t>
        </is>
      </c>
      <c r="C7" s="1512">
        <f>FE!U116</f>
        <v/>
      </c>
    </row>
    <row r="8">
      <c r="B8" s="809" t="inlineStr">
        <is>
          <t>Number of Buildings</t>
        </is>
      </c>
      <c r="C8" s="1512">
        <f>FE!U120</f>
        <v/>
      </c>
    </row>
    <row r="9">
      <c r="B9" s="809" t="inlineStr">
        <is>
          <t>Number of Stories</t>
        </is>
      </c>
      <c r="C9" s="1500" t="n">
        <v>1</v>
      </c>
    </row>
    <row r="10">
      <c r="B10" s="809" t="inlineStr">
        <is>
          <t>Total Number of Units</t>
        </is>
      </c>
      <c r="C10" s="1512">
        <f>FE!U126</f>
        <v/>
      </c>
    </row>
    <row r="11">
      <c r="B11" s="809" t="inlineStr">
        <is>
          <t>Building Construction Class</t>
        </is>
      </c>
      <c r="C11" s="1500" t="inlineStr">
        <is>
          <t>C/S</t>
        </is>
      </c>
    </row>
    <row r="12" hidden="1" s="1439">
      <c r="B12" s="809" t="inlineStr">
        <is>
          <t>Net Rentable Area</t>
        </is>
      </c>
      <c r="C12" s="1739">
        <f>FE!U124</f>
        <v/>
      </c>
    </row>
    <row r="13">
      <c r="B13" s="809" t="inlineStr">
        <is>
          <t>Gross Leasable Area</t>
        </is>
      </c>
      <c r="C13" s="1739">
        <f>FE!U122</f>
        <v/>
      </c>
    </row>
    <row r="14" hidden="1" s="1439">
      <c r="B14" s="812" t="inlineStr">
        <is>
          <t>+ Clubhouse</t>
        </is>
      </c>
      <c r="C14" s="1739">
        <f>pdBldgAreaClubhouse</f>
        <v/>
      </c>
    </row>
    <row r="15" hidden="1" s="1439">
      <c r="B15" s="812" t="inlineStr">
        <is>
          <t>+ Others(s)</t>
        </is>
      </c>
      <c r="C15" s="1739">
        <f>pdBldgAreaOther</f>
        <v/>
      </c>
    </row>
    <row r="16" ht="32.25" customHeight="1" s="1439">
      <c r="B16" s="1059" t="inlineStr">
        <is>
          <t xml:space="preserve">Mezzanine Area </t>
        </is>
      </c>
      <c r="C16" s="1740" t="inlineStr">
        <is>
          <t xml:space="preserve">Small structural mezzanine located atop a temporary structure in the warehouse. Not included in the total GBA, considered an amenity of the property. </t>
        </is>
      </c>
    </row>
    <row r="17">
      <c r="B17" s="809" t="inlineStr">
        <is>
          <t>Building Footprint</t>
        </is>
      </c>
      <c r="C17" s="1739">
        <f>'Property Info'!B5</f>
        <v/>
      </c>
    </row>
    <row r="18" hidden="1" s="1439">
      <c r="B18" s="809" t="inlineStr">
        <is>
          <t>Bay Depth</t>
        </is>
      </c>
      <c r="C18" s="1741">
        <f>pdBayDepth</f>
        <v/>
      </c>
    </row>
    <row r="19" hidden="1" s="1439">
      <c r="B19" s="809" t="inlineStr">
        <is>
          <t>LEED Ratio</t>
        </is>
      </c>
      <c r="C19" s="1739">
        <f>pdLEEDRating</f>
        <v/>
      </c>
      <c r="D19" s="871" t="n"/>
      <c r="E19" s="871" t="n"/>
      <c r="F19" s="871" t="n"/>
    </row>
    <row r="20" hidden="1" s="1439">
      <c r="B20" s="809" t="inlineStr">
        <is>
          <t>Floor-Area Ratio</t>
        </is>
      </c>
      <c r="C20" s="875">
        <f>pdFAR</f>
        <v/>
      </c>
      <c r="D20" s="871" t="n"/>
      <c r="E20" s="871" t="n"/>
      <c r="F20" s="871" t="n"/>
    </row>
    <row r="21">
      <c r="B21" s="809" t="inlineStr">
        <is>
          <t>Elevator(s)</t>
        </is>
      </c>
      <c r="C21" s="1500" t="inlineStr">
        <is>
          <t>None</t>
        </is>
      </c>
    </row>
    <row r="22">
      <c r="B22" s="809" t="inlineStr">
        <is>
          <t>Ceiling Heights</t>
        </is>
      </c>
      <c r="C22" s="1500" t="inlineStr">
        <is>
          <t>14'-23' (average 18')</t>
        </is>
      </c>
    </row>
    <row r="23">
      <c r="B23" s="809" t="inlineStr">
        <is>
          <t>Utility Metering</t>
        </is>
      </c>
      <c r="C23" s="1500" t="inlineStr">
        <is>
          <t>Master metered</t>
        </is>
      </c>
    </row>
    <row r="24" hidden="1" s="1439">
      <c r="B24" s="809" t="inlineStr">
        <is>
          <t>Density (Units/Acre)</t>
        </is>
      </c>
      <c r="C24" s="1742">
        <f>C10/'Site Information'!C11</f>
        <v/>
      </c>
    </row>
    <row r="25">
      <c r="B25" s="809" t="inlineStr">
        <is>
          <t>Coverage Ratio</t>
        </is>
      </c>
      <c r="C25" s="1743">
        <f>C17/'Site Information'!C11</f>
        <v/>
      </c>
    </row>
    <row r="26">
      <c r="B26" s="809" t="inlineStr">
        <is>
          <t>Land-to-Building Ratio</t>
        </is>
      </c>
      <c r="C26" s="1744">
        <f>'Site Information'!C11/Improvements!C13</f>
        <v/>
      </c>
    </row>
    <row r="27">
      <c r="B27" s="809" t="inlineStr">
        <is>
          <t>Ingress/Egress</t>
        </is>
      </c>
      <c r="C27" s="1500" t="inlineStr">
        <is>
          <t xml:space="preserve">Typical pedestrian entrances and loading doors along building perimeter. </t>
        </is>
      </c>
    </row>
    <row r="28">
      <c r="B28" s="809" t="inlineStr">
        <is>
          <t>Percentage Office Build-Out</t>
        </is>
      </c>
      <c r="C28" s="1525">
        <f>'Property Info'!B14</f>
        <v/>
      </c>
    </row>
    <row r="29">
      <c r="B29" s="809" t="inlineStr">
        <is>
          <t>Clear Height</t>
        </is>
      </c>
      <c r="C29" s="1500" t="inlineStr">
        <is>
          <t>12'-20'</t>
        </is>
      </c>
    </row>
    <row r="30">
      <c r="B30" s="809" t="inlineStr">
        <is>
          <t>Power</t>
        </is>
      </c>
      <c r="C30" s="1518" t="inlineStr">
        <is>
          <t xml:space="preserve">Assumed adequate for industrial use. </t>
        </is>
      </c>
    </row>
    <row r="31">
      <c r="B31" s="809" t="inlineStr">
        <is>
          <t>Loading Doors</t>
        </is>
      </c>
      <c r="C31" s="1512" t="n"/>
    </row>
    <row r="32">
      <c r="B32" s="812" t="inlineStr">
        <is>
          <t>Dock High</t>
        </is>
      </c>
      <c r="C32" s="1500" t="n">
        <v>3</v>
      </c>
    </row>
    <row r="33">
      <c r="B33" s="812" t="inlineStr">
        <is>
          <t>Roll-Up</t>
        </is>
      </c>
      <c r="C33" s="1500" t="n">
        <v>2</v>
      </c>
    </row>
    <row r="34">
      <c r="B34" s="809" t="inlineStr">
        <is>
          <t>Rail Access</t>
        </is>
      </c>
      <c r="C34" s="1500" t="inlineStr">
        <is>
          <t>None</t>
        </is>
      </c>
    </row>
    <row r="35">
      <c r="B35" s="809" t="inlineStr">
        <is>
          <t>Storage Yard</t>
        </is>
      </c>
      <c r="C35" s="1500" t="inlineStr">
        <is>
          <t>Fenced storage yard located on the northwestern portion of the property.</t>
        </is>
      </c>
    </row>
    <row r="36">
      <c r="B36" s="809" t="inlineStr">
        <is>
          <t>Truck Court</t>
        </is>
      </c>
      <c r="C36" s="1500" t="inlineStr">
        <is>
          <t>Truck loading/unloading along the west and northeast building elevations.</t>
        </is>
      </c>
    </row>
    <row r="37">
      <c r="B37" s="809" t="inlineStr">
        <is>
          <t>Parking</t>
        </is>
      </c>
      <c r="C37" s="1512" t="n"/>
      <c r="D37" s="871" t="n"/>
      <c r="E37" s="871" t="n"/>
      <c r="F37" s="871" t="n"/>
    </row>
    <row r="38">
      <c r="B38" s="812" t="inlineStr">
        <is>
          <t>Surface Parking Spaces</t>
        </is>
      </c>
      <c r="C38" s="1226" t="n">
        <v>71</v>
      </c>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39">
      <c r="B42" s="1058" t="inlineStr">
        <is>
          <t>Parking Ratio 
(Spaces/1,000 SF GBA)</t>
        </is>
      </c>
      <c r="C42" s="1513">
        <f>(C41/C13)*1000</f>
        <v/>
      </c>
      <c r="D42" s="1458" t="n"/>
      <c r="E42" s="1458" t="n"/>
      <c r="F42" s="1458" t="n"/>
    </row>
    <row r="43" hidden="1" ht="39" customHeight="1" s="1439">
      <c r="B43" s="809" t="inlineStr">
        <is>
          <t>ADA Compliance</t>
        </is>
      </c>
      <c r="C43" s="1520">
        <f>pdADA</f>
        <v/>
      </c>
      <c r="D43" s="1511" t="n"/>
      <c r="E43" s="1511" t="n"/>
      <c r="F43" s="1511" t="n"/>
    </row>
    <row r="44">
      <c r="B44" s="1550" t="n"/>
      <c r="C44" s="815" t="n"/>
      <c r="D44" s="1550" t="n"/>
      <c r="E44" s="1550" t="n"/>
      <c r="F44" s="1550" t="n"/>
    </row>
    <row r="45">
      <c r="B45" s="1501" t="inlineStr">
        <is>
          <t>CONSTRUCTION DETAIL</t>
        </is>
      </c>
    </row>
    <row r="46">
      <c r="B46" s="811" t="n"/>
      <c r="C46" s="1503" t="n"/>
    </row>
    <row r="47" ht="135" customHeight="1" s="1439">
      <c r="B47" s="807" t="inlineStr">
        <is>
          <t>General Layout</t>
        </is>
      </c>
      <c r="C47" s="1500" t="inlineStr">
        <is>
          <t xml:space="preserve">Primary pedestrian entrance located along the east building elevation, leading to a service window in the warehouse. Access to the office is available from the warehouse space. Office is located in the eastern portion of the building and is demised into a reception area, multiple private offices, conference room, administrative areas, and storage closets. Separate men's and woman's restrooms are located in the office. The warehouse is demised into a large open warehouse space, multiple storage rooms, break area, restrooms, work stations, an indoor loading dock, and several staging/shipping areas.  </t>
        </is>
      </c>
    </row>
    <row r="48">
      <c r="B48" s="809" t="inlineStr">
        <is>
          <t>Foundation</t>
        </is>
      </c>
      <c r="C48" s="1500" t="inlineStr">
        <is>
          <t>Concrete slab on-grade under load-bearing structure</t>
        </is>
      </c>
    </row>
    <row r="49">
      <c r="B49" s="807" t="inlineStr">
        <is>
          <t>Construction</t>
        </is>
      </c>
      <c r="C49" s="1500" t="inlineStr">
        <is>
          <t>Masonry block, steel-frame</t>
        </is>
      </c>
    </row>
    <row r="50">
      <c r="B50" s="809" t="inlineStr">
        <is>
          <t>Floor Structure</t>
        </is>
      </c>
      <c r="C50" s="1500" t="inlineStr">
        <is>
          <t>Concrete slab</t>
        </is>
      </c>
    </row>
    <row r="51">
      <c r="B51" s="807" t="inlineStr">
        <is>
          <t>Exterior Walls</t>
        </is>
      </c>
      <c r="C51" s="1500" t="inlineStr">
        <is>
          <t>Insulated steel, masonry block</t>
        </is>
      </c>
    </row>
    <row r="52">
      <c r="B52" s="809" t="inlineStr">
        <is>
          <t>Roof Type</t>
        </is>
      </c>
      <c r="C52" s="1500" t="inlineStr">
        <is>
          <t>Structural steel</t>
        </is>
      </c>
    </row>
    <row r="53">
      <c r="B53" s="807" t="inlineStr">
        <is>
          <t>Roof Cover</t>
        </is>
      </c>
      <c r="C53" s="1500" t="inlineStr">
        <is>
          <t>Rubber membrane</t>
        </is>
      </c>
    </row>
    <row r="54">
      <c r="B54" s="809" t="inlineStr">
        <is>
          <t>Windows</t>
        </is>
      </c>
      <c r="C54" s="1500" t="inlineStr">
        <is>
          <t>Metal, double pane</t>
        </is>
      </c>
    </row>
    <row r="55">
      <c r="B55" s="810" t="inlineStr">
        <is>
          <t>Balcony/Patios:</t>
        </is>
      </c>
      <c r="C55" s="1519" t="inlineStr">
        <is>
          <t>None</t>
        </is>
      </c>
      <c r="D55" s="1458" t="n"/>
      <c r="E55" s="1458" t="n"/>
      <c r="F55" s="1458" t="n"/>
    </row>
    <row r="56" hidden="1" s="1439">
      <c r="B56" s="1550" t="n"/>
      <c r="C56" s="815" t="n"/>
      <c r="D56" s="1550" t="n"/>
      <c r="E56" s="1550" t="n"/>
      <c r="F56" s="1550" t="n"/>
    </row>
    <row r="57">
      <c r="B57" s="1501" t="inlineStr">
        <is>
          <t>INTERIOR DETAIL</t>
        </is>
      </c>
    </row>
    <row r="58">
      <c r="B58" s="811" t="n"/>
      <c r="C58" s="1503" t="n"/>
    </row>
    <row r="59" ht="30.75" customHeight="1" s="1439">
      <c r="B59" s="807" t="inlineStr">
        <is>
          <t>Interior Walls</t>
        </is>
      </c>
      <c r="C59" s="1500" t="inlineStr">
        <is>
          <t>Office: Painted drywall/Warehouse: Painted masonry block, exposed insulation, finished drywall.</t>
        </is>
      </c>
    </row>
    <row r="60">
      <c r="B60" s="809" t="inlineStr">
        <is>
          <t>Ceilings</t>
        </is>
      </c>
      <c r="C60" s="1500" t="inlineStr">
        <is>
          <t>Office: Acoustical tile/Warehouse: Exposed insulation, acoustical tile.</t>
        </is>
      </c>
    </row>
    <row r="61">
      <c r="B61" s="807" t="inlineStr">
        <is>
          <t>Floor Coverings</t>
        </is>
      </c>
      <c r="C61" s="1500" t="inlineStr">
        <is>
          <t>Office: Commercial-grade carpet, tile/Warehouse: Unfinished concrete.</t>
        </is>
      </c>
    </row>
    <row r="62">
      <c r="B62" s="809" t="inlineStr">
        <is>
          <t>Doors</t>
        </is>
      </c>
      <c r="C62" s="1500" t="inlineStr">
        <is>
          <t>Exterior: Insulated steel, Interior: Wood, composite.</t>
        </is>
      </c>
    </row>
    <row r="63" ht="36" customHeight="1" s="1439">
      <c r="B63" s="807" t="inlineStr">
        <is>
          <t>Lighting</t>
        </is>
      </c>
      <c r="C63" s="1500" t="inlineStr">
        <is>
          <t>Office: Recessed fluorescent fixtures/Warehouse: Mounted LED and fluorescent fixtures.</t>
        </is>
      </c>
    </row>
    <row r="64">
      <c r="B64" s="809" t="inlineStr">
        <is>
          <t>Ceiling Heights</t>
        </is>
      </c>
      <c r="C64" s="1500" t="inlineStr">
        <is>
          <t>Office: 10'/Warehouse: 14'-23'</t>
        </is>
      </c>
    </row>
    <row r="65">
      <c r="B65" s="809" t="inlineStr">
        <is>
          <t>Restrooms</t>
        </is>
      </c>
      <c r="C65" s="1500" t="inlineStr">
        <is>
          <t>Separate men's and women's restrooms throughout.</t>
        </is>
      </c>
    </row>
    <row r="66" hidden="1" s="1439">
      <c r="B66" s="807" t="inlineStr">
        <is>
          <t>Kitchen Finish</t>
        </is>
      </c>
      <c r="C66" s="1504" t="inlineStr">
        <is>
          <t>Manual fill.</t>
        </is>
      </c>
    </row>
    <row r="67" hidden="1" s="1439">
      <c r="B67" s="807" t="inlineStr">
        <is>
          <t>Bathroom Finish</t>
        </is>
      </c>
      <c r="C67" s="1504" t="inlineStr">
        <is>
          <t>Manual fill.</t>
        </is>
      </c>
    </row>
    <row r="68" ht="30.75" customHeight="1" s="1439">
      <c r="B68" s="810" t="inlineStr">
        <is>
          <t>Amenities (Unit)</t>
        </is>
      </c>
      <c r="C68" s="1516" t="inlineStr">
        <is>
          <t>Small structural mezzanine above temporary structure in warehouse (not part of GBA)</t>
        </is>
      </c>
      <c r="D68" s="1511" t="n"/>
      <c r="E68" s="1511" t="n"/>
      <c r="F68" s="1511" t="n"/>
    </row>
    <row r="69">
      <c r="B69" s="1550" t="n"/>
      <c r="C69" s="815" t="n"/>
      <c r="D69" s="1550" t="n"/>
      <c r="E69" s="1550" t="n"/>
      <c r="F69" s="1550" t="n"/>
    </row>
    <row r="70">
      <c r="B70" s="1501" t="inlineStr">
        <is>
          <t>MECHANICAL DETAIL</t>
        </is>
      </c>
    </row>
    <row r="71">
      <c r="B71" s="807" t="inlineStr">
        <is>
          <t>Heating</t>
        </is>
      </c>
      <c r="C71" s="1500" t="inlineStr">
        <is>
          <t xml:space="preserve">Multiple roof-mounted heating/cooling units serving office and warehouse spaces.  </t>
        </is>
      </c>
    </row>
    <row r="72">
      <c r="B72" s="809" t="inlineStr">
        <is>
          <t>Cooling</t>
        </is>
      </c>
      <c r="C72" s="1500" t="inlineStr">
        <is>
          <t>Roof-mounted HVAC  in office and warehouse</t>
        </is>
      </c>
    </row>
    <row r="73">
      <c r="B73" s="807" t="inlineStr">
        <is>
          <t>Plumbing</t>
        </is>
      </c>
      <c r="C73" s="1500" t="inlineStr">
        <is>
          <t>Assumed to code and adequate for light industrial use.</t>
        </is>
      </c>
    </row>
    <row r="74">
      <c r="B74" s="809" t="inlineStr">
        <is>
          <t>Electrical</t>
        </is>
      </c>
      <c r="C74" s="1512">
        <f>C73</f>
        <v/>
      </c>
    </row>
    <row r="75">
      <c r="B75" s="810" t="inlineStr">
        <is>
          <t>Fire Protection</t>
        </is>
      </c>
      <c r="C75" s="1510" t="inlineStr">
        <is>
          <t>Wet sprinklers installed throughout.</t>
        </is>
      </c>
      <c r="D75" s="1511" t="n"/>
      <c r="E75" s="1511" t="n"/>
      <c r="F75" s="1511" t="n"/>
    </row>
    <row r="76">
      <c r="B76" s="1550" t="n"/>
      <c r="C76" s="815" t="n"/>
      <c r="D76" s="1550" t="n"/>
      <c r="E76" s="1550" t="n"/>
      <c r="F76" s="1550" t="n"/>
    </row>
    <row r="77">
      <c r="B77" s="1501" t="inlineStr">
        <is>
          <t>SITE IMPROVEMENTS</t>
        </is>
      </c>
    </row>
    <row r="78">
      <c r="B78" s="807" t="inlineStr">
        <is>
          <t>Parking Type</t>
        </is>
      </c>
      <c r="C78" s="1500" t="inlineStr">
        <is>
          <t>Surface</t>
        </is>
      </c>
    </row>
    <row r="79">
      <c r="B79" s="809" t="inlineStr">
        <is>
          <t>Landscaping</t>
        </is>
      </c>
      <c r="C79" s="1500" t="inlineStr">
        <is>
          <t>Perimeter grass and trees</t>
        </is>
      </c>
    </row>
    <row r="80">
      <c r="B80" s="807" t="inlineStr">
        <is>
          <t>Signage</t>
        </is>
      </c>
      <c r="C80" s="1500" t="inlineStr">
        <is>
          <t>Elevated building signage</t>
        </is>
      </c>
    </row>
    <row r="81" ht="30.75" customHeight="1" s="1439">
      <c r="B81" s="810" t="inlineStr">
        <is>
          <t>Fencing</t>
        </is>
      </c>
      <c r="C81" s="1508" t="inlineStr">
        <is>
          <t>Perimeter fencing around storage yard area on northeastern portion of the property.</t>
        </is>
      </c>
      <c r="D81" s="1458" t="n"/>
      <c r="E81" s="1458" t="n"/>
      <c r="F81" s="1458" t="n"/>
    </row>
    <row r="82" hidden="1" s="1439">
      <c r="B82" s="809" t="inlineStr">
        <is>
          <t>Other</t>
        </is>
      </c>
      <c r="C82" s="1500" t="inlineStr">
        <is>
          <t>Manual fill.</t>
        </is>
      </c>
    </row>
    <row r="83" hidden="1" s="1439">
      <c r="B83" s="810" t="inlineStr">
        <is>
          <t>Amenities (Project)</t>
        </is>
      </c>
      <c r="C83" s="1516" t="inlineStr">
        <is>
          <t>Manual fill.</t>
        </is>
      </c>
      <c r="D83" s="1511" t="n"/>
      <c r="E83" s="1511" t="n"/>
      <c r="F83" s="1511" t="n"/>
    </row>
    <row r="84">
      <c r="B84" s="1550" t="n"/>
      <c r="C84" s="815" t="n"/>
      <c r="D84" s="1550" t="n"/>
      <c r="E84" s="1550" t="n"/>
      <c r="F84" s="1550" t="n"/>
    </row>
    <row r="85">
      <c r="B85" s="1501" t="inlineStr">
        <is>
          <t>RENOVATION/DEFERRED MAINTENANCE</t>
        </is>
      </c>
    </row>
    <row r="86" ht="30" customHeight="1" s="1439">
      <c r="B86" s="1074" t="inlineStr">
        <is>
          <t>Recent Renovations or
 Replacements</t>
        </is>
      </c>
      <c r="C86" s="1500" t="inlineStr">
        <is>
          <t>None reported</t>
        </is>
      </c>
    </row>
    <row r="87">
      <c r="B87" s="809" t="inlineStr">
        <is>
          <t>Deferred Maintenance</t>
        </is>
      </c>
      <c r="C87" s="1500" t="inlineStr">
        <is>
          <t>None reported. General maintenance items only.</t>
        </is>
      </c>
    </row>
    <row r="88">
      <c r="B88" s="809" t="inlineStr">
        <is>
          <t>Cost to Cure</t>
        </is>
      </c>
      <c r="C88" s="1520">
        <f>pdCosttoCure</f>
        <v/>
      </c>
      <c r="D88" s="1511" t="n"/>
      <c r="E88" s="1511" t="n"/>
      <c r="F88" s="1511" t="n"/>
    </row>
    <row r="89">
      <c r="B89" s="816" t="n"/>
      <c r="C89" s="817" t="n"/>
      <c r="D89" s="816" t="n"/>
      <c r="E89" s="816" t="n"/>
      <c r="F89" s="816" t="n"/>
    </row>
    <row r="90">
      <c r="B90" s="1550" t="n"/>
      <c r="C90" s="815" t="n"/>
      <c r="D90" s="1550" t="n"/>
      <c r="E90" s="1550" t="n"/>
      <c r="F90" s="1550" t="n"/>
    </row>
    <row r="91">
      <c r="B91" s="1501" t="inlineStr">
        <is>
          <t>SUMMARY</t>
        </is>
      </c>
    </row>
    <row r="92">
      <c r="B92" s="807" t="inlineStr">
        <is>
          <t>Building Condition</t>
        </is>
      </c>
      <c r="C92" s="1512">
        <f>FE!U129</f>
        <v/>
      </c>
    </row>
    <row r="93" ht="83.25" customHeight="1" s="1439">
      <c r="B93" s="809" t="n"/>
      <c r="C93" s="1512"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2">
        <f>FE!U130</f>
        <v/>
      </c>
    </row>
    <row r="95">
      <c r="B95" s="807" t="inlineStr">
        <is>
          <t>Design and Functionality</t>
        </is>
      </c>
      <c r="C95" s="1512">
        <f>FE!U131</f>
        <v/>
      </c>
    </row>
    <row r="96">
      <c r="B96" s="809" t="inlineStr">
        <is>
          <t>Actual Age</t>
        </is>
      </c>
      <c r="C96" s="1745">
        <f>2022-'Property Info'!B8</f>
        <v/>
      </c>
    </row>
    <row r="97">
      <c r="B97" s="807" t="inlineStr">
        <is>
          <t>Expected Economic Life</t>
        </is>
      </c>
      <c r="C97" s="1746" t="n">
        <v>40</v>
      </c>
    </row>
    <row r="98">
      <c r="B98" s="809" t="inlineStr">
        <is>
          <t>Effective Age</t>
        </is>
      </c>
      <c r="C98" s="1745">
        <f>'Cost Approach'!C40</f>
        <v/>
      </c>
    </row>
    <row r="99">
      <c r="B99" s="810" t="inlineStr">
        <is>
          <t>Remaining Economic Life</t>
        </is>
      </c>
      <c r="C99" s="1747">
        <f>C97-C98</f>
        <v/>
      </c>
      <c r="D99" s="1458" t="n"/>
      <c r="E99" s="1458" t="n"/>
      <c r="F99" s="1458"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C14:F14"/>
    <mergeCell ref="B57:F57"/>
    <mergeCell ref="C98:F98"/>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31:F31"/>
    <mergeCell ref="C80:F80"/>
    <mergeCell ref="C12:F12"/>
    <mergeCell ref="C46:F46"/>
    <mergeCell ref="C21:F21"/>
    <mergeCell ref="C51:F51"/>
    <mergeCell ref="C95:F95"/>
    <mergeCell ref="C60:F60"/>
    <mergeCell ref="B91:F91"/>
    <mergeCell ref="C23:F23"/>
    <mergeCell ref="C48:F48"/>
    <mergeCell ref="C7:F7"/>
    <mergeCell ref="B77:F77"/>
    <mergeCell ref="C49:F49"/>
    <mergeCell ref="C33:F33"/>
    <mergeCell ref="C42:F42"/>
    <mergeCell ref="C74:F74"/>
    <mergeCell ref="C35:F35"/>
    <mergeCell ref="C16:F16"/>
    <mergeCell ref="C25:F25"/>
    <mergeCell ref="C55:F55"/>
    <mergeCell ref="C99:F99"/>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C15"/>
  <sheetViews>
    <sheetView topLeftCell="B6" zoomScale="115" zoomScaleNormal="115" workbookViewId="0">
      <selection activeCell="H5" sqref="H5"/>
    </sheetView>
  </sheetViews>
  <sheetFormatPr baseColWidth="8" defaultRowHeight="15"/>
  <cols>
    <col width="14.140625" bestFit="1" customWidth="1" style="1439" min="2" max="2"/>
    <col width="112.7109375" customWidth="1" style="1439" min="3" max="3"/>
  </cols>
  <sheetData>
    <row r="1" ht="30" customHeight="1" s="1439">
      <c r="C1" s="1208" t="inlineStr">
        <is>
          <t xml:space="preserve">NOTE: Most of the below text is standard boilerplate and should remain the same. Read through and change only the descriptions as they pertain to your property. </t>
        </is>
      </c>
    </row>
    <row r="2"/>
    <row r="3">
      <c r="B3" s="821" t="inlineStr">
        <is>
          <t>AS IF VACANT</t>
        </is>
      </c>
      <c r="C3" s="822" t="n"/>
    </row>
    <row r="4" ht="124.5" customHeight="1" s="143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3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39">
      <c r="B6" s="819" t="inlineStr">
        <is>
          <t>Financially</t>
        </is>
      </c>
      <c r="C6" s="1229" t="inlineStr">
        <is>
          <t>Financial feasibility is determined by the relationship of supply and demand for the legally probable land uses versus the cost to create them.  The market analysis section reveals that industrial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industrial use is considered financially feasible.</t>
        </is>
      </c>
    </row>
    <row r="7" ht="75" customHeight="1" s="143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39">
      <c r="C8" s="1075" t="n"/>
    </row>
    <row r="9" hidden="1" s="1439">
      <c r="C9" s="1075" t="n"/>
    </row>
    <row r="10" ht="6" customHeight="1" s="1439">
      <c r="B10" s="887" t="n"/>
      <c r="C10" s="1075" t="n"/>
    </row>
    <row r="11">
      <c r="B11" s="821" t="inlineStr">
        <is>
          <t>AS IMPROVED</t>
        </is>
      </c>
      <c r="C11" s="822" t="n"/>
    </row>
    <row r="12" ht="30" customHeight="1" s="143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39">
      <c r="B13" s="819" t="inlineStr">
        <is>
          <t>Physically</t>
        </is>
      </c>
      <c r="C13" s="1229" t="inlineStr">
        <is>
          <t>The subject is currently improved with a 33,950 square foot industrial building, located on a 2.49-acre site that conforms to its surrounding uses.  Continued used of the improvements for industrial use is physically possible.</t>
        </is>
      </c>
    </row>
    <row r="14" ht="75" customHeight="1" s="143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3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industrial use.  None of the comparable properties were acquired for conversion to an alternative use.  This provides evidence suggesting that the current industrial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39" min="3" max="3"/>
    <col width="12.85546875" customWidth="1" style="1439" min="4" max="4"/>
    <col width="19.42578125" bestFit="1" customWidth="1" style="1439" min="5" max="5"/>
    <col width="4.140625" customWidth="1" style="1439" min="6" max="6"/>
    <col width="26.140625" bestFit="1" customWidth="1" style="1439" min="7" max="7"/>
    <col width="17.7109375" bestFit="1" customWidth="1" style="1439" min="8" max="8"/>
    <col width="20.7109375" customWidth="1" style="1439" min="9" max="10"/>
  </cols>
  <sheetData>
    <row r="2">
      <c r="C2" s="1528" t="inlineStr">
        <is>
          <t>VALUE INDICATIONS</t>
        </is>
      </c>
    </row>
    <row r="3" ht="15" customHeight="1" s="1439">
      <c r="C3" s="240" t="inlineStr">
        <is>
          <t>As Is - Land Value Only</t>
        </is>
      </c>
      <c r="D3" s="240" t="n"/>
      <c r="E3" s="240" t="n"/>
      <c r="F3" s="240" t="n"/>
    </row>
    <row r="4" ht="15" customHeight="1" s="1439">
      <c r="C4" s="170" t="inlineStr">
        <is>
          <t>Sales Comparison Approach</t>
        </is>
      </c>
      <c r="D4" s="1748">
        <f>'Land Sales'!C66</f>
        <v/>
      </c>
      <c r="E4" s="1749">
        <f>D4/'Property Info'!B11</f>
        <v/>
      </c>
      <c r="F4" s="186" t="inlineStr">
        <is>
          <t>Per Square Foot (LA)</t>
        </is>
      </c>
    </row>
    <row r="5" ht="15" customHeight="1" s="1439">
      <c r="C5" s="188" t="inlineStr">
        <is>
          <t>Value Conclusion - As Is</t>
        </is>
      </c>
      <c r="D5" s="1750">
        <f>D4</f>
        <v/>
      </c>
      <c r="E5" s="1751">
        <f>E4</f>
        <v/>
      </c>
      <c r="F5" s="188">
        <f>F4</f>
        <v/>
      </c>
    </row>
    <row r="6" ht="15" customHeight="1" s="1439">
      <c r="C6" s="1530" t="inlineStr">
        <is>
          <t>As Is - Retrospective Market Value - Fee Simple Estate</t>
        </is>
      </c>
      <c r="D6" s="1468" t="n"/>
      <c r="E6" s="1468" t="n"/>
      <c r="F6" s="1468" t="n"/>
    </row>
    <row r="7" ht="15" customHeight="1" s="1439">
      <c r="C7" s="170" t="inlineStr">
        <is>
          <t>Cost Approach</t>
        </is>
      </c>
      <c r="D7" s="1748" t="inlineStr">
        <is>
          <t>Not Developed</t>
        </is>
      </c>
      <c r="E7" s="1752" t="n"/>
      <c r="F7" s="186" t="n"/>
    </row>
    <row r="8" ht="15" customHeight="1" s="1439">
      <c r="C8" s="170" t="inlineStr">
        <is>
          <t>Sales Comparison Approach</t>
        </is>
      </c>
      <c r="D8" s="1748">
        <f>'Basic Sales Grid'!D46</f>
        <v/>
      </c>
      <c r="E8" s="1753">
        <f>D8/'Property Info'!B4</f>
        <v/>
      </c>
      <c r="F8" s="1248">
        <f>FE!B14</f>
        <v/>
      </c>
    </row>
    <row r="9" ht="15" customHeight="1" s="1439">
      <c r="C9" s="170" t="inlineStr">
        <is>
          <t>Income Capitalization Approach</t>
        </is>
      </c>
      <c r="D9" s="1748" t="n"/>
      <c r="E9" s="1752" t="n"/>
      <c r="F9" s="186" t="n"/>
    </row>
    <row r="10" ht="15" customHeight="1" s="1439">
      <c r="C10" s="170" t="inlineStr">
        <is>
          <t xml:space="preserve">     Direct Capitalization</t>
        </is>
      </c>
      <c r="D10" s="1748">
        <f>'Income Approach'!C65</f>
        <v/>
      </c>
      <c r="E10" s="1753">
        <f>D10/'Property Info'!B6</f>
        <v/>
      </c>
      <c r="F10" s="186">
        <f>F8</f>
        <v/>
      </c>
    </row>
    <row r="11" ht="15" customHeight="1" s="1439">
      <c r="C11" s="153" t="inlineStr">
        <is>
          <t>Approach Reliance</t>
        </is>
      </c>
      <c r="D11" s="339">
        <f>IF(FE!B14="GBA",'Final Value'!C8,'Final Value'!C9)</f>
        <v/>
      </c>
      <c r="E11" s="1754" t="n"/>
      <c r="F11" s="339" t="n"/>
    </row>
    <row r="12" ht="15" customHeight="1" s="1439">
      <c r="C12" s="158" t="inlineStr">
        <is>
          <t>Value Conclusion</t>
        </is>
      </c>
      <c r="D12" s="1755">
        <f>D10</f>
        <v/>
      </c>
      <c r="E12" s="1756">
        <f>D12/'Property Info'!B4</f>
        <v/>
      </c>
      <c r="F12" s="158">
        <f>F8</f>
        <v/>
      </c>
    </row>
    <row r="13" hidden="1" ht="15" customHeight="1" s="1439">
      <c r="C13" s="240" t="inlineStr">
        <is>
          <t>As Is</t>
        </is>
      </c>
      <c r="D13" s="240" t="n"/>
      <c r="E13" s="240" t="n"/>
      <c r="F13" s="240" t="n"/>
    </row>
    <row r="14" hidden="1" ht="15" customHeight="1" s="1439">
      <c r="C14" s="170" t="inlineStr">
        <is>
          <t>Sales Comparison Approach</t>
        </is>
      </c>
      <c r="D14" s="1748">
        <f>'Basic Sales Grid'!D46</f>
        <v/>
      </c>
      <c r="E14" s="1757">
        <f>D14/'Property Info'!B4</f>
        <v/>
      </c>
      <c r="F14" s="186" t="inlineStr">
        <is>
          <t>Per Square Foot (GBA)</t>
        </is>
      </c>
    </row>
    <row r="15" hidden="1" ht="15" customHeight="1" s="1439">
      <c r="C15" s="170" t="inlineStr">
        <is>
          <t>Income Capitalization Approach</t>
        </is>
      </c>
      <c r="D15" s="1748" t="n"/>
      <c r="E15" s="1749" t="n"/>
      <c r="F15" s="186" t="n"/>
    </row>
    <row r="16" hidden="1" ht="15" customHeight="1" s="1439">
      <c r="C16" s="170" t="inlineStr">
        <is>
          <t xml:space="preserve">     Direct Capitalization</t>
        </is>
      </c>
      <c r="D16" s="1748" t="n">
        <v>1445000</v>
      </c>
      <c r="E16" s="1749">
        <f>D16/3112</f>
        <v/>
      </c>
      <c r="F16" s="186">
        <f>F14</f>
        <v/>
      </c>
    </row>
    <row r="17" hidden="1" ht="15" customHeight="1" s="1439">
      <c r="C17" s="153" t="inlineStr">
        <is>
          <t>Approach Reliance</t>
        </is>
      </c>
      <c r="D17" s="339" t="inlineStr">
        <is>
          <t>Sales Comparison Approach</t>
        </is>
      </c>
      <c r="E17" s="339" t="n"/>
      <c r="F17" s="339" t="n"/>
    </row>
    <row r="18" hidden="1" ht="15" customHeight="1" s="1439">
      <c r="C18" s="158">
        <f>"Value Conclusion - "&amp;PROPER(bbValueConditionScen1)&amp;""</f>
        <v/>
      </c>
      <c r="D18" s="1755">
        <f>D14</f>
        <v/>
      </c>
      <c r="E18" s="1758">
        <f>E14</f>
        <v/>
      </c>
      <c r="F18" s="158">
        <f>F14</f>
        <v/>
      </c>
    </row>
    <row r="19" hidden="1" ht="15" customHeight="1" s="1439">
      <c r="C19" s="170" t="inlineStr">
        <is>
          <t>Exposure Time</t>
        </is>
      </c>
      <c r="D19" s="243" t="inlineStr">
        <is>
          <t>12 months</t>
        </is>
      </c>
      <c r="E19" s="13" t="n"/>
      <c r="F19" s="186" t="n"/>
    </row>
    <row r="20" hidden="1" ht="15" customHeight="1" s="1439">
      <c r="C20" s="104" t="inlineStr">
        <is>
          <t>Marketing Time</t>
        </is>
      </c>
      <c r="D20" s="244" t="inlineStr">
        <is>
          <t>12 months</t>
        </is>
      </c>
      <c r="E20" s="245" t="n"/>
      <c r="F20" s="14" t="n"/>
    </row>
    <row r="21">
      <c r="G21" s="1531"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759" t="inlineStr">
        <is>
          <t>Retrospective Market Value</t>
        </is>
      </c>
      <c r="H23" s="1067" t="inlineStr">
        <is>
          <t xml:space="preserve">Fee Simple </t>
        </is>
      </c>
      <c r="I23" s="1760">
        <f>'Property Info'!B26</f>
        <v/>
      </c>
      <c r="J23" s="1761">
        <f>D12</f>
        <v/>
      </c>
    </row>
    <row r="26" hidden="1" s="1439">
      <c r="G26" s="1529" t="inlineStr">
        <is>
          <t>6 MONTH LIQUIDATION VALUE CONCLUSION</t>
        </is>
      </c>
    </row>
    <row r="27" hidden="1" s="1439">
      <c r="G27" s="1640" t="inlineStr">
        <is>
          <t>Appraisal Premise</t>
        </is>
      </c>
      <c r="H27" s="1640" t="inlineStr">
        <is>
          <t>Interest Appraised</t>
        </is>
      </c>
      <c r="I27" s="1640" t="inlineStr">
        <is>
          <t>Date of Value</t>
        </is>
      </c>
      <c r="J27" s="1640" t="inlineStr">
        <is>
          <t>Value Conclusion</t>
        </is>
      </c>
    </row>
    <row r="28" hidden="1" s="1439">
      <c r="G28" s="1762">
        <f>bbValueNameScen1</f>
        <v/>
      </c>
      <c r="H28" s="247" t="inlineStr">
        <is>
          <t xml:space="preserve">Fee Simple </t>
        </is>
      </c>
      <c r="I28" s="1763" t="n">
        <v>43132</v>
      </c>
      <c r="J28" s="1764" t="n">
        <v>325000</v>
      </c>
    </row>
    <row r="29" hidden="1" s="1439"/>
    <row r="30" hidden="1" s="1439">
      <c r="G30" s="1529" t="inlineStr">
        <is>
          <t>HYPOTHETICAL MARKET VALUE CONCLUSION (UNDERLYING LAND ONLY)</t>
        </is>
      </c>
    </row>
    <row r="31" hidden="1" s="1439">
      <c r="G31" s="1640" t="inlineStr">
        <is>
          <t>Appraisal Premise</t>
        </is>
      </c>
      <c r="H31" s="1640" t="inlineStr">
        <is>
          <t>Interest Appraised</t>
        </is>
      </c>
      <c r="I31" s="1640" t="inlineStr">
        <is>
          <t>Date of Value</t>
        </is>
      </c>
      <c r="J31" s="1640" t="inlineStr">
        <is>
          <t>Value Conclusion</t>
        </is>
      </c>
    </row>
    <row r="32" hidden="1" s="1439">
      <c r="G32" s="1762" t="inlineStr">
        <is>
          <t>As If Vacant</t>
        </is>
      </c>
      <c r="H32" s="247" t="inlineStr">
        <is>
          <t xml:space="preserve">Fee Simple </t>
        </is>
      </c>
      <c r="I32" s="1763" t="n">
        <v>43132</v>
      </c>
      <c r="J32" s="1764" t="n">
        <v>200000</v>
      </c>
    </row>
    <row r="33" hidden="1" s="1439"/>
    <row r="34" hidden="1" s="1439">
      <c r="G34" s="1529" t="inlineStr">
        <is>
          <t>PROSPECTIVE MARKET VALUE CONCLUSION</t>
        </is>
      </c>
    </row>
    <row r="35" hidden="1" s="1439">
      <c r="G35" s="1640" t="inlineStr">
        <is>
          <t>Appraisal Premise</t>
        </is>
      </c>
      <c r="H35" s="1640" t="inlineStr">
        <is>
          <t>Interest Appraised</t>
        </is>
      </c>
      <c r="I35" s="1640" t="inlineStr">
        <is>
          <t>Date of Value</t>
        </is>
      </c>
      <c r="J35" s="1640" t="inlineStr">
        <is>
          <t>Value Conclusion</t>
        </is>
      </c>
    </row>
    <row r="36" hidden="1" s="1439">
      <c r="G36" s="1762" t="inlineStr">
        <is>
          <t>Upon Completion</t>
        </is>
      </c>
      <c r="H36" s="247" t="inlineStr">
        <is>
          <t xml:space="preserve">Fee Simple </t>
        </is>
      </c>
      <c r="I36" s="1763" t="n">
        <v>43830</v>
      </c>
      <c r="J36" s="1764">
        <f>D12</f>
        <v/>
      </c>
    </row>
    <row r="37">
      <c r="E37" s="1692"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topLeftCell="B1" zoomScale="85" zoomScaleNormal="85" workbookViewId="0">
      <selection activeCell="O10" sqref="O10"/>
    </sheetView>
  </sheetViews>
  <sheetFormatPr baseColWidth="8" defaultColWidth="9.140625" defaultRowHeight="15"/>
  <cols>
    <col width="9.140625" customWidth="1" style="1450" min="1" max="1"/>
    <col width="33.85546875" customWidth="1" style="1439" min="2" max="2"/>
    <col width="25.7109375" customWidth="1" style="1439" min="3" max="3"/>
    <col hidden="1" width="21.85546875" customWidth="1" style="1439" min="4" max="4"/>
    <col width="27.28515625" customWidth="1" style="1533" min="5" max="5"/>
    <col hidden="1" width="21.85546875" customWidth="1" style="1439" min="6" max="6"/>
    <col width="27.28515625" customWidth="1" style="1533" min="7" max="7"/>
    <col hidden="1" width="22" customWidth="1" style="1439" min="8" max="8"/>
    <col width="27.28515625" customWidth="1" style="1533" min="9" max="9"/>
    <col hidden="1" width="21.85546875" customWidth="1" style="1439" min="10" max="10"/>
    <col width="27.28515625" customWidth="1" style="1533" min="11" max="11"/>
    <col hidden="1" width="21.85546875" customWidth="1" style="1439" min="12" max="12"/>
    <col hidden="1" width="8.7109375" customWidth="1" style="1439" min="13" max="13"/>
    <col width="9.140625" customWidth="1" style="1450" min="14" max="14"/>
    <col width="31.85546875" customWidth="1" style="1450" min="15" max="15"/>
    <col width="9.140625" customWidth="1" style="1450"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39" thickBot="1">
      <c r="B5" s="1280" t="inlineStr">
        <is>
          <t>Remember to spell check every worksheet as you go.</t>
        </is>
      </c>
      <c r="C5" s="1281" t="n"/>
      <c r="D5" s="1281" t="n"/>
      <c r="E5" s="1282" t="n"/>
    </row>
    <row r="7">
      <c r="B7" s="1536" t="inlineStr">
        <is>
          <t>COMPARABLE SALE ADJUSTMENT GRID</t>
        </is>
      </c>
    </row>
    <row r="8">
      <c r="B8" s="801" t="n"/>
      <c r="C8" s="801" t="inlineStr">
        <is>
          <t>Subject</t>
        </is>
      </c>
      <c r="D8" s="1532" t="inlineStr">
        <is>
          <t>Sale 1</t>
        </is>
      </c>
      <c r="F8" s="1532" t="inlineStr">
        <is>
          <t>Sale 2</t>
        </is>
      </c>
      <c r="H8" s="1532" t="inlineStr">
        <is>
          <t>Sale 3</t>
        </is>
      </c>
      <c r="J8" s="1532" t="inlineStr">
        <is>
          <t>Sale 4</t>
        </is>
      </c>
      <c r="L8" s="1543" t="inlineStr">
        <is>
          <t>Sale 5</t>
        </is>
      </c>
    </row>
    <row r="9">
      <c r="B9" s="840" t="inlineStr">
        <is>
          <t>Address</t>
        </is>
      </c>
      <c r="C9" s="841">
        <f>'Property Info'!B16</f>
        <v/>
      </c>
      <c r="D9" s="1077" t="n"/>
      <c r="E9" s="1254" t="inlineStr">
        <is>
          <t>3600 Chambers Road</t>
        </is>
      </c>
      <c r="F9" s="1077" t="n"/>
      <c r="G9" s="1254" t="inlineStr">
        <is>
          <t>TBD - E 96th Avenue</t>
        </is>
      </c>
      <c r="H9" s="1077" t="n"/>
      <c r="I9" s="1254" t="inlineStr">
        <is>
          <t>2021 E 68th Avenue</t>
        </is>
      </c>
      <c r="J9" s="1076" t="n"/>
      <c r="K9" s="1255" t="inlineStr">
        <is>
          <t>6100 E 48th Avenue</t>
        </is>
      </c>
      <c r="L9" s="1538" t="inlineStr">
        <is>
          <t>10480-10555 West 63rd Place</t>
        </is>
      </c>
    </row>
    <row r="10" ht="30" customHeight="1" s="1439">
      <c r="B10" s="840" t="inlineStr">
        <is>
          <t>City, State</t>
        </is>
      </c>
      <c r="C10" s="842">
        <f>'Property Info'!B17</f>
        <v/>
      </c>
      <c r="D10" s="1076" t="n"/>
      <c r="E10" s="1255" t="inlineStr">
        <is>
          <t>Aurora, CO</t>
        </is>
      </c>
      <c r="F10" s="1076" t="n"/>
      <c r="G10" s="1255" t="inlineStr">
        <is>
          <t>Commerce City, CO</t>
        </is>
      </c>
      <c r="H10" s="1076" t="n"/>
      <c r="I10" s="1255" t="inlineStr">
        <is>
          <t>Denver, CO</t>
        </is>
      </c>
      <c r="J10" s="1076" t="n"/>
      <c r="K10" s="1255" t="inlineStr">
        <is>
          <t>Denver, CO</t>
        </is>
      </c>
      <c r="L10" s="1538" t="inlineStr">
        <is>
          <t>Arvada, CO</t>
        </is>
      </c>
    </row>
    <row r="11" ht="27" customHeight="1" s="1439">
      <c r="B11" s="840" t="inlineStr">
        <is>
          <t>Account/Parcel Number</t>
        </is>
      </c>
      <c r="C11" s="842">
        <f>'Property Info'!B1</f>
        <v/>
      </c>
      <c r="D11" s="1076" t="n"/>
      <c r="E11" s="1255" t="inlineStr">
        <is>
          <t>1821-29-2-18-001</t>
        </is>
      </c>
      <c r="F11" s="1076" t="n"/>
      <c r="G11" s="1255" t="inlineStr">
        <is>
          <t>1721-21-1-03-002</t>
        </is>
      </c>
      <c r="H11" s="1076" t="n"/>
      <c r="I11" s="1255" t="inlineStr">
        <is>
          <t>1825-023-04-013</t>
        </is>
      </c>
      <c r="J11" s="1077" t="n"/>
      <c r="K11" s="1254" t="inlineStr">
        <is>
          <t>1202-00-098-000</t>
        </is>
      </c>
      <c r="L11" s="1537" t="inlineStr">
        <is>
          <t>39-091-07-003</t>
        </is>
      </c>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38" t="inlineStr">
        <is>
          <t>Commercial Land</t>
        </is>
      </c>
    </row>
    <row r="13">
      <c r="B13" s="840" t="inlineStr">
        <is>
          <t>Sale Date</t>
        </is>
      </c>
      <c r="C13" s="1250" t="inlineStr">
        <is>
          <t>N/A</t>
        </is>
      </c>
      <c r="D13" s="1765" t="n"/>
      <c r="E13" s="1766" t="n">
        <v>43998</v>
      </c>
      <c r="F13" s="1765" t="n"/>
      <c r="G13" s="1766" t="n">
        <v>43969</v>
      </c>
      <c r="H13" s="1765" t="n"/>
      <c r="I13" s="1766" t="n">
        <v>43766</v>
      </c>
      <c r="J13" s="1765" t="n"/>
      <c r="K13" s="1766" t="n">
        <v>43747</v>
      </c>
      <c r="L13" s="1767" t="inlineStr">
        <is>
          <t>Under Contract</t>
        </is>
      </c>
    </row>
    <row r="14" ht="12.6" customHeight="1" s="1439">
      <c r="B14" s="840" t="inlineStr">
        <is>
          <t>Sale Price</t>
        </is>
      </c>
      <c r="C14" s="1768" t="inlineStr">
        <is>
          <t>N/A</t>
        </is>
      </c>
      <c r="D14" s="1769" t="n"/>
      <c r="E14" s="1770" t="n">
        <v>1800000</v>
      </c>
      <c r="F14" s="1769" t="n"/>
      <c r="G14" s="1770" t="n">
        <v>1100000</v>
      </c>
      <c r="H14" s="1769" t="n"/>
      <c r="I14" s="1770" t="n">
        <v>1350000</v>
      </c>
      <c r="J14" s="1769" t="n"/>
      <c r="K14" s="1770" t="n">
        <v>795000</v>
      </c>
      <c r="L14" s="1771" t="inlineStr">
        <is>
          <t>TBD</t>
        </is>
      </c>
    </row>
    <row r="15" ht="12.6" customHeight="1" s="1439">
      <c r="B15" s="840" t="inlineStr">
        <is>
          <t>Listing Price</t>
        </is>
      </c>
      <c r="C15" s="1768" t="inlineStr">
        <is>
          <t>N/A</t>
        </is>
      </c>
      <c r="D15" s="1769" t="n"/>
      <c r="E15" s="1770" t="inlineStr">
        <is>
          <t>Not Reported</t>
        </is>
      </c>
      <c r="F15" s="1769" t="n"/>
      <c r="G15" s="1770" t="n">
        <v>1224040</v>
      </c>
      <c r="H15" s="1769" t="n"/>
      <c r="I15" s="1770" t="n">
        <v>1600000</v>
      </c>
      <c r="J15" s="1769" t="n"/>
      <c r="K15" s="1770" t="inlineStr">
        <is>
          <t>Not Reported</t>
        </is>
      </c>
      <c r="L15" s="1771" t="n">
        <v>500000</v>
      </c>
    </row>
    <row r="16" ht="12.6" customHeight="1" s="143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38" t="n">
        <v>725</v>
      </c>
    </row>
    <row r="17" ht="60" customHeight="1" s="143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37" t="inlineStr">
        <is>
          <t>CoStar, Assessor, Listing</t>
        </is>
      </c>
    </row>
    <row r="18" hidden="1" ht="12.6" customHeight="1" s="1439">
      <c r="B18" s="840" t="inlineStr">
        <is>
          <t>Grantor</t>
        </is>
      </c>
      <c r="C18" s="843" t="inlineStr">
        <is>
          <t>TBD</t>
        </is>
      </c>
      <c r="D18" s="1079" t="n"/>
      <c r="E18" s="1258" t="inlineStr">
        <is>
          <t>Josef Reith</t>
        </is>
      </c>
      <c r="F18" s="1079" t="n"/>
      <c r="G18" s="1258" t="inlineStr">
        <is>
          <t>Josef Reith</t>
        </is>
      </c>
      <c r="H18" s="1079" t="n"/>
      <c r="I18" s="1258" t="inlineStr">
        <is>
          <t>Josef Reith</t>
        </is>
      </c>
      <c r="J18" s="1079" t="n"/>
      <c r="K18" s="1258" t="inlineStr">
        <is>
          <t>Terry &amp; Nikki LLC</t>
        </is>
      </c>
      <c r="L18" s="1542" t="n">
        <v>4950</v>
      </c>
    </row>
    <row r="19" hidden="1" ht="12.6" customHeight="1" s="1439">
      <c r="B19" s="840" t="inlineStr">
        <is>
          <t>Grantee</t>
        </is>
      </c>
      <c r="C19" s="843" t="inlineStr">
        <is>
          <t>TBD</t>
        </is>
      </c>
      <c r="D19" s="1079" t="n"/>
      <c r="E19" s="1258" t="inlineStr">
        <is>
          <t>AGG Real Estate LLC</t>
        </is>
      </c>
      <c r="F19" s="1079" t="n"/>
      <c r="G19" s="1258" t="inlineStr">
        <is>
          <t>AGG Real Estate LLC</t>
        </is>
      </c>
      <c r="H19" s="1079" t="n"/>
      <c r="I19" s="1258" t="inlineStr">
        <is>
          <t>AGG Real Estate LLC</t>
        </is>
      </c>
      <c r="J19" s="1079" t="n"/>
      <c r="K19" s="1258" t="inlineStr">
        <is>
          <t>Dilligaff Inc</t>
        </is>
      </c>
      <c r="L19" s="1535" t="n">
        <v>4950</v>
      </c>
    </row>
    <row r="20">
      <c r="B20" s="840" t="inlineStr">
        <is>
          <t>Site Size (SF)</t>
        </is>
      </c>
      <c r="C20" s="843">
        <f>'Property Info'!B11</f>
        <v/>
      </c>
      <c r="D20" s="1079" t="n"/>
      <c r="E20" s="1258" t="n">
        <v>175405</v>
      </c>
      <c r="F20" s="1079" t="n"/>
      <c r="G20" s="1258" t="n">
        <v>122404</v>
      </c>
      <c r="H20" s="1079" t="n"/>
      <c r="I20" s="1258" t="n">
        <v>95912</v>
      </c>
      <c r="J20" s="1079" t="n"/>
      <c r="K20" s="1258" t="n">
        <v>91793</v>
      </c>
      <c r="L20" s="1535" t="n">
        <v>47916</v>
      </c>
    </row>
    <row r="21">
      <c r="B21" s="840" t="inlineStr">
        <is>
          <t xml:space="preserve">Zoning </t>
        </is>
      </c>
      <c r="C21" s="843">
        <f>'Property Info'!B29</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35" t="inlineStr">
        <is>
          <t>B-2</t>
        </is>
      </c>
    </row>
    <row r="22" ht="48.75" customHeight="1" s="1439">
      <c r="B22" s="840" t="inlineStr">
        <is>
          <t>Comments</t>
        </is>
      </c>
      <c r="C22" s="1772" t="inlineStr">
        <is>
          <t>Industrial land</t>
        </is>
      </c>
      <c r="D22" s="1773" t="n"/>
      <c r="E22" s="1774" t="inlineStr">
        <is>
          <t xml:space="preserve">Commercial/industrial land, purchased for development. </t>
        </is>
      </c>
      <c r="F22" s="1773" t="n"/>
      <c r="G22" s="1774" t="inlineStr">
        <is>
          <t>Industrial parcel purchased for development.</t>
        </is>
      </c>
      <c r="H22" s="1773" t="n"/>
      <c r="I22" s="1774" t="inlineStr">
        <is>
          <t>Industrial parcel purchased for development.</t>
        </is>
      </c>
      <c r="J22" s="1773" t="n"/>
      <c r="K22" s="1775" t="inlineStr">
        <is>
          <t>Industrial parcel purchased for development.</t>
        </is>
      </c>
      <c r="L22" s="1776" t="inlineStr">
        <is>
          <t>Commercial lot purchased for re-development. Formerly a mini-golf center.</t>
        </is>
      </c>
      <c r="M22" s="1540" t="n"/>
    </row>
    <row r="23" ht="12.6" customHeight="1" s="1439">
      <c r="B23" s="513" t="inlineStr">
        <is>
          <t>Unadjusted Price Per SF</t>
        </is>
      </c>
      <c r="C23" s="1777" t="n"/>
      <c r="D23" s="515" t="n"/>
      <c r="E23" s="1778">
        <f>E14/E20</f>
        <v/>
      </c>
      <c r="F23" s="515" t="n"/>
      <c r="G23" s="1778">
        <f>G14/G20</f>
        <v/>
      </c>
      <c r="H23" s="515" t="n"/>
      <c r="I23" s="1778">
        <f>I14/I20</f>
        <v/>
      </c>
      <c r="J23" s="515" t="n"/>
      <c r="K23" s="1779">
        <f>K14/K20</f>
        <v/>
      </c>
      <c r="L23" s="1132" t="n"/>
      <c r="M23" s="1778">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780" t="n">
        <v>0</v>
      </c>
      <c r="F25" s="1107" t="inlineStr">
        <is>
          <t>Fee Simple</t>
        </is>
      </c>
      <c r="G25" s="1780" t="n">
        <v>0</v>
      </c>
      <c r="H25" s="1107" t="inlineStr">
        <is>
          <t>Fee Simple</t>
        </is>
      </c>
      <c r="I25" s="1780" t="n">
        <v>0</v>
      </c>
      <c r="J25" s="1107" t="inlineStr">
        <is>
          <t>Fee Simple</t>
        </is>
      </c>
      <c r="K25" s="1781" t="n">
        <v>0</v>
      </c>
      <c r="L25" s="1107" t="inlineStr">
        <is>
          <t>Fee Simple</t>
        </is>
      </c>
      <c r="M25" s="1782" t="n"/>
    </row>
    <row r="26" hidden="1" s="1439">
      <c r="B26" s="847" t="inlineStr">
        <is>
          <t>Property Rights Conveyed Adjusted</t>
        </is>
      </c>
      <c r="C26" s="1092" t="n"/>
      <c r="D26" s="848" t="n"/>
      <c r="E26" s="1783">
        <f>IF(LEFT(CELL("format",E25),1)="P",E23*(1+E25),IF(LEFT(CELL("format",E25),1)="C",E23+E25))</f>
        <v/>
      </c>
      <c r="F26" s="1108" t="n"/>
      <c r="G26" s="1783">
        <f>IF(LEFT(CELL("format",G25),1)="P",G23*(1+G25),IF(LEFT(CELL("format",G25),1)="C",G23+G25))</f>
        <v/>
      </c>
      <c r="H26" s="1108" t="n"/>
      <c r="I26" s="1783">
        <f>IF(LEFT(CELL("format",I25),1)="P",I23*(1+I25),IF(LEFT(CELL("format",I25),1)="C",I23+I25))</f>
        <v/>
      </c>
      <c r="J26" s="1108" t="n"/>
      <c r="K26" s="1784">
        <f>IF(LEFT(CELL("format",K25),1)="P",K23*(1+K25),IF(LEFT(CELL("format",K25),1)="C",K23+K25))</f>
        <v/>
      </c>
      <c r="L26" s="1108" t="n"/>
      <c r="M26" s="1785">
        <f>IF(LEFT(CELL("format",M25),1)="P",M23*(1+M25),IF(LEFT(CELL("format",M25),1)="C",M23+M25))</f>
        <v/>
      </c>
    </row>
    <row r="27">
      <c r="B27" s="840" t="inlineStr">
        <is>
          <t>Financing</t>
        </is>
      </c>
      <c r="C27" s="1092" t="inlineStr">
        <is>
          <t>N/A</t>
        </is>
      </c>
      <c r="D27" s="848" t="inlineStr">
        <is>
          <t>Market-Based</t>
        </is>
      </c>
      <c r="E27" s="1786" t="n">
        <v>0</v>
      </c>
      <c r="F27" s="1108" t="inlineStr">
        <is>
          <t>Market-Based</t>
        </is>
      </c>
      <c r="G27" s="1786" t="n">
        <v>0</v>
      </c>
      <c r="H27" s="1108" t="inlineStr">
        <is>
          <t>Market-Based</t>
        </is>
      </c>
      <c r="I27" s="1786" t="n">
        <v>0</v>
      </c>
      <c r="J27" s="1108" t="inlineStr">
        <is>
          <t>Market-Based</t>
        </is>
      </c>
      <c r="K27" s="1781" t="n">
        <v>0</v>
      </c>
      <c r="L27" s="1108" t="inlineStr">
        <is>
          <t>Market-Based</t>
        </is>
      </c>
      <c r="M27" s="1787" t="n">
        <v>0</v>
      </c>
      <c r="N27" s="362" t="n"/>
    </row>
    <row r="28" hidden="1" s="1439">
      <c r="B28" s="847" t="inlineStr">
        <is>
          <t>Financing Adjusted</t>
        </is>
      </c>
      <c r="C28" s="1092" t="n"/>
      <c r="D28" s="848" t="n"/>
      <c r="E28" s="1788">
        <f>IF(LEFT(CELL("format",E27),1)="P",E26*(1+E27),IF(LEFT(CELL("format",E27),1)="C",E26+E27))</f>
        <v/>
      </c>
      <c r="F28" s="1108" t="n"/>
      <c r="G28" s="1788">
        <f>IF(LEFT(CELL("format",G27),1)="P",G26*(1+G27),IF(LEFT(CELL("format",G27),1)="C",G26+G27))</f>
        <v/>
      </c>
      <c r="H28" s="1108" t="n"/>
      <c r="I28" s="1788">
        <f>IF(LEFT(CELL("format",I27),1)="P",I26*(1+I27),IF(LEFT(CELL("format",I27),1)="C",I26+I27))</f>
        <v/>
      </c>
      <c r="J28" s="1108" t="n"/>
      <c r="K28" s="1789">
        <f>IF(LEFT(CELL("format",K27),1)="P",K26*(1+K27),IF(LEFT(CELL("format",K27),1)="C",K26+K27))</f>
        <v/>
      </c>
      <c r="L28" s="1108" t="n"/>
      <c r="M28" s="1790">
        <f>IF(LEFT(CELL("format",M27),1)="P",M26*(1+M27),IF(LEFT(CELL("format",M27),1)="C",M26+M27))</f>
        <v/>
      </c>
      <c r="N28" s="362" t="n"/>
      <c r="R28">
        <f>0.25*J20</f>
        <v/>
      </c>
    </row>
    <row r="29">
      <c r="B29" s="840" t="inlineStr">
        <is>
          <t>Terms/Conditions of Sale</t>
        </is>
      </c>
      <c r="C29" s="1092" t="inlineStr">
        <is>
          <t>N/A</t>
        </is>
      </c>
      <c r="D29" s="848" t="inlineStr">
        <is>
          <t>None</t>
        </is>
      </c>
      <c r="E29" s="1786" t="n">
        <v>0</v>
      </c>
      <c r="F29" s="1108" t="inlineStr">
        <is>
          <t>None</t>
        </is>
      </c>
      <c r="G29" s="1786" t="n">
        <v>0</v>
      </c>
      <c r="H29" s="1108" t="inlineStr">
        <is>
          <t>None</t>
        </is>
      </c>
      <c r="I29" s="1786" t="n">
        <v>0</v>
      </c>
      <c r="J29" s="1108" t="inlineStr">
        <is>
          <t>None</t>
        </is>
      </c>
      <c r="K29" s="1781" t="n">
        <v>0</v>
      </c>
      <c r="L29" s="1108" t="inlineStr">
        <is>
          <t>None</t>
        </is>
      </c>
      <c r="M29" s="1787" t="n">
        <v>0</v>
      </c>
      <c r="N29" s="362" t="n"/>
    </row>
    <row r="30" hidden="1" s="1439">
      <c r="B30" s="847" t="inlineStr">
        <is>
          <t>Terms/Conditions of Sale Adjusted</t>
        </is>
      </c>
      <c r="C30" s="1092" t="n"/>
      <c r="D30" s="848" t="n"/>
      <c r="E30" s="1788">
        <f>IF(LEFT(CELL("format",E29),1)="P",E28*(1+E29),IF(LEFT(CELL("format",E29),1)="C",E28+E29))</f>
        <v/>
      </c>
      <c r="F30" s="1108" t="n"/>
      <c r="G30" s="1788">
        <f>IF(LEFT(CELL("format",G29),1)="P",G28*(1+G29),IF(LEFT(CELL("format",G29),1)="C",G28+G29))</f>
        <v/>
      </c>
      <c r="H30" s="1108" t="n"/>
      <c r="I30" s="1788">
        <f>IF(LEFT(CELL("format",I29),1)="P",I28*(1+I29),IF(LEFT(CELL("format",I29),1)="C",I28+I29))</f>
        <v/>
      </c>
      <c r="J30" s="1108" t="n"/>
      <c r="K30" s="1789">
        <f>IF(LEFT(CELL("format",K29),1)="P",K28*(1+K29),IF(LEFT(CELL("format",K29),1)="C",K28+K29))</f>
        <v/>
      </c>
      <c r="L30" s="1108" t="n"/>
      <c r="M30" s="1790">
        <f>IF(LEFT(CELL("format",M29),1)="P",M28*(1+M29),IF(LEFT(CELL("format",M29),1)="C",M28+M29))</f>
        <v/>
      </c>
      <c r="N30" s="362" t="n"/>
    </row>
    <row r="31">
      <c r="B31" s="840" t="inlineStr">
        <is>
          <t>Expenditures After Sale</t>
        </is>
      </c>
      <c r="C31" s="1092" t="inlineStr">
        <is>
          <t>N/A</t>
        </is>
      </c>
      <c r="D31" s="848" t="inlineStr">
        <is>
          <t>None</t>
        </is>
      </c>
      <c r="E31" s="1786" t="n">
        <v>0</v>
      </c>
      <c r="F31" s="1108" t="inlineStr">
        <is>
          <t>None</t>
        </is>
      </c>
      <c r="G31" s="1786" t="n">
        <v>0</v>
      </c>
      <c r="H31" s="1108" t="inlineStr">
        <is>
          <t>None</t>
        </is>
      </c>
      <c r="I31" s="1786" t="n">
        <v>0</v>
      </c>
      <c r="J31" s="1108" t="inlineStr">
        <is>
          <t>None</t>
        </is>
      </c>
      <c r="K31" s="1781" t="n">
        <v>0</v>
      </c>
      <c r="L31" s="1108" t="inlineStr">
        <is>
          <t>None</t>
        </is>
      </c>
      <c r="M31" s="1787" t="n">
        <v>0</v>
      </c>
      <c r="N31" s="362" t="n"/>
    </row>
    <row r="32" hidden="1" s="1439">
      <c r="B32" s="847" t="inlineStr">
        <is>
          <t>Expenditures After Sale Adjusted</t>
        </is>
      </c>
      <c r="C32" s="1092" t="n"/>
      <c r="D32" s="848" t="n"/>
      <c r="E32" s="1788">
        <f>IF(LEFT(CELL("format",E31),1)="P",E30*(1+E31),IF(LEFT(CELL("format",E31),1)="C",E30+E31))</f>
        <v/>
      </c>
      <c r="F32" s="1108" t="n"/>
      <c r="G32" s="1788">
        <f>IF(LEFT(CELL("format",G31),1)="P",G30*(1+G31),IF(LEFT(CELL("format",G31),1)="C",G30+G31))</f>
        <v/>
      </c>
      <c r="H32" s="1108" t="n"/>
      <c r="I32" s="1788">
        <f>IF(LEFT(CELL("format",I31),1)="P",I30*(1+I31),IF(LEFT(CELL("format",I31),1)="C",I30+I31))</f>
        <v/>
      </c>
      <c r="J32" s="1108" t="n"/>
      <c r="K32" s="1789">
        <f>IF(LEFT(CELL("format",K31),1)="P",K30*(1+K31),IF(LEFT(CELL("format",K31),1)="C",K30+K31))</f>
        <v/>
      </c>
      <c r="L32" s="1108" t="n"/>
      <c r="M32" s="1790">
        <f>IF(LEFT(CELL("format",M31),1)="P",M30*(1+M31),IF(LEFT(CELL("format",M31),1)="C",M30+M31))</f>
        <v/>
      </c>
      <c r="N32" s="362" t="n"/>
    </row>
    <row r="33">
      <c r="B33" s="840" t="inlineStr">
        <is>
          <t>Market Conditions</t>
        </is>
      </c>
      <c r="C33" s="1092" t="inlineStr">
        <is>
          <t>N/A</t>
        </is>
      </c>
      <c r="D33" s="1791">
        <f>D13</f>
        <v/>
      </c>
      <c r="E33" s="1786" t="n">
        <v>0</v>
      </c>
      <c r="F33" s="1792">
        <f>F13</f>
        <v/>
      </c>
      <c r="G33" s="1786" t="n">
        <v>0</v>
      </c>
      <c r="H33" s="1792">
        <f>H13</f>
        <v/>
      </c>
      <c r="I33" s="1786" t="n">
        <v>0</v>
      </c>
      <c r="J33" s="1792">
        <f>J13</f>
        <v/>
      </c>
      <c r="K33" s="1781" t="n">
        <v>0</v>
      </c>
      <c r="L33" s="1108" t="inlineStr">
        <is>
          <t>TBD</t>
        </is>
      </c>
      <c r="M33" s="1787" t="n">
        <v>0</v>
      </c>
      <c r="N33" s="362" t="n"/>
    </row>
    <row r="34" hidden="1" s="1439">
      <c r="B34" s="847" t="inlineStr">
        <is>
          <t>Market Conditions Adjusted</t>
        </is>
      </c>
      <c r="C34" s="1092" t="n"/>
      <c r="D34" s="848" t="n"/>
      <c r="E34" s="1793">
        <f>IF(LEFT(CELL("format",E33),1)="P",E32*(1+E33),IF(LEFT(CELL("format",E33),1)="C",E32+E33))</f>
        <v/>
      </c>
      <c r="F34" s="1108" t="n"/>
      <c r="G34" s="1793">
        <f>IF(LEFT(CELL("format",G33),1)="P",G32*(1+G33),IF(LEFT(CELL("format",G33),1)="C",G32+G33))</f>
        <v/>
      </c>
      <c r="H34" s="1108" t="n"/>
      <c r="I34" s="1793">
        <f>IF(LEFT(CELL("format",I33),1)="P",I32*(1+I33),IF(LEFT(CELL("format",I33),1)="C",I32+I33))</f>
        <v/>
      </c>
      <c r="J34" s="1108" t="n"/>
      <c r="K34" s="1794">
        <f>IF(LEFT(CELL("format",K33),1)="P",K32*(1+K33),IF(LEFT(CELL("format",K33),1)="C",K32+K33))</f>
        <v/>
      </c>
      <c r="L34" s="1108" t="n"/>
      <c r="M34" s="1785">
        <f>IF(LEFT(CELL("format",M33),1)="P",M32*(1+M33),IF(LEFT(CELL("format",M33),1)="C",M32+M33))</f>
        <v/>
      </c>
    </row>
    <row r="35" ht="15" customHeight="1" s="143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795">
        <f>E34</f>
        <v/>
      </c>
      <c r="F36" s="1110" t="n"/>
      <c r="G36" s="1795">
        <f>G34</f>
        <v/>
      </c>
      <c r="H36" s="1110" t="n"/>
      <c r="I36" s="1795">
        <f>I34</f>
        <v/>
      </c>
      <c r="J36" s="1110" t="n"/>
      <c r="K36" s="1796">
        <f>K34</f>
        <v/>
      </c>
      <c r="L36" s="1110" t="n"/>
      <c r="M36" s="1797">
        <f>M34</f>
        <v/>
      </c>
    </row>
    <row r="37">
      <c r="B37" s="1085" t="inlineStr">
        <is>
          <t>Location</t>
        </is>
      </c>
      <c r="C37" s="1095">
        <f>'Basic Sales Grid'!D28</f>
        <v/>
      </c>
      <c r="D37" s="1086" t="inlineStr">
        <is>
          <t>Average</t>
        </is>
      </c>
      <c r="E37" s="1798" t="n">
        <v>0</v>
      </c>
      <c r="F37" s="1111" t="inlineStr">
        <is>
          <t>Average</t>
        </is>
      </c>
      <c r="G37" s="1798" t="n">
        <v>0</v>
      </c>
      <c r="H37" s="1111" t="inlineStr">
        <is>
          <t>Average</t>
        </is>
      </c>
      <c r="I37" s="1798" t="n">
        <v>0</v>
      </c>
      <c r="J37" s="1111" t="inlineStr">
        <is>
          <t>Fair</t>
        </is>
      </c>
      <c r="K37" s="1799" t="n">
        <v>0.1</v>
      </c>
      <c r="L37" s="618" t="inlineStr">
        <is>
          <t>Below-Average</t>
        </is>
      </c>
      <c r="M37" s="1800" t="n">
        <v>0.05</v>
      </c>
    </row>
    <row r="38" hidden="1" ht="12.6" customHeight="1" s="1439">
      <c r="B38" s="568" t="inlineStr">
        <is>
          <t>Distance from Subject</t>
        </is>
      </c>
      <c r="C38" s="1096" t="inlineStr">
        <is>
          <t>N/A</t>
        </is>
      </c>
      <c r="D38" s="854" t="inlineStr">
        <is>
          <t>3 miles</t>
        </is>
      </c>
      <c r="E38" s="1798" t="n"/>
      <c r="F38" s="1112" t="inlineStr">
        <is>
          <t>3 miles</t>
        </is>
      </c>
      <c r="G38" s="1798" t="n"/>
      <c r="H38" s="1112" t="inlineStr">
        <is>
          <t>3 miles</t>
        </is>
      </c>
      <c r="I38" s="1798" t="n"/>
      <c r="J38" s="1112" t="inlineStr">
        <is>
          <t>1/4 mile</t>
        </is>
      </c>
      <c r="K38" s="1799" t="n"/>
      <c r="L38" s="1112" t="inlineStr">
        <is>
          <t>Adjacent</t>
        </is>
      </c>
      <c r="M38" s="1801" t="n"/>
    </row>
    <row r="39" hidden="1" ht="29.25" customHeight="1" s="1439">
      <c r="B39" s="568" t="inlineStr">
        <is>
          <t>Surrounding Land Uses</t>
        </is>
      </c>
      <c r="C39" s="1096" t="inlineStr">
        <is>
          <t>Retail, residential, developable land</t>
        </is>
      </c>
      <c r="D39" s="854" t="inlineStr">
        <is>
          <t>Retail, residential</t>
        </is>
      </c>
      <c r="E39" s="1798" t="n"/>
      <c r="F39" s="1112" t="inlineStr">
        <is>
          <t>Retail, residential</t>
        </is>
      </c>
      <c r="G39" s="1798" t="n"/>
      <c r="H39" s="1112" t="inlineStr">
        <is>
          <t>Retail, residential</t>
        </is>
      </c>
      <c r="I39" s="1798" t="n"/>
      <c r="J39" s="1112" t="inlineStr">
        <is>
          <t>Retail, office, residential</t>
        </is>
      </c>
      <c r="K39" s="1799" t="n"/>
      <c r="L39" s="1112" t="inlineStr">
        <is>
          <t>Retail, residential</t>
        </is>
      </c>
      <c r="M39" s="1801" t="n"/>
    </row>
    <row r="40" hidden="1" ht="12.6" customHeight="1" s="1439">
      <c r="B40" s="568" t="inlineStr">
        <is>
          <t>Quality/Condition of Surrounding Area</t>
        </is>
      </c>
      <c r="C40" s="1097" t="inlineStr">
        <is>
          <t>Average to New</t>
        </is>
      </c>
      <c r="D40" s="856" t="inlineStr">
        <is>
          <t>Average to New</t>
        </is>
      </c>
      <c r="E40" s="1798" t="n"/>
      <c r="F40" s="1113" t="inlineStr">
        <is>
          <t>Average to New</t>
        </is>
      </c>
      <c r="G40" s="1798" t="n"/>
      <c r="H40" s="1113" t="inlineStr">
        <is>
          <t>Average to New</t>
        </is>
      </c>
      <c r="I40" s="1798" t="n"/>
      <c r="J40" s="1113" t="inlineStr">
        <is>
          <t>Average to Very Good</t>
        </is>
      </c>
      <c r="K40" s="1799" t="n"/>
      <c r="L40" s="1113" t="inlineStr">
        <is>
          <t>Average to Very Good</t>
        </is>
      </c>
      <c r="M40" s="1801" t="n"/>
    </row>
    <row r="41" hidden="1" ht="12.6" customHeight="1" s="1439">
      <c r="B41" s="568" t="inlineStr">
        <is>
          <t>Access to Commercial Services/Amenities</t>
        </is>
      </c>
      <c r="C41" s="1097" t="inlineStr">
        <is>
          <t>Good</t>
        </is>
      </c>
      <c r="D41" s="856" t="inlineStr">
        <is>
          <t>Good</t>
        </is>
      </c>
      <c r="E41" s="1798" t="n"/>
      <c r="F41" s="1113" t="inlineStr">
        <is>
          <t>Good</t>
        </is>
      </c>
      <c r="G41" s="1798" t="n"/>
      <c r="H41" s="1113" t="inlineStr">
        <is>
          <t>Good</t>
        </is>
      </c>
      <c r="I41" s="1798" t="n"/>
      <c r="J41" s="1113" t="inlineStr">
        <is>
          <t>Good</t>
        </is>
      </c>
      <c r="K41" s="1799" t="n"/>
      <c r="L41" s="1113" t="inlineStr">
        <is>
          <t>Good</t>
        </is>
      </c>
      <c r="M41" s="1801" t="n"/>
    </row>
    <row r="42" hidden="1" ht="75.75" customHeight="1" s="1439">
      <c r="B42" s="568" t="inlineStr">
        <is>
          <t>Visibility/Access</t>
        </is>
      </c>
      <c r="C42" s="1098" t="inlineStr">
        <is>
          <t>Average- access and visibility from two secondary thoroughfares.</t>
        </is>
      </c>
      <c r="D42" s="857" t="inlineStr">
        <is>
          <t>Above-Average: Primary thoroughfare exposure and access. Adjacent to 7-Eleven, Starbucks developments.</t>
        </is>
      </c>
      <c r="E42" s="1798" t="n"/>
      <c r="F42" s="1114" t="inlineStr">
        <is>
          <t>Above-Average: Primary thoroughfare exposure and access. Adjacent to 7-Eleven, Starbucks developments.</t>
        </is>
      </c>
      <c r="G42" s="1798" t="n"/>
      <c r="H42" s="1114" t="inlineStr">
        <is>
          <t>Above-Average: Primary thoroughfare exposure and access. Adjacent to 7-Eleven, Starbucks developments.</t>
        </is>
      </c>
      <c r="I42" s="1798" t="n"/>
      <c r="J42" s="1114" t="inlineStr">
        <is>
          <t>Good - located along a primary thoroughfare</t>
        </is>
      </c>
      <c r="K42" s="1799" t="n"/>
      <c r="L42" s="1114" t="inlineStr">
        <is>
          <t>Good - primary thoroughfare access/exposure</t>
        </is>
      </c>
      <c r="M42" s="1801" t="n"/>
    </row>
    <row r="43" hidden="1" ht="70.5" customHeight="1" s="1439">
      <c r="B43" s="568" t="inlineStr">
        <is>
          <t>Description</t>
        </is>
      </c>
      <c r="C43" s="1099" t="inlineStr">
        <is>
          <t xml:space="preserve">Developing residential/retail area. Commercial thoroughfare exposure. Adjacent to anchored retail center. </t>
        </is>
      </c>
      <c r="D43" s="569" t="inlineStr">
        <is>
          <t xml:space="preserve">Primary thoroughfare exposure. Located in an area of developing retail/residential. Good commercial traffic. </t>
        </is>
      </c>
      <c r="E43" s="1798" t="n"/>
      <c r="F43" s="622" t="inlineStr">
        <is>
          <t xml:space="preserve">Primary thoroughfare exposure. Located in an area of developing retail/residential. Good commercial traffic. </t>
        </is>
      </c>
      <c r="G43" s="1798" t="n"/>
      <c r="H43" s="622" t="inlineStr">
        <is>
          <t xml:space="preserve">Primary thoroughfare exposure. Located in an area of developing retail/residential. Good commercial traffic. </t>
        </is>
      </c>
      <c r="I43" s="1798" t="n"/>
      <c r="J43" s="622" t="inlineStr">
        <is>
          <t xml:space="preserve">Visibility and access from W 120th Ave. (regional arterial) near anchored retail center and dene residential development. </t>
        </is>
      </c>
      <c r="K43" s="1799" t="n"/>
      <c r="L43" s="622" t="inlineStr">
        <is>
          <t>Located in an established residential/retail area of Arvada. Lower med. household incomes.</t>
        </is>
      </c>
      <c r="M43" s="1801" t="n"/>
    </row>
    <row r="44">
      <c r="B44" s="806">
        <f>B20</f>
        <v/>
      </c>
      <c r="C44" s="1100">
        <f>C20</f>
        <v/>
      </c>
      <c r="D44" s="1087">
        <f>D20</f>
        <v/>
      </c>
      <c r="E44" s="1798" t="n">
        <v>0.1</v>
      </c>
      <c r="F44" s="1115">
        <f>F20</f>
        <v/>
      </c>
      <c r="G44" s="1798" t="n">
        <v>0</v>
      </c>
      <c r="H44" s="1115">
        <f>H20</f>
        <v/>
      </c>
      <c r="I44" s="1798" t="n">
        <v>0</v>
      </c>
      <c r="J44" s="1115">
        <f>J20</f>
        <v/>
      </c>
      <c r="K44" s="1799" t="n">
        <v>0</v>
      </c>
      <c r="L44" s="623">
        <f>L20</f>
        <v/>
      </c>
      <c r="M44" s="1800" t="n">
        <v>-0.05</v>
      </c>
    </row>
    <row r="45">
      <c r="B45" s="1088" t="inlineStr">
        <is>
          <t xml:space="preserve">Zoning </t>
        </is>
      </c>
      <c r="C45" s="1095">
        <f>C21</f>
        <v/>
      </c>
      <c r="D45" s="1089">
        <f>D21</f>
        <v/>
      </c>
      <c r="E45" s="1798" t="n">
        <v>0</v>
      </c>
      <c r="F45" s="1116">
        <f>F21</f>
        <v/>
      </c>
      <c r="G45" s="1798" t="n">
        <v>0.05</v>
      </c>
      <c r="H45" s="1116">
        <f>H21</f>
        <v/>
      </c>
      <c r="I45" s="1798" t="n">
        <v>-0.1</v>
      </c>
      <c r="J45" s="1116">
        <f>J21</f>
        <v/>
      </c>
      <c r="K45" s="1799" t="n">
        <v>-0.05</v>
      </c>
      <c r="L45" s="1125" t="inlineStr">
        <is>
          <t>B-2 (General Business)</t>
        </is>
      </c>
      <c r="M45" s="1800" t="n">
        <v>0</v>
      </c>
    </row>
    <row r="46" ht="16.5" customHeight="1" s="1439">
      <c r="B46" s="1085" t="inlineStr">
        <is>
          <t>Utilities / Infrastructure</t>
        </is>
      </c>
      <c r="C46" s="1261" t="inlineStr">
        <is>
          <t>Average</t>
        </is>
      </c>
      <c r="D46" s="1086" t="inlineStr">
        <is>
          <t>Average</t>
        </is>
      </c>
      <c r="E46" s="1798" t="n">
        <v>0</v>
      </c>
      <c r="F46" s="1111" t="inlineStr">
        <is>
          <t>Average</t>
        </is>
      </c>
      <c r="G46" s="1798" t="n">
        <v>0</v>
      </c>
      <c r="H46" s="1111" t="inlineStr">
        <is>
          <t>Average</t>
        </is>
      </c>
      <c r="I46" s="1798" t="n">
        <v>0</v>
      </c>
      <c r="J46" s="1111" t="inlineStr">
        <is>
          <t>Average</t>
        </is>
      </c>
      <c r="K46" s="1799" t="n">
        <v>0</v>
      </c>
      <c r="L46" s="618" t="inlineStr">
        <is>
          <t>Average</t>
        </is>
      </c>
      <c r="M46" s="1800" t="n">
        <v>0</v>
      </c>
    </row>
    <row r="47" hidden="1" ht="12.6" customHeight="1" s="1439">
      <c r="B47" s="568" t="inlineStr">
        <is>
          <t>Water/Sewer</t>
        </is>
      </c>
      <c r="C47" s="1096" t="inlineStr">
        <is>
          <t>Available - Municipal Services</t>
        </is>
      </c>
      <c r="D47" s="854" t="inlineStr">
        <is>
          <t>Available - Municipal Services</t>
        </is>
      </c>
      <c r="E47" s="1802" t="n"/>
      <c r="F47" s="1112" t="inlineStr">
        <is>
          <t>Available - Municipal Services</t>
        </is>
      </c>
      <c r="G47" s="1802" t="n"/>
      <c r="H47" s="1112" t="inlineStr">
        <is>
          <t>Available - Municipal Services</t>
        </is>
      </c>
      <c r="I47" s="1802" t="n"/>
      <c r="J47" s="1112" t="inlineStr">
        <is>
          <t>Available - Municipal Services</t>
        </is>
      </c>
      <c r="K47" s="1803" t="n"/>
      <c r="L47" s="1112" t="inlineStr">
        <is>
          <t>Available - Municipal Services</t>
        </is>
      </c>
      <c r="M47" s="1804" t="n"/>
    </row>
    <row r="48" hidden="1" ht="15" customHeight="1" s="1439">
      <c r="B48" s="568" t="inlineStr">
        <is>
          <t>Electricity/Gas</t>
        </is>
      </c>
      <c r="C48" s="1096" t="inlineStr">
        <is>
          <t>Available - Xcel Energy</t>
        </is>
      </c>
      <c r="D48" s="854" t="inlineStr">
        <is>
          <t>Available - Xcel Energy</t>
        </is>
      </c>
      <c r="E48" s="1802" t="n"/>
      <c r="F48" s="1112" t="inlineStr">
        <is>
          <t>Available - Xcel Energy</t>
        </is>
      </c>
      <c r="G48" s="1802" t="n"/>
      <c r="H48" s="1112" t="inlineStr">
        <is>
          <t>Available - Xcel Energy</t>
        </is>
      </c>
      <c r="I48" s="1802" t="n"/>
      <c r="J48" s="1112" t="inlineStr">
        <is>
          <t>Available - Xcel Energy</t>
        </is>
      </c>
      <c r="K48" s="1803" t="n"/>
      <c r="L48" s="1112" t="inlineStr">
        <is>
          <t>Available - Xcel Energy</t>
        </is>
      </c>
      <c r="M48" s="1804" t="n"/>
    </row>
    <row r="49" hidden="1" ht="11.25" customHeight="1" s="1439">
      <c r="B49" s="568" t="inlineStr">
        <is>
          <t>Other</t>
        </is>
      </c>
      <c r="C49" s="1097" t="inlineStr">
        <is>
          <t>All available</t>
        </is>
      </c>
      <c r="D49" s="856" t="inlineStr">
        <is>
          <t>Historical Design</t>
        </is>
      </c>
      <c r="E49" s="1802" t="n"/>
      <c r="F49" s="1113" t="inlineStr">
        <is>
          <t>Historical Design</t>
        </is>
      </c>
      <c r="G49" s="1802" t="n"/>
      <c r="H49" s="1113" t="inlineStr">
        <is>
          <t>Historical Design</t>
        </is>
      </c>
      <c r="I49" s="1802" t="n"/>
      <c r="J49" s="1113" t="inlineStr">
        <is>
          <t>Historical Design</t>
        </is>
      </c>
      <c r="K49" s="1803" t="n"/>
      <c r="L49" s="1113" t="inlineStr">
        <is>
          <t>Historical Design</t>
        </is>
      </c>
      <c r="M49" s="1804" t="n"/>
    </row>
    <row r="50" ht="18" customHeight="1" s="1439">
      <c r="B50" s="806" t="inlineStr">
        <is>
          <t>Site Utility</t>
        </is>
      </c>
      <c r="C50" s="1261" t="inlineStr">
        <is>
          <t>Average</t>
        </is>
      </c>
      <c r="D50" s="1090" t="inlineStr">
        <is>
          <t>Average</t>
        </is>
      </c>
      <c r="E50" s="1805" t="n">
        <v>0</v>
      </c>
      <c r="F50" s="1117" t="inlineStr">
        <is>
          <t>Average</t>
        </is>
      </c>
      <c r="G50" s="1805" t="n">
        <v>0</v>
      </c>
      <c r="H50" s="1117" t="inlineStr">
        <is>
          <t>Average</t>
        </is>
      </c>
      <c r="I50" s="1805" t="n">
        <v>0</v>
      </c>
      <c r="J50" s="1111" t="inlineStr">
        <is>
          <t>Average</t>
        </is>
      </c>
      <c r="K50" s="1806" t="n">
        <v>0</v>
      </c>
      <c r="L50" s="618" t="inlineStr">
        <is>
          <t>Average</t>
        </is>
      </c>
      <c r="M50" s="1807" t="n">
        <v>0</v>
      </c>
    </row>
    <row r="51" hidden="1" s="1439">
      <c r="B51" s="568" t="inlineStr">
        <is>
          <t>Site Shape</t>
        </is>
      </c>
      <c r="C51" s="1097" t="inlineStr">
        <is>
          <t>Rectangular</t>
        </is>
      </c>
      <c r="D51" s="856" t="inlineStr">
        <is>
          <t>Rectangular</t>
        </is>
      </c>
      <c r="E51" s="1808" t="n"/>
      <c r="F51" s="1113" t="inlineStr">
        <is>
          <t>Rectangular</t>
        </is>
      </c>
      <c r="G51" s="1808" t="n"/>
      <c r="H51" s="1113" t="inlineStr">
        <is>
          <t>Rectangular</t>
        </is>
      </c>
      <c r="I51" s="1808" t="n"/>
      <c r="J51" s="1113" t="inlineStr">
        <is>
          <t>Rectangular</t>
        </is>
      </c>
      <c r="K51" s="1809" t="n"/>
      <c r="L51" s="1113" t="inlineStr">
        <is>
          <t>Generally rectangular</t>
        </is>
      </c>
      <c r="M51" s="1804" t="n"/>
    </row>
    <row r="52" hidden="1" ht="12" customHeight="1" s="1439">
      <c r="B52" s="568" t="inlineStr">
        <is>
          <t>Topography</t>
        </is>
      </c>
      <c r="C52" s="1101" t="inlineStr">
        <is>
          <t>Generally Level</t>
        </is>
      </c>
      <c r="D52" s="859" t="inlineStr">
        <is>
          <t>Generally Level</t>
        </is>
      </c>
      <c r="E52" s="1808" t="n"/>
      <c r="F52" s="1118" t="inlineStr">
        <is>
          <t>Generally Level</t>
        </is>
      </c>
      <c r="G52" s="1808" t="n"/>
      <c r="H52" s="1118" t="inlineStr">
        <is>
          <t>Generally Level</t>
        </is>
      </c>
      <c r="I52" s="1808" t="n"/>
      <c r="J52" s="1118" t="inlineStr">
        <is>
          <t>Generally Level</t>
        </is>
      </c>
      <c r="K52" s="1809" t="n"/>
      <c r="L52" s="1113" t="inlineStr">
        <is>
          <t>Generally level</t>
        </is>
      </c>
      <c r="M52" s="1804" t="n"/>
    </row>
    <row r="53" hidden="1" ht="17.25" customHeight="1" s="1439">
      <c r="B53" s="568" t="inlineStr">
        <is>
          <t>Easement/Encroachments/Obstructions</t>
        </is>
      </c>
      <c r="C53" s="1101" t="inlineStr">
        <is>
          <t>None known</t>
        </is>
      </c>
      <c r="D53" s="859" t="inlineStr">
        <is>
          <t>None known</t>
        </is>
      </c>
      <c r="E53" s="1808" t="n"/>
      <c r="F53" s="1118" t="inlineStr">
        <is>
          <t>None known</t>
        </is>
      </c>
      <c r="G53" s="1808" t="n"/>
      <c r="H53" s="1118" t="inlineStr">
        <is>
          <t>None known</t>
        </is>
      </c>
      <c r="I53" s="1808" t="n"/>
      <c r="J53" s="1118" t="inlineStr">
        <is>
          <t>None known</t>
        </is>
      </c>
      <c r="K53" s="1809" t="n"/>
      <c r="L53" s="1126" t="inlineStr">
        <is>
          <t>None known</t>
        </is>
      </c>
      <c r="M53" s="1804" t="n"/>
    </row>
    <row r="54" hidden="1" ht="12" customHeight="1" s="1439">
      <c r="B54" s="568" t="inlineStr">
        <is>
          <t>Other</t>
        </is>
      </c>
      <c r="C54" s="1102" t="inlineStr">
        <is>
          <t>None</t>
        </is>
      </c>
      <c r="D54" s="860" t="inlineStr">
        <is>
          <t>None</t>
        </is>
      </c>
      <c r="E54" s="1808" t="n"/>
      <c r="F54" s="1119" t="inlineStr">
        <is>
          <t>None</t>
        </is>
      </c>
      <c r="G54" s="1808" t="n"/>
      <c r="H54" s="1119" t="inlineStr">
        <is>
          <t>None</t>
        </is>
      </c>
      <c r="I54" s="1808" t="n"/>
      <c r="J54" s="1119" t="inlineStr">
        <is>
          <t>None</t>
        </is>
      </c>
      <c r="K54" s="1809" t="n"/>
      <c r="L54" s="1127" t="inlineStr">
        <is>
          <t>None</t>
        </is>
      </c>
      <c r="M54" s="1804" t="n"/>
    </row>
    <row r="55">
      <c r="B55" s="586" t="inlineStr">
        <is>
          <t>Total Non Quantified Adj.</t>
        </is>
      </c>
      <c r="C55" s="1103" t="n"/>
      <c r="D55" s="588" t="n"/>
      <c r="E55" s="1810">
        <f>SUM(E37,E44,E45,E46,E50)</f>
        <v/>
      </c>
      <c r="F55" s="513" t="n"/>
      <c r="G55" s="1811">
        <f>SUM(G37,G44,G45,G46,G50)</f>
        <v/>
      </c>
      <c r="H55" s="1105" t="n"/>
      <c r="I55" s="1812">
        <f>SUM(I37,I44,I45,I46,I50)</f>
        <v/>
      </c>
      <c r="J55" s="1105" t="n"/>
      <c r="K55" s="1813">
        <f>SUM(K37,K44,K45,K46,K50)</f>
        <v/>
      </c>
      <c r="L55" s="1105" t="n"/>
      <c r="M55" s="1814">
        <f>SUM(M37,M44,M45,M46,M50)</f>
        <v/>
      </c>
    </row>
    <row r="56">
      <c r="B56" s="594" t="inlineStr">
        <is>
          <t>Indication for Subject:</t>
        </is>
      </c>
      <c r="C56" s="1104" t="n"/>
      <c r="D56" s="596" t="n"/>
      <c r="E56" s="1815">
        <f>IF(LEFT(CELL("format",E55),1)="P",E36*(1+E55),IF(LEFT(CELL("format",E55),1)="C",E36+E55))</f>
        <v/>
      </c>
      <c r="F56" s="1120" t="n"/>
      <c r="G56" s="1816">
        <f>IF(LEFT(CELL("format",G55),1)="P",G36*(1+G55),IF(LEFT(CELL("format",G55),1)="C",G36+G55))</f>
        <v/>
      </c>
      <c r="H56" s="1106" t="n"/>
      <c r="I56" s="1816">
        <f>IF(LEFT(CELL("format",I55),1)="P",I36*(1+I55),IF(LEFT(CELL("format",I55),1)="C",I36+I55))</f>
        <v/>
      </c>
      <c r="J56" s="1106" t="n"/>
      <c r="K56" s="1817">
        <f>IF(LEFT(CELL("format",K55),1)="P",K36*(1+K55),IF(LEFT(CELL("format",K55),1)="C",K36+K55))</f>
        <v/>
      </c>
      <c r="L56" s="1106" t="n"/>
      <c r="M56" s="1818">
        <f>IF(LEFT(CELL("format",M55),1)="P",M36*(1+M55),IF(LEFT(CELL("format",M55),1)="C",M36+M55))</f>
        <v/>
      </c>
    </row>
    <row r="58">
      <c r="C58" s="358" t="n"/>
    </row>
    <row r="59">
      <c r="B59" s="1545" t="inlineStr">
        <is>
          <t>VALUE CONCLUSION - UNDERLYING LAND AREA</t>
        </is>
      </c>
    </row>
    <row r="60" customFormat="1" s="1450">
      <c r="B60" s="362" t="inlineStr">
        <is>
          <t>Indicated Value per SF</t>
        </is>
      </c>
      <c r="C60" s="1819" t="n">
        <v>10</v>
      </c>
      <c r="E60" s="465" t="n"/>
      <c r="G60" s="465" t="n"/>
      <c r="I60" s="465" t="n"/>
      <c r="K60" s="465" t="n"/>
    </row>
    <row r="61" customFormat="1" s="1450">
      <c r="B61" s="362" t="inlineStr">
        <is>
          <t>Land Area (SF)</t>
        </is>
      </c>
      <c r="C61" s="1820">
        <f>C44</f>
        <v/>
      </c>
      <c r="E61" s="465" t="n"/>
      <c r="G61" s="465" t="n"/>
      <c r="I61" s="465" t="n"/>
      <c r="K61" s="465" t="n"/>
    </row>
    <row r="62" hidden="1" ht="17.25" customHeight="1" s="1439">
      <c r="B62" s="1060">
        <f>IF(C63=0,"HIDE THIS ROW IF NO DEFERRED MAINTENANCE", "Indicated Value")</f>
        <v/>
      </c>
      <c r="C62" s="1821">
        <f>C60*C61</f>
        <v/>
      </c>
    </row>
    <row r="63" hidden="1" s="1439">
      <c r="B63" s="1062" t="inlineStr">
        <is>
          <t xml:space="preserve">Contract Price </t>
        </is>
      </c>
      <c r="C63" s="1822" t="n">
        <v>0</v>
      </c>
    </row>
    <row r="64" hidden="1" s="1439">
      <c r="B64" s="1823" t="n"/>
      <c r="C64" s="1458" t="n"/>
    </row>
    <row r="65" customFormat="1" s="1450">
      <c r="B65" s="1071">
        <f>IF(SUM(C63:C63)=0,"Indicated Value","Indicated Value - Adjusted")</f>
        <v/>
      </c>
      <c r="C65" s="1824">
        <f>C60*C61</f>
        <v/>
      </c>
      <c r="E65" s="465" t="n"/>
      <c r="G65" s="465" t="n"/>
      <c r="I65" s="465" t="n"/>
      <c r="K65" s="465" t="n"/>
    </row>
    <row r="66">
      <c r="B66" s="1825" t="n">
        <v>5000</v>
      </c>
      <c r="C66" s="1826">
        <f>ROUND((C65/B66),0)*B66</f>
        <v/>
      </c>
    </row>
    <row r="67">
      <c r="B67" s="1684" t="inlineStr">
        <is>
          <t>Per SF</t>
        </is>
      </c>
      <c r="C67" s="1827">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64:C64"/>
    <mergeCell ref="L21:M21"/>
    <mergeCell ref="B7:M7"/>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H142"/>
  <sheetViews>
    <sheetView tabSelected="1" workbookViewId="0">
      <selection activeCell="H2" sqref="H2"/>
    </sheetView>
  </sheetViews>
  <sheetFormatPr baseColWidth="8" defaultRowHeight="15"/>
  <cols>
    <col width="4.7109375" customWidth="1" style="1439" min="1" max="1"/>
    <col width="30.7109375" customWidth="1" style="1439" min="2" max="2"/>
    <col width="16.7109375" customWidth="1" style="1439" min="3" max="3"/>
    <col width="14.7109375" customWidth="1" style="1439" min="4" max="4"/>
    <col width="42.7109375" customWidth="1" style="1439" min="5" max="5"/>
    <col width="20.7109375" customWidth="1" style="1439" min="6" max="6"/>
  </cols>
  <sheetData>
    <row r="1" ht="21.95" customHeight="1" s="1439">
      <c r="A1" s="1441" t="inlineStr">
        <is>
          <t>MARSHALL AND SWIFT (MVS) COST INPUTS -- June 2024 Edition</t>
        </is>
      </c>
    </row>
    <row r="2" ht="15" customHeight="1" s="1439">
      <c r="A2" s="1440" t="n"/>
      <c r="B2" s="1440" t="inlineStr">
        <is>
          <t>Field</t>
        </is>
      </c>
      <c r="C2" s="1440" t="inlineStr">
        <is>
          <t>Value (Input)</t>
        </is>
      </c>
      <c r="D2" s="1440" t="inlineStr">
        <is>
          <t>Unit</t>
        </is>
      </c>
      <c r="E2" s="1440" t="inlineStr">
        <is>
          <t>MVS Reference / Notes</t>
        </is>
      </c>
      <c r="F2" s="1440" t="inlineStr">
        <is>
          <t>Source</t>
        </is>
      </c>
    </row>
    <row r="3" ht="15.95" customHeight="1" s="1439">
      <c r="A3" s="1442" t="inlineStr">
        <is>
          <t>STEP 1 -- BUILDING IDENTIFICATION</t>
        </is>
      </c>
    </row>
    <row r="4" ht="30" customHeight="1" s="1439">
      <c r="B4" t="inlineStr">
        <is>
          <t>MVS Section</t>
        </is>
      </c>
      <c r="C4" s="1410" t="inlineStr">
        <is>
          <t>Section 14</t>
        </is>
      </c>
      <c r="D4" t="inlineStr">
        <is>
          <t>--</t>
        </is>
      </c>
      <c r="E4" s="1559" t="inlineStr">
        <is>
          <t>Section 14: Garages, Industrials and Warehouses (June 2024 ed.). PRIOR EDITIONS used Section 18 for industrials; June 2024 renumbered. Section 18 in June 2024 = Schools.</t>
        </is>
      </c>
      <c r="F4" t="inlineStr">
        <is>
          <t>MVS Sec.99 p.3</t>
        </is>
      </c>
    </row>
    <row r="5" ht="30" customHeight="1" s="1439">
      <c r="B5" t="inlineStr">
        <is>
          <t>Occupancy Code</t>
        </is>
      </c>
      <c r="C5" s="1410" t="inlineStr">
        <is>
          <t>Occ. 406</t>
        </is>
      </c>
      <c r="D5" t="inlineStr">
        <is>
          <t>--</t>
        </is>
      </c>
      <c r="E5" s="1559" t="inlineStr">
        <is>
          <t>406 = Storage Warehouses. Other codes: 401 Service Garages, 402 Auto Dealerships, 403 Car Wash, 405 Commercial Garages, 407 Mfg. Light, 408 Mfg. Heavy.</t>
        </is>
      </c>
      <c r="F5" t="inlineStr">
        <is>
          <t>MVS Sec.14 p.26</t>
        </is>
      </c>
    </row>
    <row r="6" ht="30" customHeight="1" s="1439">
      <c r="B6" t="inlineStr">
        <is>
          <t>Building Class</t>
        </is>
      </c>
      <c r="C6" s="1410" t="inlineStr">
        <is>
          <t>C</t>
        </is>
      </c>
      <c r="D6" t="inlineStr">
        <is>
          <t>--</t>
        </is>
      </c>
      <c r="E6" s="1559" t="inlineStr">
        <is>
          <t>A = Fire resistive concrete. B = Masonry/steel. C = Combustible frame. D = Wood frame/metal. S = Pre-engineered metal building.</t>
        </is>
      </c>
      <c r="F6" t="inlineStr">
        <is>
          <t>MVS Sec.14</t>
        </is>
      </c>
    </row>
    <row r="7" ht="21.95" customHeight="1" s="1439">
      <c r="B7" t="inlineStr">
        <is>
          <t>Quality</t>
        </is>
      </c>
      <c r="C7" s="1410" t="inlineStr">
        <is>
          <t>Average</t>
        </is>
      </c>
      <c r="D7" t="inlineStr">
        <is>
          <t>--</t>
        </is>
      </c>
      <c r="E7" s="1559" t="inlineStr">
        <is>
          <t>Quality tiers: Low Cost | Average | Good | Excellent. Select relative to class standard.</t>
        </is>
      </c>
      <c r="F7" t="inlineStr">
        <is>
          <t>MVS Sec.14 p.26</t>
        </is>
      </c>
    </row>
    <row r="8" ht="6" customHeight="1" s="1439">
      <c r="B8" s="1433" t="inlineStr">
        <is>
          <t>City / Local Area (for LAM lookup)</t>
        </is>
      </c>
      <c r="C8" s="1434" t="inlineStr">
        <is>
          <t>Colorado Statewide</t>
        </is>
      </c>
      <c r="D8" t="inlineStr">
        <is>
          <t>--</t>
        </is>
      </c>
      <c r="E8" t="inlineStr">
        <is>
          <t>Pick city from dropdown → auto-fills Local Area Multiplier (C19). Adams County: use 'Colorado Statewide' or 'Denver'.</t>
        </is>
      </c>
    </row>
    <row r="9" ht="15.95" customHeight="1" s="1439">
      <c r="A9" s="1442" t="inlineStr">
        <is>
          <t>STEP 2 -- BASE COST AND SPRINKLER COST (per SF)</t>
        </is>
      </c>
    </row>
    <row r="10" ht="18" customHeight="1" s="1439">
      <c r="B10" t="inlineStr">
        <is>
          <t>Building Area (SF) [auto from Property Info]</t>
        </is>
      </c>
      <c r="C10" s="67">
        <f>'Property Info'!B4</f>
        <v/>
      </c>
      <c r="D10" t="inlineStr">
        <is>
          <t>SF</t>
        </is>
      </c>
      <c r="E10" s="1559" t="inlineStr">
        <is>
          <t>Auto-linked from Property Info sheet. Used to interpolate sprinkler cost from TABLE D.</t>
        </is>
      </c>
    </row>
    <row r="11" ht="18" customHeight="1" s="1439">
      <c r="B11" t="inlineStr">
        <is>
          <t>Selected: Section / Class / Quality</t>
        </is>
      </c>
      <c r="C11">
        <f>C4&amp;" / Occ. "&amp;C5&amp;" / Class "&amp;C6&amp;" / "&amp;C7</f>
        <v/>
      </c>
      <c r="D11" t="inlineStr">
        <is>
          <t>--</t>
        </is>
      </c>
      <c r="E11" s="1559" t="inlineStr">
        <is>
          <t>Concatenated from Step 1 selections above -- confirms your lookup inputs.</t>
        </is>
      </c>
    </row>
    <row r="12" ht="5.1" customHeight="1" s="1439"/>
    <row r="13" ht="14.1" customHeight="1" s="1439">
      <c r="B13" s="1438" t="inlineStr">
        <is>
          <t>&gt;&gt;&gt; Base cost auto-calculated from occupancy / class / quality above &lt;&lt;&lt;</t>
        </is>
      </c>
    </row>
    <row r="14" ht="27.95" customHeight="1" s="1439">
      <c r="B14" t="inlineStr">
        <is>
          <t>Base Cost per SF  [-&gt; Cost Approach D6]</t>
        </is>
      </c>
      <c r="C14" s="1828">
        <f>IFERROR(IF(C5="Occ. 406",INDEX($C$42:$C$62,MATCH(C6&amp;"~"&amp;C7,$D$42:$D$62,0)),INDEX($C$116:$C$123,MATCH(C6&amp;"~"&amp;C7,$D$116:$D$123,0))),"")</f>
        <v/>
      </c>
      <c r="D14" t="inlineStr">
        <is>
          <t>$/SF</t>
        </is>
      </c>
      <c r="E14" s="1559" t="inlineStr">
        <is>
          <t>Enter value from TABLE A (Occ.406 Storage Warehouse). Example: Class D / Average = .50/SF. Class D / Good = .00/SF.</t>
        </is>
      </c>
      <c r="F14" t="inlineStr">
        <is>
          <t>MVS Sec.14 p.26 (Feb 2024)</t>
        </is>
      </c>
      <c r="H14" s="1433" t="inlineStr">
        <is>
          <t>Sprinkler Quality</t>
        </is>
      </c>
    </row>
    <row r="15" ht="27.95" customHeight="1" s="1439">
      <c r="B15" t="inlineStr">
        <is>
          <t>Sprinkler Add-On per SF (Wet System)  [-&gt; D7]</t>
        </is>
      </c>
      <c r="C15" s="1828">
        <f>IFERROR(INDEX($B$98:$E$105,MATCH(C10,$A$98:$A$105,1),MATCH(H15,$B$97:$E$97,0)),"")</f>
        <v/>
      </c>
      <c r="D15" t="inlineStr">
        <is>
          <t>$/SF</t>
        </is>
      </c>
      <c r="E15" s="1559" t="inlineStr">
        <is>
          <t>From TABLE D. Interpolate by building area and quality. Example: 40,000 SF / Low Cost = .04/SF. Enter 0 if no sprinklers.</t>
        </is>
      </c>
      <c r="F15" t="inlineStr">
        <is>
          <t>MVS Sec.14 p.37 (Feb 2024)</t>
        </is>
      </c>
      <c r="H15" s="1434" t="inlineStr">
        <is>
          <t>Average</t>
        </is>
      </c>
    </row>
    <row r="16" ht="6" customHeight="1" s="1439"/>
    <row r="17" ht="15.95" customHeight="1" s="1439">
      <c r="A17" s="1442" t="inlineStr">
        <is>
          <t>STEP 3 -- MULTIPLIERS</t>
        </is>
      </c>
    </row>
    <row r="18" ht="30" customHeight="1" s="1439">
      <c r="B18" t="inlineStr">
        <is>
          <t>Current Cost Multiplier  [-&gt; D15]</t>
        </is>
      </c>
      <c r="C18" s="1829">
        <f>IFERROR(INDEX($B$81:$F$81,MATCH("Class "&amp;IF(C6="C-Mill","C",IF(C6="D-Pole","D",C6)),$B$78:$F$78,0)),"")</f>
        <v/>
      </c>
      <c r="D18" t="inlineStr">
        <is>
          <t>multiplier</t>
        </is>
      </c>
      <c r="E18" s="1559" t="inlineStr">
        <is>
          <t>From TABLE C. Section 14 (eff. Feb 2024), Jan 2025 update. EASTERN region (Colorado): A=1.02, B=1.04, C=1.03, D=1.01, S=1.03.</t>
        </is>
      </c>
      <c r="F18" t="inlineStr">
        <is>
          <t>MVS Sec.99 p.3 (Jan 2025)</t>
        </is>
      </c>
    </row>
    <row r="19" ht="30" customHeight="1" s="1439">
      <c r="B19" t="inlineStr">
        <is>
          <t>Local Area Multiplier  [-&gt; D16]</t>
        </is>
      </c>
      <c r="C19" s="1829">
        <f>IFERROR(INDEX($B$86:$F$93,MATCH(C8,$A$86:$A$93,0),MATCH("Class "&amp;IF(C6="C-Mill","C",IF(C6="D-Pole","D",C6)),$B$85:$F$85,0)),"")</f>
        <v/>
      </c>
      <c r="D19" t="inlineStr">
        <is>
          <t>multiplier</t>
        </is>
      </c>
      <c r="E19" s="1559" t="inlineStr">
        <is>
          <t>From TABLE C2 (Colorado cities). Statewide D=1.01. Denver=1.00, Boulder=0.97, Fort Collins=0.99, Greeley=0.99, Pueblo=0.95.</t>
        </is>
      </c>
      <c r="F19" t="inlineStr">
        <is>
          <t>MVS Sec.99 p.7 (Jan 2025)</t>
        </is>
      </c>
    </row>
    <row r="20" ht="21.95" customHeight="1" s="1439">
      <c r="B20" t="inlineStr">
        <is>
          <t>Area Multiplier (avg of 2 size factors)  [-&gt; D17]</t>
        </is>
      </c>
      <c r="C20" s="1830">
        <f>(E20+E21)/2</f>
        <v/>
      </c>
      <c r="D20" s="1415" t="inlineStr">
        <is>
          <t>Area Factor 1 -&gt;</t>
        </is>
      </c>
      <c r="E20" s="1831" t="n">
        <v>0.876</v>
      </c>
      <c r="F20" s="1559" t="inlineStr">
        <is>
          <t>Look up your SF in the size-adjustment table (Sec.14 p.25). Average two bracketing entries.</t>
        </is>
      </c>
    </row>
    <row r="21" ht="18" customHeight="1" s="1439">
      <c r="D21" s="1415" t="inlineStr">
        <is>
          <t>Area Factor 2 -&gt;</t>
        </is>
      </c>
      <c r="E21" s="1831" t="n">
        <v>0.87</v>
      </c>
    </row>
    <row r="22" ht="27.95" customHeight="1" s="1439">
      <c r="B22" t="inlineStr">
        <is>
          <t>Story Height Multiplier  [-&gt; D18]</t>
        </is>
      </c>
      <c r="C22" s="1829">
        <f>IF(G22="",1,IFERROR(VLOOKUP(G22,$A$127:$B$142,2,TRUE),1))</f>
        <v/>
      </c>
      <c r="D22" t="inlineStr">
        <is>
          <t>multiplier</t>
        </is>
      </c>
      <c r="E22" s="1559" t="inlineStr">
        <is>
          <t>From TABLE B. Base = 14 ft. Common: 20ft=1.133, 18ft=1.086, 16ft=1.041, 14ft=1.000, 12ft=0.960, 10ft=0.921. Enter actual clear eave height.</t>
        </is>
      </c>
      <c r="F22" s="1433" t="inlineStr">
        <is>
          <t>Avg Eave/Wall Ht (ft) →</t>
        </is>
      </c>
      <c r="G22" s="1434" t="n">
        <v>40</v>
      </c>
    </row>
    <row r="23" ht="6" customHeight="1" s="1439"/>
    <row r="24" ht="15.95" customHeight="1" s="1439">
      <c r="A24" s="1442" t="inlineStr">
        <is>
          <t>STEP 4 -- SITE IMPROVEMENT RATES</t>
        </is>
      </c>
    </row>
    <row r="25" ht="21.95" customHeight="1" s="1439">
      <c r="B25" t="inlineStr">
        <is>
          <t>Asphalt Paving per SF  [-&gt; D22]</t>
        </is>
      </c>
      <c r="C25" s="1832" t="n">
        <v>3.1</v>
      </c>
      <c r="D25" t="inlineStr">
        <is>
          <t>$/SF</t>
        </is>
      </c>
      <c r="E25" s="1559" t="inlineStr">
        <is>
          <t>Sec.66 p.1 (Dec 2023). Large areas &gt;3,000 SF: 4-inch asphalt .92-.51/SF, avg .10/SF.</t>
        </is>
      </c>
      <c r="F25" t="inlineStr">
        <is>
          <t>MVS Sec.66 p.1 (Dec 2023)</t>
        </is>
      </c>
    </row>
    <row r="26" ht="21.95" customHeight="1" s="1439">
      <c r="B26" t="inlineStr">
        <is>
          <t>Concrete Paving per SF  [-&gt; D24]</t>
        </is>
      </c>
      <c r="C26" s="1832" t="n">
        <v>5.51</v>
      </c>
      <c r="D26" t="inlineStr">
        <is>
          <t>$/SF</t>
        </is>
      </c>
      <c r="E26" s="1559" t="inlineStr">
        <is>
          <t>Sec.66 p.1 (Dec 2023). Large areas: 6-inch concrete .66-.71/SF, avg .51/SF.</t>
        </is>
      </c>
      <c r="F26" t="inlineStr">
        <is>
          <t>MVS Sec.66 p.1 (Dec 2023)</t>
        </is>
      </c>
    </row>
    <row r="27" ht="21.95" customHeight="1" s="1439">
      <c r="B27" t="inlineStr">
        <is>
          <t>Parking Striping per Space  [-&gt; D23]</t>
        </is>
      </c>
      <c r="C27" s="1832" t="n">
        <v>20</v>
      </c>
      <c r="D27" t="inlineStr">
        <is>
          <t>$/space</t>
        </is>
      </c>
      <c r="E27" s="1559" t="inlineStr">
        <is>
          <t>Market-derived. No MVS table. Typical range -/space. Adjust for painted vs. thermoplastic.</t>
        </is>
      </c>
      <c r="F27" t="inlineStr">
        <is>
          <t>Market data</t>
        </is>
      </c>
    </row>
    <row r="28" ht="21.95" customHeight="1" s="1439">
      <c r="B28" t="inlineStr">
        <is>
          <t>Landscaping per SF (lot area)  [-&gt; D27]</t>
        </is>
      </c>
      <c r="C28" s="1832" t="n">
        <v>5.5</v>
      </c>
      <c r="D28" t="inlineStr">
        <is>
          <t>$/SF lot</t>
        </is>
      </c>
      <c r="E28" s="1559" t="inlineStr">
        <is>
          <t>Sec.66 landscaping or market estimate. Applied to landscaped lot area. Adjust for density of planting and irrigation.</t>
        </is>
      </c>
      <c r="F28" t="inlineStr">
        <is>
          <t>MVS Sec.66 / market</t>
        </is>
      </c>
    </row>
    <row r="29" ht="6" customHeight="1" s="1439"/>
    <row r="30" ht="15.95" customHeight="1" s="1439">
      <c r="A30" s="1442" t="inlineStr">
        <is>
          <t>STEP 5 -- COST ADJUSTMENTS</t>
        </is>
      </c>
    </row>
    <row r="31" ht="21.95" customHeight="1" s="1439">
      <c r="B31" t="inlineStr">
        <is>
          <t>Indirect Costs %  [-&gt; C30]</t>
        </is>
      </c>
      <c r="C31" s="1833" t="n">
        <v>0.1</v>
      </c>
      <c r="D31" t="inlineStr">
        <is>
          <t>% of construction</t>
        </is>
      </c>
      <c r="E31" s="1559" t="inlineStr">
        <is>
          <t>Financing, permits, professional fees, insurance during construction. Typical 8%-15%. MVS default ~10%.</t>
        </is>
      </c>
      <c r="F31" t="inlineStr">
        <is>
          <t>MVS / market</t>
        </is>
      </c>
    </row>
    <row r="32" ht="21.95" customHeight="1" s="1439">
      <c r="B32" t="inlineStr">
        <is>
          <t>Entrepreneurial Profit %  [-&gt; C32]</t>
        </is>
      </c>
      <c r="C32" s="1833" t="n">
        <v>0.15</v>
      </c>
      <c r="D32" t="inlineStr">
        <is>
          <t>% of (constr+indirect)</t>
        </is>
      </c>
      <c r="E32" s="1559" t="inlineStr">
        <is>
          <t>Developer expected return above cost. Typical 10%-20%. MVS default ~15%. Adjust for market conditions.</t>
        </is>
      </c>
      <c r="F32" t="inlineStr">
        <is>
          <t>MVS / market</t>
        </is>
      </c>
    </row>
    <row r="33" ht="6" customHeight="1" s="1439"/>
    <row r="34" ht="15.95" customHeight="1" s="1439">
      <c r="A34" s="1442" t="inlineStr">
        <is>
          <t>STEP 6 -- DEPRECIATION OVERRIDES  (enter 0 if none)</t>
        </is>
      </c>
    </row>
    <row r="35" ht="21.95" customHeight="1" s="1439">
      <c r="B35" t="inlineStr">
        <is>
          <t>Curable Deferred Maintenance ($)  [-&gt; F38]</t>
        </is>
      </c>
      <c r="C35" s="1834" t="n">
        <v>0</v>
      </c>
      <c r="D35" t="inlineStr">
        <is>
          <t>$</t>
        </is>
      </c>
      <c r="E35" s="1559" t="inlineStr">
        <is>
          <t>Dollar cost to cure deferred items (roof, HVAC, etc.). Enter positive number. 0 = no curable items.</t>
        </is>
      </c>
      <c r="F35" t="inlineStr">
        <is>
          <t>Inspection / market</t>
        </is>
      </c>
    </row>
    <row r="36" ht="21.95" customHeight="1" s="1439">
      <c r="B36" t="inlineStr">
        <is>
          <t>Functional Obsolescence %  [-&gt; C43]</t>
        </is>
      </c>
      <c r="C36" s="1833" t="n">
        <v>0</v>
      </c>
      <c r="D36" t="inlineStr">
        <is>
          <t>% of RCN</t>
        </is>
      </c>
      <c r="E36" s="1559" t="inlineStr">
        <is>
          <t>Loss from design deficiencies (excess bays, substandard ceiling height, etc.). 0 = none.</t>
        </is>
      </c>
      <c r="F36" t="inlineStr">
        <is>
          <t>Market analysis</t>
        </is>
      </c>
    </row>
    <row r="37" ht="21.95" customHeight="1" s="1439">
      <c r="B37" t="inlineStr">
        <is>
          <t>External Obsolescence %  [-&gt; C44]</t>
        </is>
      </c>
      <c r="C37" s="1833" t="n">
        <v>0</v>
      </c>
      <c r="D37" t="inlineStr">
        <is>
          <t>% of RCN</t>
        </is>
      </c>
      <c r="E37" s="1559" t="inlineStr">
        <is>
          <t>Loss from external factors (market, economic, locational). 0 = none.</t>
        </is>
      </c>
      <c r="F37" t="inlineStr">
        <is>
          <t>Market analysis</t>
        </is>
      </c>
    </row>
    <row r="38" ht="9.949999999999999" customHeight="1" s="1439"/>
    <row r="39" ht="18" customHeight="1" s="1439">
      <c r="A39" s="1443" t="inlineStr">
        <is>
          <t>MVS QUICK-REFERENCE TABLES -- DO NOT EDIT  (sourced from MVS June 2024 edition)</t>
        </is>
      </c>
    </row>
    <row r="40" ht="15.95" customHeight="1" s="1439">
      <c r="A40" s="1440" t="inlineStr">
        <is>
          <t>TABLE A -- Occ. 406: Storage Warehouses | Base Cost per SF | MVS Sec.14, p.26 (Feb 2024)</t>
        </is>
      </c>
    </row>
    <row r="41" ht="14.1" customHeight="1" s="1439">
      <c r="A41" s="1418" t="inlineStr">
        <is>
          <t>Class</t>
        </is>
      </c>
      <c r="B41" s="1418" t="inlineStr">
        <is>
          <t>Quality</t>
        </is>
      </c>
      <c r="C41" s="1418" t="inlineStr">
        <is>
          <t>$/SF</t>
        </is>
      </c>
      <c r="D41" s="1437" t="inlineStr">
        <is>
          <t>Key (auto)</t>
        </is>
      </c>
      <c r="E41" s="1418" t="n"/>
      <c r="F41" s="1418" t="n"/>
    </row>
    <row r="42" ht="12.95" customHeight="1" s="1439">
      <c r="A42" s="1419" t="inlineStr">
        <is>
          <t>A</t>
        </is>
      </c>
      <c r="B42" s="1419" t="inlineStr">
        <is>
          <t>Good</t>
        </is>
      </c>
      <c r="C42" s="1691" t="n">
        <v>137</v>
      </c>
      <c r="D42" t="inlineStr">
        <is>
          <t>A~Good</t>
        </is>
      </c>
    </row>
    <row r="43" ht="12.95" customHeight="1" s="1439">
      <c r="A43" s="1419" t="inlineStr">
        <is>
          <t>A</t>
        </is>
      </c>
      <c r="B43" s="1419" t="inlineStr">
        <is>
          <t>Average</t>
        </is>
      </c>
      <c r="C43" s="1691" t="n">
        <v>101</v>
      </c>
      <c r="D43" t="inlineStr">
        <is>
          <t>A~Average</t>
        </is>
      </c>
    </row>
    <row r="44" ht="12.95" customHeight="1" s="1439">
      <c r="A44" s="1419" t="inlineStr">
        <is>
          <t>A</t>
        </is>
      </c>
      <c r="B44" s="1419" t="inlineStr">
        <is>
          <t>Low Cost</t>
        </is>
      </c>
      <c r="C44" s="1691" t="n">
        <v>79.5</v>
      </c>
      <c r="D44" t="inlineStr">
        <is>
          <t>A~Low Cost</t>
        </is>
      </c>
    </row>
    <row r="45" ht="12.95" customHeight="1" s="1439">
      <c r="A45" s="1419" t="inlineStr">
        <is>
          <t>B</t>
        </is>
      </c>
      <c r="B45" s="1419" t="inlineStr">
        <is>
          <t>Good</t>
        </is>
      </c>
      <c r="C45" s="1691" t="n">
        <v>121</v>
      </c>
      <c r="D45" t="inlineStr">
        <is>
          <t>B~Good</t>
        </is>
      </c>
    </row>
    <row r="46" ht="12.95" customHeight="1" s="1439">
      <c r="A46" s="1419" t="inlineStr">
        <is>
          <t>B</t>
        </is>
      </c>
      <c r="B46" s="1419" t="inlineStr">
        <is>
          <t>Average</t>
        </is>
      </c>
      <c r="C46" s="1691" t="n">
        <v>88</v>
      </c>
      <c r="D46" t="inlineStr">
        <is>
          <t>B~Average</t>
        </is>
      </c>
    </row>
    <row r="47" ht="12.95" customHeight="1" s="1439">
      <c r="A47" s="1419" t="inlineStr">
        <is>
          <t>B</t>
        </is>
      </c>
      <c r="B47" s="1419" t="inlineStr">
        <is>
          <t>Low Cost</t>
        </is>
      </c>
      <c r="C47" s="1691" t="n">
        <v>69</v>
      </c>
      <c r="D47" t="inlineStr">
        <is>
          <t>B~Low Cost</t>
        </is>
      </c>
    </row>
    <row r="48" ht="12.95" customHeight="1" s="1439">
      <c r="A48" s="1419" t="inlineStr">
        <is>
          <t>C</t>
        </is>
      </c>
      <c r="B48" s="1419" t="inlineStr">
        <is>
          <t>Excellent</t>
        </is>
      </c>
      <c r="C48" s="1691" t="n">
        <v>134</v>
      </c>
      <c r="D48" t="inlineStr">
        <is>
          <t>C~Excellent</t>
        </is>
      </c>
    </row>
    <row r="49" ht="12.95" customHeight="1" s="1439">
      <c r="A49" s="1419" t="inlineStr">
        <is>
          <t>C</t>
        </is>
      </c>
      <c r="B49" s="1419" t="inlineStr">
        <is>
          <t>Good</t>
        </is>
      </c>
      <c r="C49" s="1691" t="n">
        <v>86.5</v>
      </c>
      <c r="D49" t="inlineStr">
        <is>
          <t>C~Good</t>
        </is>
      </c>
    </row>
    <row r="50" ht="12.95" customHeight="1" s="1439">
      <c r="A50" s="1419" t="inlineStr">
        <is>
          <t>C</t>
        </is>
      </c>
      <c r="B50" s="1419" t="inlineStr">
        <is>
          <t>Average</t>
        </is>
      </c>
      <c r="C50" s="1691" t="n">
        <v>61</v>
      </c>
      <c r="D50" t="inlineStr">
        <is>
          <t>C~Average</t>
        </is>
      </c>
    </row>
    <row r="51" ht="12.95" customHeight="1" s="1439">
      <c r="A51" s="1419" t="inlineStr">
        <is>
          <t>C</t>
        </is>
      </c>
      <c r="B51" s="1419" t="inlineStr">
        <is>
          <t>Low Cost</t>
        </is>
      </c>
      <c r="C51" s="1691" t="n">
        <v>43</v>
      </c>
      <c r="D51" t="inlineStr">
        <is>
          <t>C~Low Cost</t>
        </is>
      </c>
    </row>
    <row r="52" ht="12.95" customHeight="1" s="1439">
      <c r="A52" s="1419" t="inlineStr">
        <is>
          <t>C-Mill</t>
        </is>
      </c>
      <c r="B52" s="1419" t="inlineStr">
        <is>
          <t>Good</t>
        </is>
      </c>
      <c r="C52" s="1691" t="n">
        <v>119</v>
      </c>
      <c r="D52" t="inlineStr">
        <is>
          <t>C-Mill~Good</t>
        </is>
      </c>
    </row>
    <row r="53" ht="12.95" customHeight="1" s="1439">
      <c r="A53" s="1419" t="inlineStr">
        <is>
          <t>C-Mill</t>
        </is>
      </c>
      <c r="B53" s="1419" t="inlineStr">
        <is>
          <t>Average</t>
        </is>
      </c>
      <c r="C53" s="1691" t="n">
        <v>82</v>
      </c>
      <c r="D53" t="inlineStr">
        <is>
          <t>C-Mill~Average</t>
        </is>
      </c>
    </row>
    <row r="54" ht="12.95" customHeight="1" s="1439">
      <c r="A54" s="1419" t="inlineStr">
        <is>
          <t>D</t>
        </is>
      </c>
      <c r="B54" s="1419" t="inlineStr">
        <is>
          <t>Good</t>
        </is>
      </c>
      <c r="C54" s="1691" t="n">
        <v>78</v>
      </c>
      <c r="D54" t="inlineStr">
        <is>
          <t>D~Good</t>
        </is>
      </c>
    </row>
    <row r="55" ht="12.95" customHeight="1" s="1439">
      <c r="A55" s="1419" t="inlineStr">
        <is>
          <t>D</t>
        </is>
      </c>
      <c r="B55" s="1419" t="inlineStr">
        <is>
          <t>Average</t>
        </is>
      </c>
      <c r="C55" s="1691" t="n">
        <v>54.5</v>
      </c>
      <c r="D55" t="inlineStr">
        <is>
          <t>D~Average</t>
        </is>
      </c>
    </row>
    <row r="56" ht="12.95" customHeight="1" s="1439">
      <c r="A56" s="1419" t="inlineStr">
        <is>
          <t>D</t>
        </is>
      </c>
      <c r="B56" s="1419" t="inlineStr">
        <is>
          <t>Low Cost</t>
        </is>
      </c>
      <c r="C56" s="1691" t="n">
        <v>38.75</v>
      </c>
      <c r="D56" t="inlineStr">
        <is>
          <t>D~Low Cost</t>
        </is>
      </c>
    </row>
    <row r="57" ht="12.95" customHeight="1" s="1439">
      <c r="A57" s="1419" t="inlineStr">
        <is>
          <t>D-Pole</t>
        </is>
      </c>
      <c r="B57" s="1419" t="inlineStr">
        <is>
          <t>Average</t>
        </is>
      </c>
      <c r="C57" s="1691" t="n">
        <v>48</v>
      </c>
      <c r="D57" t="inlineStr">
        <is>
          <t>D-Pole~Average</t>
        </is>
      </c>
    </row>
    <row r="58" ht="12.95" customHeight="1" s="1439">
      <c r="A58" s="1419" t="inlineStr">
        <is>
          <t>D-Pole</t>
        </is>
      </c>
      <c r="B58" s="1419" t="inlineStr">
        <is>
          <t>Low Cost</t>
        </is>
      </c>
      <c r="C58" s="1691" t="n">
        <v>34</v>
      </c>
      <c r="D58" t="inlineStr">
        <is>
          <t>D-Pole~Low Cost</t>
        </is>
      </c>
    </row>
    <row r="59" ht="12.95" customHeight="1" s="1439">
      <c r="A59" s="1419" t="inlineStr">
        <is>
          <t>S</t>
        </is>
      </c>
      <c r="B59" s="1419" t="inlineStr">
        <is>
          <t>Excellent</t>
        </is>
      </c>
      <c r="C59" s="1691" t="n">
        <v>125</v>
      </c>
      <c r="D59" t="inlineStr">
        <is>
          <t>S~Excellent</t>
        </is>
      </c>
    </row>
    <row r="60" ht="12.95" customHeight="1" s="1439">
      <c r="A60" s="1419" t="inlineStr">
        <is>
          <t>S</t>
        </is>
      </c>
      <c r="B60" s="1419" t="inlineStr">
        <is>
          <t>Good</t>
        </is>
      </c>
      <c r="C60" s="1691" t="n">
        <v>79.5</v>
      </c>
      <c r="D60" t="inlineStr">
        <is>
          <t>S~Good</t>
        </is>
      </c>
    </row>
    <row r="61" ht="12.95" customHeight="1" s="1439">
      <c r="A61" s="1419" t="inlineStr">
        <is>
          <t>S</t>
        </is>
      </c>
      <c r="B61" s="1419" t="inlineStr">
        <is>
          <t>Average</t>
        </is>
      </c>
      <c r="C61" s="1691" t="n">
        <v>55.5</v>
      </c>
      <c r="D61" t="inlineStr">
        <is>
          <t>S~Average</t>
        </is>
      </c>
    </row>
    <row r="62" ht="12.95" customHeight="1" s="1439">
      <c r="A62" s="1419" t="inlineStr">
        <is>
          <t>S</t>
        </is>
      </c>
      <c r="B62" s="1419" t="inlineStr">
        <is>
          <t>Low Cost</t>
        </is>
      </c>
      <c r="C62" s="1691" t="n">
        <v>38.75</v>
      </c>
      <c r="D62" t="inlineStr">
        <is>
          <t>S~Low Cost</t>
        </is>
      </c>
    </row>
    <row r="63" ht="8.1" customHeight="1" s="1439"/>
    <row r="64" ht="15.95" customHeight="1" s="1439">
      <c r="A64" s="1440" t="inlineStr">
        <is>
          <t>TABLE B -- Story Height Multipliers | Base = 14 ft | MVS Sec.14, p.39 (Feb 2024)</t>
        </is>
      </c>
    </row>
    <row r="65" ht="14.1" customHeight="1" s="1439">
      <c r="A65" s="1418" t="inlineStr">
        <is>
          <t>Ht (ft)</t>
        </is>
      </c>
      <c r="B65" s="1418" t="inlineStr">
        <is>
          <t>Multiplier</t>
        </is>
      </c>
      <c r="C65" s="1418" t="n"/>
      <c r="D65" s="1418" t="inlineStr">
        <is>
          <t>Ht (ft)</t>
        </is>
      </c>
      <c r="E65" s="1418" t="inlineStr">
        <is>
          <t>Multiplier</t>
        </is>
      </c>
      <c r="F65" s="1418" t="n"/>
    </row>
    <row r="66" ht="12.95" customHeight="1" s="1439">
      <c r="A66" s="1419" t="n">
        <v>8</v>
      </c>
      <c r="B66" t="n">
        <v>0.885</v>
      </c>
      <c r="D66" s="1419" t="n">
        <v>20</v>
      </c>
      <c r="E66" s="1835" t="n">
        <v>1.133</v>
      </c>
    </row>
    <row r="67" ht="12.95" customHeight="1" s="1439">
      <c r="A67" s="1419" t="n">
        <v>10</v>
      </c>
      <c r="B67" t="n">
        <v>0.921</v>
      </c>
      <c r="D67" s="1419" t="n">
        <v>22</v>
      </c>
      <c r="E67" s="1835" t="n">
        <v>1.181</v>
      </c>
    </row>
    <row r="68" ht="12.95" customHeight="1" s="1439">
      <c r="A68" s="1419" t="n">
        <v>12</v>
      </c>
      <c r="B68" t="n">
        <v>0.96</v>
      </c>
      <c r="D68" s="1419" t="n">
        <v>24</v>
      </c>
      <c r="E68" s="1835" t="n">
        <v>1.231</v>
      </c>
    </row>
    <row r="69" ht="12.95" customHeight="1" s="1439">
      <c r="A69" s="1419" t="n">
        <v>14</v>
      </c>
      <c r="B69" t="inlineStr">
        <is>
          <t>1.000 (BASE)</t>
        </is>
      </c>
      <c r="D69" s="1419" t="n">
        <v>26</v>
      </c>
      <c r="E69" s="1835" t="n">
        <v>1.281</v>
      </c>
    </row>
    <row r="70" ht="12.95" customHeight="1" s="1439">
      <c r="A70" s="1419" t="n">
        <v>16</v>
      </c>
      <c r="B70" t="n">
        <v>1.041</v>
      </c>
      <c r="D70" s="1419" t="n">
        <v>28</v>
      </c>
      <c r="E70" s="1835" t="n">
        <v>1.331</v>
      </c>
    </row>
    <row r="71" ht="12.95" customHeight="1" s="1439">
      <c r="A71" s="1419" t="n">
        <v>18</v>
      </c>
      <c r="B71" t="n">
        <v>1.086</v>
      </c>
      <c r="D71" s="1419" t="n">
        <v>30</v>
      </c>
      <c r="E71" s="1835" t="n">
        <v>1.382</v>
      </c>
    </row>
    <row r="72" ht="12.95" customHeight="1" s="1439">
      <c r="D72" s="1419" t="n">
        <v>35</v>
      </c>
      <c r="E72" s="1835" t="n">
        <v>1.515</v>
      </c>
    </row>
    <row r="73" ht="12.95" customHeight="1" s="1439">
      <c r="D73" s="1419" t="n">
        <v>40</v>
      </c>
      <c r="E73" s="1835" t="n">
        <v>1.65</v>
      </c>
    </row>
    <row r="74" ht="12.95" customHeight="1" s="1439">
      <c r="D74" s="1419" t="n">
        <v>45</v>
      </c>
      <c r="E74" s="1835" t="n">
        <v>1.788</v>
      </c>
    </row>
    <row r="75" ht="12.95" customHeight="1" s="1439">
      <c r="D75" s="1419" t="n">
        <v>50</v>
      </c>
      <c r="E75" s="1835" t="n">
        <v>1.93</v>
      </c>
    </row>
    <row r="76" ht="8.1" customHeight="1" s="1439"/>
    <row r="77" ht="15.95" customHeight="1" s="1439">
      <c r="A77" s="1440" t="inlineStr">
        <is>
          <t>TABLE C -- Current Cost Multipliers | Sec.14 (eff. Feb 2024), Jan 2025 update | MVS Sec.99, p.3</t>
        </is>
      </c>
    </row>
    <row r="78" ht="14.1" customHeight="1" s="1439">
      <c r="A78" s="1418" t="inlineStr">
        <is>
          <t>Region</t>
        </is>
      </c>
      <c r="B78" s="1418" t="inlineStr">
        <is>
          <t>Class A</t>
        </is>
      </c>
      <c r="C78" s="1418" t="inlineStr">
        <is>
          <t>Class B</t>
        </is>
      </c>
      <c r="D78" s="1418" t="inlineStr">
        <is>
          <t>Class C</t>
        </is>
      </c>
      <c r="E78" s="1418" t="inlineStr">
        <is>
          <t>Class D</t>
        </is>
      </c>
      <c r="F78" s="1418" t="inlineStr">
        <is>
          <t>Class S</t>
        </is>
      </c>
    </row>
    <row r="79" ht="12.95" customHeight="1" s="1439">
      <c r="A79" s="1419" t="inlineStr">
        <is>
          <t>WESTERN</t>
        </is>
      </c>
      <c r="B79" s="1835" t="n">
        <v>1.07</v>
      </c>
      <c r="C79" s="1835" t="n">
        <v>1.04</v>
      </c>
      <c r="D79" s="1835" t="n">
        <v>1.06</v>
      </c>
      <c r="E79" s="1835" t="n">
        <v>1.05</v>
      </c>
      <c r="F79" s="1835" t="n">
        <v>1.04</v>
      </c>
    </row>
    <row r="80" ht="12.95" customHeight="1" s="1439">
      <c r="A80" s="1419" t="inlineStr">
        <is>
          <t>CENTRAL</t>
        </is>
      </c>
      <c r="B80" s="1835" t="n">
        <v>1</v>
      </c>
      <c r="C80" s="1835" t="n">
        <v>0.99</v>
      </c>
      <c r="D80" s="1835" t="n">
        <v>0.99</v>
      </c>
      <c r="E80" s="1835" t="n">
        <v>0.99</v>
      </c>
      <c r="F80" s="1835" t="n">
        <v>0.99</v>
      </c>
    </row>
    <row r="81" ht="12.95" customHeight="1" s="1439">
      <c r="A81" s="1419" t="inlineStr">
        <is>
          <t>EASTERN</t>
        </is>
      </c>
      <c r="B81" s="1835" t="n">
        <v>1.02</v>
      </c>
      <c r="C81" s="1835" t="n">
        <v>1.04</v>
      </c>
      <c r="D81" s="1835" t="n">
        <v>1.03</v>
      </c>
      <c r="E81" s="1835" t="n">
        <v>1.01</v>
      </c>
      <c r="F81" s="1835" t="n">
        <v>1.03</v>
      </c>
    </row>
    <row r="82" ht="12.95" customHeight="1" s="1439">
      <c r="A82" s="1438" t="inlineStr">
        <is>
          <t>NOTE: Colorado = EASTERN region for current cost multiplier purposes.</t>
        </is>
      </c>
    </row>
    <row r="83" ht="8.1" customHeight="1" s="1439"/>
    <row r="84" ht="15.95" customHeight="1" s="1439">
      <c r="A84" s="1440" t="inlineStr">
        <is>
          <t>TABLE C2 -- Colorado Local Area Multipliers | Jan 2025 update | MVS Sec.99, p.7</t>
        </is>
      </c>
    </row>
    <row r="85" ht="14.1" customHeight="1" s="1439">
      <c r="A85" s="1418" t="inlineStr">
        <is>
          <t>City / Area</t>
        </is>
      </c>
      <c r="B85" s="1418" t="inlineStr">
        <is>
          <t>Class A</t>
        </is>
      </c>
      <c r="C85" s="1418" t="inlineStr">
        <is>
          <t>Class B</t>
        </is>
      </c>
      <c r="D85" s="1418" t="inlineStr">
        <is>
          <t>Class C</t>
        </is>
      </c>
      <c r="E85" s="1418" t="inlineStr">
        <is>
          <t>Class D</t>
        </is>
      </c>
      <c r="F85" s="1418" t="inlineStr">
        <is>
          <t>Class S</t>
        </is>
      </c>
    </row>
    <row r="86" ht="12.95" customHeight="1" s="1439">
      <c r="A86" s="1419" t="inlineStr">
        <is>
          <t>Colorado Statewide</t>
        </is>
      </c>
      <c r="B86" s="1835" t="n">
        <v>1</v>
      </c>
      <c r="C86" s="1835" t="n">
        <v>1.02</v>
      </c>
      <c r="D86" s="1835" t="n">
        <v>1.02</v>
      </c>
      <c r="E86" s="1835" t="n">
        <v>1.01</v>
      </c>
      <c r="F86" s="1835" t="n">
        <v>1.02</v>
      </c>
    </row>
    <row r="87" ht="12.95" customHeight="1" s="1439">
      <c r="A87" s="1419" t="inlineStr">
        <is>
          <t>Denver</t>
        </is>
      </c>
      <c r="B87" s="1835" t="n">
        <v>1.01</v>
      </c>
      <c r="C87" s="1835" t="n">
        <v>1</v>
      </c>
      <c r="D87" s="1835" t="n">
        <v>1</v>
      </c>
      <c r="E87" s="1835" t="n">
        <v>1</v>
      </c>
      <c r="F87" s="1835" t="n">
        <v>1.03</v>
      </c>
    </row>
    <row r="88" ht="12.95" customHeight="1" s="1439">
      <c r="A88" s="1419" t="inlineStr">
        <is>
          <t>Boulder</t>
        </is>
      </c>
      <c r="B88" s="1835" t="n">
        <v>0.98</v>
      </c>
      <c r="C88" s="1835" t="n">
        <v>0.98</v>
      </c>
      <c r="D88" s="1835" t="n">
        <v>0.98</v>
      </c>
      <c r="E88" s="1835" t="n">
        <v>0.97</v>
      </c>
      <c r="F88" s="1835" t="n">
        <v>0.99</v>
      </c>
    </row>
    <row r="89" ht="12.95" customHeight="1" s="1439">
      <c r="A89" s="1419" t="inlineStr">
        <is>
          <t>Colorado Springs</t>
        </is>
      </c>
      <c r="B89" s="1835" t="n">
        <v>0.98</v>
      </c>
      <c r="C89" s="1835" t="n">
        <v>0.99</v>
      </c>
      <c r="D89" s="1835" t="n">
        <v>0.96</v>
      </c>
      <c r="E89" s="1835" t="n">
        <v>0.98</v>
      </c>
      <c r="F89" s="1835" t="n">
        <v>1</v>
      </c>
    </row>
    <row r="90" ht="12.95" customHeight="1" s="1439">
      <c r="A90" s="1419" t="inlineStr">
        <is>
          <t>Fort Collins</t>
        </is>
      </c>
      <c r="B90" s="1835" t="n">
        <v>0.98</v>
      </c>
      <c r="C90" s="1835" t="n">
        <v>1</v>
      </c>
      <c r="D90" s="1835" t="n">
        <v>1.01</v>
      </c>
      <c r="E90" s="1835" t="n">
        <v>0.99</v>
      </c>
      <c r="F90" s="1835" t="n">
        <v>1.01</v>
      </c>
    </row>
    <row r="91" ht="12.95" customHeight="1" s="1439">
      <c r="A91" s="1419" t="inlineStr">
        <is>
          <t>Grand Junction</t>
        </is>
      </c>
      <c r="B91" s="1835" t="n">
        <v>0.98</v>
      </c>
      <c r="C91" s="1835" t="n">
        <v>0.99</v>
      </c>
      <c r="D91" s="1835" t="n">
        <v>1</v>
      </c>
      <c r="E91" s="1835" t="n">
        <v>1</v>
      </c>
      <c r="F91" s="1835" t="n">
        <v>1.02</v>
      </c>
    </row>
    <row r="92" ht="12.95" customHeight="1" s="1439">
      <c r="A92" s="1419" t="inlineStr">
        <is>
          <t>Greeley</t>
        </is>
      </c>
      <c r="B92" s="1835" t="n">
        <v>0.98</v>
      </c>
      <c r="C92" s="1835" t="n">
        <v>1</v>
      </c>
      <c r="D92" s="1835" t="n">
        <v>1.01</v>
      </c>
      <c r="E92" s="1835" t="n">
        <v>0.99</v>
      </c>
      <c r="F92" s="1835" t="n">
        <v>0.99</v>
      </c>
    </row>
    <row r="93" ht="12.95" customHeight="1" s="1439">
      <c r="A93" s="1419" t="inlineStr">
        <is>
          <t>Pueblo</t>
        </is>
      </c>
      <c r="B93" s="1835" t="n">
        <v>0.95</v>
      </c>
      <c r="C93" s="1835" t="n">
        <v>0.95</v>
      </c>
      <c r="D93" s="1835" t="n">
        <v>0.95</v>
      </c>
      <c r="E93" s="1835" t="n">
        <v>0.95</v>
      </c>
      <c r="F93" s="1835" t="n">
        <v>0.95</v>
      </c>
    </row>
    <row r="94" ht="12.95" customHeight="1" s="1439">
      <c r="A94" s="1438" t="inlineStr">
        <is>
          <t>NOTE: Adams County -- use Colorado Statewide (1.01 for Class D) or Denver (1.00 for Class D). Confirm with county practice.</t>
        </is>
      </c>
    </row>
    <row r="95" ht="8.1" customHeight="1" s="1439"/>
    <row r="96" ht="15.95" customHeight="1" s="1439">
      <c r="A96" s="1440" t="inlineStr">
        <is>
          <t>TABLE D -- Wet Sprinkler System Add-On per SF | MVS Sec.14, p.37 (Feb 2024)</t>
        </is>
      </c>
    </row>
    <row r="97" ht="14.1" customHeight="1" s="1439">
      <c r="A97" s="1418" t="inlineStr">
        <is>
          <t>Coverage SF</t>
        </is>
      </c>
      <c r="B97" s="1418" t="inlineStr">
        <is>
          <t>Low Cost</t>
        </is>
      </c>
      <c r="C97" s="1418" t="inlineStr">
        <is>
          <t>Average</t>
        </is>
      </c>
      <c r="D97" s="1418" t="inlineStr">
        <is>
          <t>Good</t>
        </is>
      </c>
      <c r="E97" s="1418" t="inlineStr">
        <is>
          <t>Excellent</t>
        </is>
      </c>
      <c r="F97" s="1418" t="n"/>
    </row>
    <row r="98" ht="12.95" customHeight="1" s="1439">
      <c r="A98" s="67" t="n">
        <v>5000</v>
      </c>
      <c r="B98" s="1691" t="n">
        <v>4.17</v>
      </c>
      <c r="C98" s="1691" t="n">
        <v>5.02</v>
      </c>
      <c r="D98" s="1691" t="n">
        <v>6.05</v>
      </c>
      <c r="E98" s="1691" t="n">
        <v>7.28</v>
      </c>
    </row>
    <row r="99" ht="12.95" customHeight="1" s="1439">
      <c r="A99" s="67" t="n">
        <v>10000</v>
      </c>
      <c r="B99" s="1691" t="n">
        <v>3.77</v>
      </c>
      <c r="C99" s="1691" t="n">
        <v>4.52</v>
      </c>
      <c r="D99" s="1691" t="n">
        <v>5.41</v>
      </c>
      <c r="E99" s="1691" t="n">
        <v>6.48</v>
      </c>
    </row>
    <row r="100" ht="12.95" customHeight="1" s="1439">
      <c r="A100" s="67" t="n">
        <v>20000</v>
      </c>
      <c r="B100" s="1691" t="n">
        <v>3.37</v>
      </c>
      <c r="C100" s="1691" t="n">
        <v>4.02</v>
      </c>
      <c r="D100" s="1691" t="n">
        <v>4.78</v>
      </c>
      <c r="E100" s="1691" t="n">
        <v>5.7</v>
      </c>
    </row>
    <row r="101" ht="12.95" customHeight="1" s="1439">
      <c r="A101" s="67" t="n">
        <v>40000</v>
      </c>
      <c r="B101" s="1691" t="n">
        <v>3.04</v>
      </c>
      <c r="C101" s="1691" t="n">
        <v>3.6</v>
      </c>
      <c r="D101" s="1691" t="n">
        <v>4.27</v>
      </c>
      <c r="E101" s="1691" t="n">
        <v>5.06</v>
      </c>
    </row>
    <row r="102" ht="12.95" customHeight="1" s="1439">
      <c r="A102" s="67" t="n">
        <v>60000</v>
      </c>
      <c r="B102" s="1691" t="n">
        <v>2.87</v>
      </c>
      <c r="C102" s="1691" t="n">
        <v>3.39</v>
      </c>
      <c r="D102" s="1691" t="n">
        <v>3.99</v>
      </c>
      <c r="E102" s="1691" t="n">
        <v>4.71</v>
      </c>
    </row>
    <row r="103" ht="12.95" customHeight="1" s="1439">
      <c r="A103" s="67" t="n">
        <v>100000</v>
      </c>
      <c r="B103" s="1691" t="n">
        <v>2.66</v>
      </c>
      <c r="C103" s="1691" t="n">
        <v>3.13</v>
      </c>
      <c r="D103" s="1691" t="n">
        <v>3.68</v>
      </c>
      <c r="E103" s="1691" t="n">
        <v>4.32</v>
      </c>
    </row>
    <row r="104" ht="12.95" customHeight="1" s="1439">
      <c r="A104" s="67" t="n">
        <v>150000</v>
      </c>
      <c r="B104" s="1691" t="n">
        <v>2.49</v>
      </c>
      <c r="C104" s="1691" t="n">
        <v>2.92</v>
      </c>
      <c r="D104" s="1691" t="n">
        <v>3.43</v>
      </c>
      <c r="E104" s="1691" t="n">
        <v>4.03</v>
      </c>
    </row>
    <row r="105" ht="12.95" customHeight="1" s="1439">
      <c r="A105" s="67" t="n">
        <v>200000</v>
      </c>
      <c r="B105" s="1691" t="n">
        <v>2.4</v>
      </c>
      <c r="C105" s="1691" t="n">
        <v>2.81</v>
      </c>
      <c r="D105" s="1691" t="n">
        <v>3.28</v>
      </c>
      <c r="E105" s="1691" t="n">
        <v>3.84</v>
      </c>
    </row>
    <row r="106" ht="8.1" customHeight="1" s="1439"/>
    <row r="107" ht="15.95" customHeight="1" s="1439">
      <c r="A107" s="1440" t="inlineStr">
        <is>
          <t>TABLE E -- Site Paving Costs per SF | MVS Sec.66, pp.1-2 (Dec 2023)</t>
        </is>
      </c>
    </row>
    <row r="108" ht="14.1" customHeight="1" s="1439">
      <c r="A108" s="1418" t="inlineStr">
        <is>
          <t>Paving Type</t>
        </is>
      </c>
      <c r="B108" s="1418" t="inlineStr">
        <is>
          <t>Low</t>
        </is>
      </c>
      <c r="C108" s="1418" t="inlineStr">
        <is>
          <t>Average</t>
        </is>
      </c>
      <c r="D108" s="1418" t="inlineStr">
        <is>
          <t>High</t>
        </is>
      </c>
      <c r="E108" s="1418" t="inlineStr">
        <is>
          <t>Notes</t>
        </is>
      </c>
      <c r="F108" s="1418" t="n"/>
    </row>
    <row r="109" ht="12.95" customHeight="1" s="1439">
      <c r="A109" s="1419" t="inlineStr">
        <is>
          <t>4-inch Asphalt (Large &gt;3,000 SF)</t>
        </is>
      </c>
      <c r="B109" s="1691" t="n">
        <v>2.92</v>
      </c>
      <c r="C109" s="1691" t="n">
        <v>3.1</v>
      </c>
      <c r="D109" s="1691" t="n">
        <v>3.51</v>
      </c>
      <c r="E109" s="1419" t="inlineStr">
        <is>
          <t>Sec.66 p.1</t>
        </is>
      </c>
    </row>
    <row r="110" ht="12.95" customHeight="1" s="1439">
      <c r="A110" s="1419" t="inlineStr">
        <is>
          <t>6-inch Concrete (Large &gt;3,000 SF)</t>
        </is>
      </c>
      <c r="B110" s="1691" t="n">
        <v>4.66</v>
      </c>
      <c r="C110" s="1691" t="n">
        <v>5.51</v>
      </c>
      <c r="D110" s="1691" t="n">
        <v>7.71</v>
      </c>
      <c r="E110" s="1419" t="inlineStr">
        <is>
          <t>Sec.66 p.1</t>
        </is>
      </c>
    </row>
    <row r="111" ht="12.95" customHeight="1" s="1439">
      <c r="A111" s="1419" t="inlineStr">
        <is>
          <t>2-inch Asphalt on 2-inch base (Small)</t>
        </is>
      </c>
      <c r="B111" s="1691" t="n">
        <v>2.87</v>
      </c>
      <c r="C111" s="1691" t="n">
        <v>3.56</v>
      </c>
      <c r="D111" s="1691" t="n">
        <v>4.24</v>
      </c>
      <c r="E111" s="1419" t="inlineStr">
        <is>
          <t>Sec.66 p.2</t>
        </is>
      </c>
    </row>
    <row r="112" ht="12.95" customHeight="1" s="1439">
      <c r="A112" s="1419" t="inlineStr">
        <is>
          <t>4-inch Concrete unreinforced (Small)</t>
        </is>
      </c>
      <c r="B112" s="1691" t="n">
        <v>6.42</v>
      </c>
      <c r="C112" s="1691" t="n">
        <v>8</v>
      </c>
      <c r="D112" s="1691" t="n">
        <v>9.58</v>
      </c>
      <c r="E112" s="1419" t="inlineStr">
        <is>
          <t>Sec.66 p.2</t>
        </is>
      </c>
    </row>
    <row r="114">
      <c r="A114" t="inlineStr">
        <is>
          <t>TABLE F -- Occ. 407: Distribution Warehouses | Base Cost per SF | MVS Sec.14, p.23 (Feb 2024) | Space heaters configuration</t>
        </is>
      </c>
    </row>
    <row r="115">
      <c r="A115" s="1433" t="inlineStr">
        <is>
          <t>Class</t>
        </is>
      </c>
      <c r="B115" s="1433" t="inlineStr">
        <is>
          <t>Quality</t>
        </is>
      </c>
      <c r="C115" s="1433" t="inlineStr">
        <is>
          <t>$/SF</t>
        </is>
      </c>
      <c r="D115" s="1433" t="inlineStr">
        <is>
          <t>Key</t>
        </is>
      </c>
    </row>
    <row r="116">
      <c r="A116" t="inlineStr">
        <is>
          <t>A</t>
        </is>
      </c>
      <c r="B116" t="inlineStr">
        <is>
          <t>Good</t>
        </is>
      </c>
      <c r="C116" t="n">
        <v>123</v>
      </c>
      <c r="D116" t="inlineStr">
        <is>
          <t>A~Good</t>
        </is>
      </c>
    </row>
    <row r="117">
      <c r="A117" t="inlineStr">
        <is>
          <t>A</t>
        </is>
      </c>
      <c r="B117" t="inlineStr">
        <is>
          <t>Average</t>
        </is>
      </c>
      <c r="C117" t="n">
        <v>108</v>
      </c>
      <c r="D117" t="inlineStr">
        <is>
          <t>A~Average</t>
        </is>
      </c>
    </row>
    <row r="118">
      <c r="A118" t="inlineStr">
        <is>
          <t>B</t>
        </is>
      </c>
      <c r="B118" t="inlineStr">
        <is>
          <t>Good</t>
        </is>
      </c>
      <c r="C118" t="n">
        <v>103</v>
      </c>
      <c r="D118" t="inlineStr">
        <is>
          <t>B~Good</t>
        </is>
      </c>
    </row>
    <row r="119">
      <c r="A119" t="inlineStr">
        <is>
          <t>B</t>
        </is>
      </c>
      <c r="B119" t="inlineStr">
        <is>
          <t>Average</t>
        </is>
      </c>
      <c r="C119" t="n">
        <v>70.5</v>
      </c>
      <c r="D119" t="inlineStr">
        <is>
          <t>B~Average</t>
        </is>
      </c>
    </row>
    <row r="120">
      <c r="A120" t="inlineStr">
        <is>
          <t>C</t>
        </is>
      </c>
      <c r="B120" t="inlineStr">
        <is>
          <t>Excellent</t>
        </is>
      </c>
      <c r="C120" t="n">
        <v>92.5</v>
      </c>
      <c r="D120" t="inlineStr">
        <is>
          <t>C~Excellent</t>
        </is>
      </c>
    </row>
    <row r="121">
      <c r="A121" t="inlineStr">
        <is>
          <t>C</t>
        </is>
      </c>
      <c r="B121" t="inlineStr">
        <is>
          <t>Good</t>
        </is>
      </c>
      <c r="C121" t="n">
        <v>57</v>
      </c>
      <c r="D121" t="inlineStr">
        <is>
          <t>C~Good</t>
        </is>
      </c>
    </row>
    <row r="122">
      <c r="A122" t="inlineStr">
        <is>
          <t>C</t>
        </is>
      </c>
      <c r="B122" t="inlineStr">
        <is>
          <t>Average</t>
        </is>
      </c>
      <c r="C122" t="n">
        <v>94.5</v>
      </c>
      <c r="D122" t="inlineStr">
        <is>
          <t>C~Average</t>
        </is>
      </c>
    </row>
    <row r="123">
      <c r="A123" t="inlineStr">
        <is>
          <t>S</t>
        </is>
      </c>
      <c r="B123" t="inlineStr">
        <is>
          <t>Low Cost</t>
        </is>
      </c>
      <c r="C123" t="n">
        <v>45.5</v>
      </c>
      <c r="D123" t="inlineStr">
        <is>
          <t>S~Low Cost</t>
        </is>
      </c>
    </row>
    <row r="125">
      <c r="A125" t="inlineStr">
        <is>
          <t>TABLE G -- Story Height Multiplier Lookup (single-column, for VLOOKUP) | MVS Sec.14, p.39 (Feb 2024)</t>
        </is>
      </c>
    </row>
    <row r="126">
      <c r="A126" s="1433" t="inlineStr">
        <is>
          <t>Ht (ft)</t>
        </is>
      </c>
      <c r="B126" s="1433" t="inlineStr">
        <is>
          <t>Multiplier</t>
        </is>
      </c>
    </row>
    <row r="127">
      <c r="A127" t="n">
        <v>8</v>
      </c>
      <c r="B127" t="n">
        <v>0.885</v>
      </c>
    </row>
    <row r="128">
      <c r="A128" t="n">
        <v>10</v>
      </c>
      <c r="B128" t="n">
        <v>0.921</v>
      </c>
    </row>
    <row r="129">
      <c r="A129" t="n">
        <v>12</v>
      </c>
      <c r="B129" t="n">
        <v>0.96</v>
      </c>
    </row>
    <row r="130">
      <c r="A130" t="n">
        <v>14</v>
      </c>
      <c r="B130" t="n">
        <v>1</v>
      </c>
    </row>
    <row r="131">
      <c r="A131" t="n">
        <v>16</v>
      </c>
      <c r="B131" t="n">
        <v>1.041</v>
      </c>
    </row>
    <row r="132">
      <c r="A132" t="n">
        <v>18</v>
      </c>
      <c r="B132" t="n">
        <v>1.086</v>
      </c>
    </row>
    <row r="133">
      <c r="A133" t="n">
        <v>20</v>
      </c>
      <c r="B133" t="n">
        <v>1.133</v>
      </c>
    </row>
    <row r="134">
      <c r="A134" t="n">
        <v>22</v>
      </c>
      <c r="B134" t="n">
        <v>1.181</v>
      </c>
    </row>
    <row r="135">
      <c r="A135" t="n">
        <v>24</v>
      </c>
      <c r="B135" t="n">
        <v>1.231</v>
      </c>
    </row>
    <row r="136">
      <c r="A136" t="n">
        <v>26</v>
      </c>
      <c r="B136" t="n">
        <v>1.281</v>
      </c>
    </row>
    <row r="137">
      <c r="A137" t="n">
        <v>28</v>
      </c>
      <c r="B137" t="n">
        <v>1.331</v>
      </c>
    </row>
    <row r="138">
      <c r="A138" t="n">
        <v>30</v>
      </c>
      <c r="B138" t="n">
        <v>1.382</v>
      </c>
    </row>
    <row r="139">
      <c r="A139" t="n">
        <v>35</v>
      </c>
      <c r="B139" t="n">
        <v>1.515</v>
      </c>
    </row>
    <row r="140">
      <c r="A140" t="n">
        <v>40</v>
      </c>
      <c r="B140" t="n">
        <v>1.65</v>
      </c>
    </row>
    <row r="141">
      <c r="A141" t="n">
        <v>45</v>
      </c>
      <c r="B141" t="n">
        <v>1.788</v>
      </c>
    </row>
    <row r="142">
      <c r="A142" t="n">
        <v>50</v>
      </c>
      <c r="B142" t="n">
        <v>1.93</v>
      </c>
    </row>
  </sheetData>
  <mergeCells count="17">
    <mergeCell ref="A24:F24"/>
    <mergeCell ref="B13:F13"/>
    <mergeCell ref="A107:F107"/>
    <mergeCell ref="A82:F82"/>
    <mergeCell ref="A84:F84"/>
    <mergeCell ref="A94:F94"/>
    <mergeCell ref="A1:F1"/>
    <mergeCell ref="A9:F9"/>
    <mergeCell ref="A17:F17"/>
    <mergeCell ref="A34:F34"/>
    <mergeCell ref="A40:F40"/>
    <mergeCell ref="A3:F3"/>
    <mergeCell ref="A30:F30"/>
    <mergeCell ref="A77:F77"/>
    <mergeCell ref="A96:F96"/>
    <mergeCell ref="A64:F64"/>
    <mergeCell ref="A39:F39"/>
  </mergeCells>
  <dataValidations count="5">
    <dataValidation sqref="C5" showDropDown="0" showInputMessage="0" showErrorMessage="1" allowBlank="0" errorTitle="Invalid Occupancy" error="Choose Occ. 406 (Storage) or Occ. 407 (Distribution)" type="list">
      <formula1>"Occ. 406,Occ. 407"</formula1>
    </dataValidation>
    <dataValidation sqref="C6" showDropDown="0" showInputMessage="0" showErrorMessage="0" allowBlank="0" type="list">
      <formula1>"A,B,C,C-Mill,D,D-Pole,S"</formula1>
    </dataValidation>
    <dataValidation sqref="C7" showDropDown="0" showInputMessage="0" showErrorMessage="0" allowBlank="0" type="list">
      <formula1>"Excellent,Good,Average,Low Cost"</formula1>
    </dataValidation>
    <dataValidation sqref="C8" showDropDown="0" showInputMessage="0" showErrorMessage="0" allowBlank="0" type="list">
      <formula1>"Colorado Statewide,Denver,Boulder,Colorado Springs,Fort Collins,Grand Junction,Greeley,Pueblo"</formula1>
    </dataValidation>
    <dataValidation sqref="H15" showDropDown="0" showInputMessage="0" showErrorMessage="0" allowBlank="0" type="list">
      <formula1>"Low Cost,Average,Good,Excellent"</formula1>
    </dataValidation>
  </dataValidations>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U542"/>
  <sheetViews>
    <sheetView topLeftCell="F1" zoomScale="130" zoomScaleNormal="130" workbookViewId="0">
      <selection activeCell="N40" sqref="N40"/>
    </sheetView>
  </sheetViews>
  <sheetFormatPr baseColWidth="8" defaultColWidth="9.140625" defaultRowHeight="15"/>
  <cols>
    <col width="1.7109375" customWidth="1" style="1550" min="1" max="1"/>
    <col width="42.42578125" bestFit="1" customWidth="1" style="372" min="2" max="2"/>
    <col width="13.5703125" customWidth="1" style="1547" min="3" max="3"/>
    <col width="9.85546875" customWidth="1" style="1547" min="4" max="4"/>
    <col width="1.7109375" customWidth="1" style="1547" min="5" max="5"/>
    <col width="11.7109375" customWidth="1" style="1836" min="6" max="6"/>
    <col width="11.140625" bestFit="1" customWidth="1" style="1836" min="7" max="7"/>
    <col width="1.7109375" customWidth="1" style="1550" min="8" max="8"/>
    <col width="16" customWidth="1" style="1550" min="9" max="9"/>
    <col width="9.140625" customWidth="1" style="1550" min="10" max="10"/>
    <col width="18.28515625" customWidth="1" style="1550" min="11" max="11"/>
    <col width="15.7109375" bestFit="1" customWidth="1" style="1550" min="12" max="12"/>
    <col width="8.5703125" customWidth="1" style="1550" min="13" max="13"/>
    <col width="15.7109375" bestFit="1" customWidth="1" style="1550" min="14" max="14"/>
    <col width="15.7109375" customWidth="1" style="1550" min="15" max="15"/>
    <col width="3.85546875" customWidth="1" style="1550" min="16" max="16"/>
    <col width="40.42578125" bestFit="1" customWidth="1" style="1550" min="17" max="17"/>
    <col width="13.28515625" customWidth="1" style="1550" min="18" max="18"/>
    <col width="7.5703125" bestFit="1" customWidth="1" style="1550" min="19" max="19"/>
    <col width="15.7109375" customWidth="1" style="1550" min="20" max="21"/>
    <col width="9.140625" customWidth="1" style="1550" min="22" max="22"/>
    <col width="9.140625" customWidth="1" style="1550" min="23" max="16384"/>
  </cols>
  <sheetData>
    <row r="1">
      <c r="A1" s="821" t="inlineStr">
        <is>
          <t>COST APPROACH</t>
        </is>
      </c>
      <c r="B1" s="874" t="n"/>
      <c r="C1" s="874" t="n"/>
      <c r="D1" s="361" t="n"/>
      <c r="E1" s="362" t="n"/>
      <c r="F1" s="362" t="n"/>
      <c r="G1" s="362" t="n"/>
      <c r="H1" s="362" t="n"/>
      <c r="I1" s="1299" t="inlineStr">
        <is>
          <t>NOTES</t>
        </is>
      </c>
      <c r="J1" s="1300" t="n"/>
      <c r="K1" s="1300" t="n"/>
      <c r="L1" s="1300" t="n"/>
      <c r="M1" s="1238" t="n"/>
    </row>
    <row r="2">
      <c r="B2" s="1550" t="n"/>
      <c r="I2" s="1278" t="inlineStr">
        <is>
          <t>Change Highlighted fields only</t>
        </is>
      </c>
      <c r="J2" s="1235" t="n"/>
      <c r="K2" s="1235" t="n"/>
      <c r="L2" s="1235" t="n"/>
      <c r="M2" s="1240" t="n"/>
      <c r="Q2" s="366" t="n"/>
      <c r="R2" s="366" t="n"/>
    </row>
    <row r="3" ht="15.75" customHeight="1" s="1439">
      <c r="B3" s="1546" t="inlineStr">
        <is>
          <t xml:space="preserve">COST APPROACH SUMMARY </t>
        </is>
      </c>
      <c r="I3" s="1278" t="inlineStr">
        <is>
          <t>Change highlighted areas to WHITE when complete</t>
        </is>
      </c>
      <c r="J3" s="1235" t="n"/>
      <c r="K3" s="1235" t="n"/>
      <c r="L3" s="1235" t="n"/>
      <c r="M3" s="1240" t="n"/>
      <c r="Q3" s="366" t="n"/>
      <c r="R3" s="112" t="n"/>
    </row>
    <row r="4" ht="15.95" customFormat="1" customHeight="1" s="112">
      <c r="B4" s="367" t="inlineStr">
        <is>
          <t>Replacement Cost New (RCN)</t>
        </is>
      </c>
      <c r="C4" s="368" t="inlineStr">
        <is>
          <t>Area (SF)</t>
        </is>
      </c>
      <c r="D4" s="368" t="inlineStr">
        <is>
          <t>$/SF</t>
        </is>
      </c>
      <c r="E4" s="368" t="n"/>
      <c r="F4" s="1837" t="inlineStr">
        <is>
          <t>Subtotal</t>
        </is>
      </c>
      <c r="G4" s="1837" t="inlineStr">
        <is>
          <t>Total
Cost</t>
        </is>
      </c>
      <c r="I4" s="1278" t="inlineStr">
        <is>
          <t>Check all cells for accuracy after completing</t>
        </is>
      </c>
      <c r="J4" s="1297" t="n"/>
      <c r="K4" s="1297" t="n"/>
      <c r="L4" s="1297" t="n"/>
      <c r="M4" s="1301" t="n"/>
    </row>
    <row r="5" customFormat="1" s="366">
      <c r="B5" s="374" t="inlineStr">
        <is>
          <t>Building Improvements</t>
        </is>
      </c>
      <c r="C5" s="375" t="n"/>
      <c r="D5" s="375" t="n"/>
      <c r="E5" s="375" t="n"/>
      <c r="F5" s="1838" t="n"/>
      <c r="G5" s="1838" t="n"/>
      <c r="I5" s="1278" t="inlineStr">
        <is>
          <t>Remember to spell check every worksheet as you go.</t>
        </is>
      </c>
      <c r="J5" s="1298" t="n"/>
      <c r="K5" s="1298" t="n"/>
      <c r="L5" s="1298" t="n"/>
      <c r="M5" s="1302" t="n"/>
      <c r="Q5" s="112" t="n"/>
      <c r="R5" s="112" t="n"/>
    </row>
    <row r="6" ht="12.75" customFormat="1" customHeight="1" s="366">
      <c r="B6" s="377" t="inlineStr">
        <is>
          <t>Base Cost</t>
        </is>
      </c>
      <c r="C6" s="378">
        <f>'Property Info'!B4</f>
        <v/>
      </c>
      <c r="D6" s="1839">
        <f>'M&amp;S Inputs'!C14</f>
        <v/>
      </c>
      <c r="E6" s="1840" t="n"/>
      <c r="F6" s="1838">
        <f>C6*D6</f>
        <v/>
      </c>
      <c r="G6" s="1838" t="n"/>
      <c r="I6" s="1303" t="inlineStr">
        <is>
          <t xml:space="preserve">LAND VALUE IS SET TO VALUE CONCLUDED IN THE LAND SALES WORKSHEET. </t>
        </is>
      </c>
      <c r="J6" s="1298" t="n"/>
      <c r="K6" s="1298" t="n"/>
      <c r="L6" s="1298" t="n"/>
      <c r="M6" s="1302" t="n"/>
      <c r="Q6" s="112" t="n"/>
      <c r="R6" s="112" t="n"/>
    </row>
    <row r="7" ht="12.75" customFormat="1" customHeight="1" s="366">
      <c r="B7" s="377" t="inlineStr">
        <is>
          <t>Sprinklers</t>
        </is>
      </c>
      <c r="C7" s="380">
        <f>C6</f>
        <v/>
      </c>
      <c r="D7" s="1841">
        <f>'M&amp;S Inputs'!C15</f>
        <v/>
      </c>
      <c r="E7" s="1842" t="n"/>
      <c r="F7" s="1843">
        <f>C7*D7</f>
        <v/>
      </c>
      <c r="G7" s="1838" t="n"/>
      <c r="I7" s="1303" t="inlineStr">
        <is>
          <t xml:space="preserve">IF YOU ARE USING LAND VALUE FROM REALWARE, OVERWRITE THAT CELL WITH THE </t>
        </is>
      </c>
      <c r="J7" s="1298" t="n"/>
      <c r="K7" s="1297" t="n"/>
      <c r="L7" s="1297" t="n"/>
      <c r="M7" s="1301" t="n"/>
      <c r="N7" s="112" t="n"/>
      <c r="O7" s="112" t="n"/>
      <c r="P7" s="112" t="n"/>
      <c r="Q7" s="112" t="n"/>
      <c r="R7" s="112" t="n"/>
    </row>
    <row r="8" hidden="1" ht="12.75" customFormat="1" customHeight="1" s="366">
      <c r="B8" s="377" t="n"/>
      <c r="C8" s="380" t="n"/>
      <c r="D8" s="1844" t="n"/>
      <c r="E8" s="1842" t="n"/>
      <c r="F8" s="1843" t="n"/>
      <c r="G8" s="1838" t="n"/>
      <c r="I8" s="1303" t="n"/>
      <c r="J8" s="1297" t="n"/>
      <c r="K8" s="1297" t="n"/>
      <c r="L8" s="1297" t="n"/>
      <c r="M8" s="1301" t="n"/>
      <c r="N8" s="112" t="n"/>
      <c r="O8" s="112" t="n"/>
      <c r="P8" s="112" t="n"/>
      <c r="Q8" s="112" t="n"/>
      <c r="R8" s="112" t="n"/>
    </row>
    <row r="9" hidden="1" ht="12.75" customFormat="1" customHeight="1" s="366">
      <c r="B9" s="377" t="n"/>
      <c r="C9" s="380" t="n"/>
      <c r="D9" s="1844" t="n"/>
      <c r="E9" s="1842" t="n"/>
      <c r="F9" s="1843" t="n"/>
      <c r="G9" s="1838" t="n"/>
      <c r="I9" s="1303" t="n"/>
      <c r="J9" s="1297" t="n"/>
      <c r="K9" s="1297" t="n"/>
      <c r="L9" s="1297" t="n"/>
      <c r="M9" s="1301" t="n"/>
      <c r="N9" s="112" t="n"/>
      <c r="O9" s="112" t="n"/>
      <c r="P9" s="112" t="n"/>
      <c r="Q9" s="112" t="n"/>
      <c r="R9" s="112" t="n"/>
    </row>
    <row r="10" hidden="1" ht="12.75" customFormat="1" customHeight="1" s="366">
      <c r="B10" s="377" t="n"/>
      <c r="C10" s="380" t="n"/>
      <c r="D10" s="1844" t="n"/>
      <c r="E10" s="1842" t="n"/>
      <c r="F10" s="1843" t="n"/>
      <c r="G10" s="1838" t="n"/>
      <c r="I10" s="1303" t="n"/>
      <c r="J10" s="1297" t="n"/>
      <c r="K10" s="1297" t="n"/>
      <c r="L10" s="1297" t="n"/>
      <c r="M10" s="1301" t="n"/>
      <c r="N10" s="112" t="n"/>
      <c r="O10" s="112" t="n"/>
      <c r="P10" s="112" t="n"/>
      <c r="Q10" s="112" t="n"/>
      <c r="R10" s="112" t="n"/>
    </row>
    <row r="11" hidden="1" ht="12.75" customFormat="1" customHeight="1" s="366">
      <c r="B11" s="383" t="n"/>
      <c r="C11" s="380" t="n"/>
      <c r="D11" s="1844" t="n"/>
      <c r="E11" s="1842" t="n"/>
      <c r="F11" s="1843" t="n"/>
      <c r="G11" s="1838" t="n"/>
      <c r="I11" s="1303" t="n"/>
      <c r="J11" s="1297" t="n"/>
      <c r="K11" s="1297" t="n"/>
      <c r="L11" s="1297" t="n"/>
      <c r="M11" s="1301" t="n"/>
      <c r="N11" s="112" t="n"/>
      <c r="O11" s="112" t="n"/>
      <c r="P11" s="112" t="n"/>
      <c r="Q11" s="112" t="n"/>
      <c r="R11" s="112" t="n"/>
    </row>
    <row r="12" hidden="1" ht="12.75" customFormat="1" customHeight="1" s="366">
      <c r="B12" s="383" t="n"/>
      <c r="C12" s="380" t="n"/>
      <c r="D12" s="1844" t="n"/>
      <c r="E12" s="1842" t="n"/>
      <c r="F12" s="1843" t="n"/>
      <c r="G12" s="1838" t="n"/>
      <c r="I12" s="1303" t="n"/>
      <c r="J12" s="1297" t="n"/>
      <c r="K12" s="1297" t="n"/>
      <c r="L12" s="1297" t="n"/>
      <c r="M12" s="1301" t="n"/>
      <c r="N12" s="112" t="n"/>
      <c r="O12" s="112" t="n"/>
      <c r="P12" s="112" t="n"/>
      <c r="R12" s="112" t="n"/>
    </row>
    <row r="13" ht="13.5" customFormat="1" customHeight="1" s="366" thickBot="1">
      <c r="B13" s="377" t="inlineStr">
        <is>
          <t>Subtotal</t>
        </is>
      </c>
      <c r="C13" s="384" t="n"/>
      <c r="D13" s="1844" t="n"/>
      <c r="E13" s="1842" t="n"/>
      <c r="F13" s="1845">
        <f>SUM(F6:F12)</f>
        <v/>
      </c>
      <c r="G13" s="1838" t="n"/>
      <c r="I13" s="1304" t="inlineStr">
        <is>
          <t>APPROPRIATE LAND VALUE.</t>
        </is>
      </c>
      <c r="J13" s="1305" t="n"/>
      <c r="K13" s="1305" t="n"/>
      <c r="L13" s="1305" t="n"/>
      <c r="M13" s="1306" t="n"/>
      <c r="N13" s="112" t="n"/>
      <c r="O13" s="112" t="n"/>
      <c r="P13" s="112" t="n"/>
      <c r="R13" s="112" t="n"/>
    </row>
    <row r="14" ht="12.75" customFormat="1" customHeight="1" s="366">
      <c r="B14" s="374" t="inlineStr">
        <is>
          <t>Multipliers</t>
        </is>
      </c>
      <c r="C14" s="386" t="n"/>
      <c r="D14" s="1844" t="n"/>
      <c r="E14" s="1842" t="n"/>
      <c r="F14" s="1843" t="n"/>
      <c r="G14" s="1838" t="n"/>
      <c r="I14" s="112" t="n"/>
      <c r="J14" s="112" t="n"/>
      <c r="K14" s="112" t="n"/>
      <c r="L14" s="112" t="n"/>
      <c r="M14" s="112" t="n"/>
      <c r="N14" s="112" t="n"/>
      <c r="O14" s="112" t="n"/>
      <c r="P14" s="112" t="n"/>
      <c r="R14" s="112" t="n"/>
    </row>
    <row r="15" ht="12.75" customFormat="1" customHeight="1" s="366">
      <c r="B15" s="377" t="inlineStr">
        <is>
          <t>Current Cost</t>
        </is>
      </c>
      <c r="C15" s="301" t="n"/>
      <c r="D15" s="1846">
        <f>'M&amp;S Inputs'!C18</f>
        <v/>
      </c>
      <c r="E15" s="1847" t="n"/>
      <c r="F15" s="1843" t="n"/>
      <c r="G15" s="1838" t="n"/>
      <c r="J15" s="112" t="n"/>
      <c r="K15" s="112" t="n"/>
      <c r="L15" s="112" t="n"/>
      <c r="M15" s="112" t="n"/>
      <c r="N15" s="112" t="n"/>
      <c r="O15" s="112" t="n"/>
      <c r="P15" s="112" t="n"/>
      <c r="R15" s="112" t="n"/>
    </row>
    <row r="16" ht="12.75" customFormat="1" customHeight="1" s="366">
      <c r="B16" s="377" t="inlineStr">
        <is>
          <t>Local Area</t>
        </is>
      </c>
      <c r="C16" s="301" t="n"/>
      <c r="D16" s="1846">
        <f>'M&amp;S Inputs'!C19</f>
        <v/>
      </c>
      <c r="E16" s="1847" t="n"/>
      <c r="F16" s="1843" t="n"/>
      <c r="G16" s="1838" t="n"/>
      <c r="J16" s="112" t="n"/>
      <c r="K16" s="112" t="n"/>
      <c r="L16" s="112" t="n"/>
      <c r="M16" s="112" t="n"/>
      <c r="N16" s="112" t="n"/>
      <c r="O16" s="112" t="n"/>
      <c r="P16" s="112" t="n"/>
      <c r="R16" s="112" t="n"/>
    </row>
    <row r="17" ht="12.75" customFormat="1" customHeight="1" s="366">
      <c r="B17" s="377" t="inlineStr">
        <is>
          <t>Area Multiplier</t>
        </is>
      </c>
      <c r="C17" s="301" t="n"/>
      <c r="D17" s="1846">
        <f>'M&amp;S Inputs'!C20</f>
        <v/>
      </c>
      <c r="E17" s="1847" t="n"/>
      <c r="F17" s="1843" t="n"/>
      <c r="G17" s="1838" t="n"/>
      <c r="J17" s="112" t="n"/>
      <c r="K17" s="112" t="n"/>
      <c r="L17" s="112" t="n"/>
      <c r="M17" s="112" t="n"/>
      <c r="N17" s="112" t="n"/>
      <c r="O17" s="112" t="n"/>
      <c r="P17" s="112" t="n"/>
      <c r="R17" s="112" t="n"/>
    </row>
    <row r="18" ht="12.75" customFormat="1" customHeight="1" s="366">
      <c r="B18" s="377" t="inlineStr">
        <is>
          <t>Story Height (Assumed 18' Average)</t>
        </is>
      </c>
      <c r="C18" s="301" t="n"/>
      <c r="D18" s="1848">
        <f>'M&amp;S Inputs'!C22</f>
        <v/>
      </c>
      <c r="E18" s="1847" t="n"/>
      <c r="F18" s="1843" t="n"/>
      <c r="G18" s="1838" t="n"/>
      <c r="J18" s="112" t="n"/>
      <c r="K18" s="112" t="n"/>
      <c r="L18" s="112" t="n"/>
      <c r="M18" s="112" t="n"/>
      <c r="N18" s="112" t="n"/>
      <c r="O18" s="112" t="n"/>
      <c r="P18" s="112" t="n"/>
      <c r="R18" s="112" t="n"/>
    </row>
    <row r="19" ht="12.75" customFormat="1" customHeight="1" s="366">
      <c r="B19" s="377" t="inlineStr">
        <is>
          <t>Product of Multipliers</t>
        </is>
      </c>
      <c r="C19" s="301" t="n"/>
      <c r="D19" s="1849" t="n"/>
      <c r="E19" s="1850" t="n"/>
      <c r="F19" s="1851">
        <f>ROUND(PRODUCT(D15:D18),3)</f>
        <v/>
      </c>
      <c r="G19" s="1838" t="n"/>
      <c r="J19" s="112" t="n"/>
      <c r="K19" s="112" t="n"/>
      <c r="L19" s="112" t="n"/>
      <c r="M19" s="112" t="n"/>
      <c r="N19" s="112" t="n"/>
      <c r="O19" s="112" t="n"/>
      <c r="P19" s="112" t="n"/>
      <c r="R19" s="112" t="n"/>
    </row>
    <row r="20" ht="12.75" customFormat="1" customHeight="1" s="366">
      <c r="B20" s="392" t="inlineStr">
        <is>
          <t>Adjusted Base Building Cost</t>
        </is>
      </c>
      <c r="C20" s="386" t="n"/>
      <c r="D20" s="1842" t="n"/>
      <c r="E20" s="1842" t="n"/>
      <c r="F20" s="1845" t="n"/>
      <c r="G20" s="1838">
        <f>F19*F13</f>
        <v/>
      </c>
      <c r="J20" s="112" t="n"/>
      <c r="K20" s="112" t="n"/>
      <c r="L20" s="112" t="n"/>
      <c r="M20" s="112" t="n"/>
      <c r="N20" s="112" t="n"/>
      <c r="O20" s="112" t="n"/>
      <c r="P20" s="112" t="n"/>
    </row>
    <row r="21" ht="12.75" customFormat="1" customHeight="1" s="366">
      <c r="B21" s="374" t="inlineStr">
        <is>
          <t xml:space="preserve">Site Improvements (Component SF Based on Appraiser Measurement) </t>
        </is>
      </c>
      <c r="C21" s="386" t="n"/>
      <c r="D21" s="1842" t="n"/>
      <c r="E21" s="1842" t="n"/>
      <c r="F21" s="1843" t="n"/>
      <c r="G21" s="1838" t="n"/>
      <c r="J21" s="112" t="n"/>
      <c r="K21" s="112" t="n"/>
      <c r="L21" s="112" t="n"/>
      <c r="M21" s="112" t="n"/>
      <c r="N21" s="112" t="n"/>
      <c r="O21" s="112" t="n"/>
      <c r="P21" s="112" t="n"/>
    </row>
    <row r="22" ht="12.75" customFormat="1" customHeight="1" s="366">
      <c r="B22" s="377" t="inlineStr">
        <is>
          <t>Parking/Loading Areas (asphalt)</t>
        </is>
      </c>
      <c r="C22" s="1285" t="n">
        <v>37800</v>
      </c>
      <c r="D22" s="1841">
        <f>'M&amp;S Inputs'!C25</f>
        <v/>
      </c>
      <c r="E22" s="1842" t="n"/>
      <c r="F22" s="1843">
        <f>D22*C22</f>
        <v/>
      </c>
      <c r="G22" s="1838" t="n"/>
      <c r="J22" s="112" t="n"/>
      <c r="K22" s="112" t="n"/>
      <c r="L22" s="112" t="n"/>
      <c r="M22" s="112" t="n"/>
      <c r="N22" s="112" t="n"/>
      <c r="O22" s="112" t="n"/>
      <c r="P22" s="112" t="n"/>
    </row>
    <row r="23" ht="12.75" customFormat="1" customHeight="1" s="366">
      <c r="B23" s="377" t="inlineStr">
        <is>
          <t>Striping (Per Space)</t>
        </is>
      </c>
      <c r="C23" s="1285" t="n">
        <v>71</v>
      </c>
      <c r="D23" s="1841">
        <f>'M&amp;S Inputs'!C27</f>
        <v/>
      </c>
      <c r="E23" s="1842" t="n"/>
      <c r="F23" s="1843">
        <f>D23*C23</f>
        <v/>
      </c>
      <c r="G23" s="1838" t="n"/>
      <c r="J23" s="112" t="n"/>
      <c r="K23" s="112" t="n"/>
      <c r="L23" s="112" t="n"/>
      <c r="M23" s="112" t="n"/>
      <c r="N23" s="112" t="n"/>
      <c r="O23" s="112" t="n"/>
      <c r="P23" s="112" t="n"/>
    </row>
    <row r="24" ht="12.75" customFormat="1" customHeight="1" s="366">
      <c r="B24" s="377" t="inlineStr">
        <is>
          <t>Paving (concrete)</t>
        </is>
      </c>
      <c r="C24" s="1285">
        <f>3564.94+334.9+942.42+495</f>
        <v/>
      </c>
      <c r="D24" s="1841">
        <f>'M&amp;S Inputs'!C26</f>
        <v/>
      </c>
      <c r="E24" s="1842" t="n"/>
      <c r="F24" s="1843">
        <f>D24*C24</f>
        <v/>
      </c>
      <c r="G24" s="1838" t="n"/>
    </row>
    <row r="25" hidden="1" ht="17.25" customFormat="1" customHeight="1" s="366">
      <c r="B25" s="383" t="inlineStr">
        <is>
          <t>Other1</t>
        </is>
      </c>
      <c r="C25" s="1285" t="n"/>
      <c r="D25" s="1844" t="n"/>
      <c r="E25" s="1842" t="n"/>
      <c r="F25" s="1843">
        <f>D25*C25</f>
        <v/>
      </c>
      <c r="G25" s="1838" t="n"/>
    </row>
    <row r="26" hidden="1" ht="12.75" customFormat="1" customHeight="1" s="366">
      <c r="B26" s="383" t="inlineStr">
        <is>
          <t>Other2</t>
        </is>
      </c>
      <c r="C26" s="1286" t="n"/>
      <c r="D26" s="1844" t="n"/>
      <c r="E26" s="1842" t="n"/>
      <c r="F26" s="1843">
        <f>D26*C26</f>
        <v/>
      </c>
      <c r="G26" s="1838" t="n"/>
    </row>
    <row r="27" ht="12.75" customFormat="1" customHeight="1" s="366">
      <c r="B27" s="377" t="inlineStr">
        <is>
          <t>Landscaping, Lighting, Other Site Improvements</t>
        </is>
      </c>
      <c r="C27" s="1286">
        <f>27877.68+472.99</f>
        <v/>
      </c>
      <c r="D27" s="1841">
        <f>'M&amp;S Inputs'!C28</f>
        <v/>
      </c>
      <c r="E27" s="236" t="n"/>
      <c r="F27" s="1852">
        <f>D27*C27</f>
        <v/>
      </c>
      <c r="G27" s="1838" t="n"/>
    </row>
    <row r="28" ht="12.75" customFormat="1" customHeight="1" s="366">
      <c r="B28" s="392" t="inlineStr">
        <is>
          <t>Total Site Improvements</t>
        </is>
      </c>
      <c r="C28" s="386" t="n"/>
      <c r="D28" s="236" t="n"/>
      <c r="E28" s="236" t="n"/>
      <c r="F28" s="394" t="n"/>
      <c r="G28" s="1853">
        <f>SUM(F22:F27)</f>
        <v/>
      </c>
    </row>
    <row r="29" ht="12.75" customFormat="1" customHeight="1" s="366">
      <c r="B29" s="392" t="inlineStr">
        <is>
          <t>Total Construction Costs</t>
        </is>
      </c>
      <c r="C29" s="386" t="n"/>
      <c r="D29" s="236" t="n"/>
      <c r="E29" s="236" t="n"/>
      <c r="F29" s="301" t="n"/>
      <c r="G29" s="1838">
        <f>SUM(G20:G28)</f>
        <v/>
      </c>
      <c r="I29" s="1854" t="n"/>
    </row>
    <row r="30" ht="12.75" customFormat="1" customHeight="1" s="366">
      <c r="B30" s="377" t="inlineStr">
        <is>
          <t>Plus Other Indirect Costs (% of Direct Costs)</t>
        </is>
      </c>
      <c r="C30" s="1855">
        <f>'M&amp;S Inputs'!C31</f>
        <v/>
      </c>
      <c r="D30" s="1856" t="n"/>
      <c r="E30" s="1856" t="n"/>
      <c r="F30" s="301" t="n"/>
      <c r="G30" s="1853">
        <f>G29*(C30)</f>
        <v/>
      </c>
    </row>
    <row r="31" ht="12.75" customFormat="1" customHeight="1" s="366">
      <c r="B31" s="392" t="inlineStr">
        <is>
          <t>Subtotal Replacement Cost New (RCN)</t>
        </is>
      </c>
      <c r="C31" s="396" t="n"/>
      <c r="D31" s="386" t="n"/>
      <c r="E31" s="386" t="n"/>
      <c r="F31" s="1843" t="n"/>
      <c r="G31" s="1857">
        <f>SUM(G29:G30)</f>
        <v/>
      </c>
    </row>
    <row r="32" ht="12.75" customFormat="1" customHeight="1" s="366">
      <c r="B32" s="377" t="inlineStr">
        <is>
          <t>Plus Entrepreneurial Profit (% of RCN)</t>
        </is>
      </c>
      <c r="C32" s="1855">
        <f>'M&amp;S Inputs'!C32</f>
        <v/>
      </c>
      <c r="D32" s="1856" t="n"/>
      <c r="E32" s="1856" t="n"/>
      <c r="F32" s="236" t="n"/>
      <c r="G32" s="1858">
        <f>G31*C32</f>
        <v/>
      </c>
    </row>
    <row r="33" ht="12.75" customFormat="1" customHeight="1" s="366">
      <c r="B33" s="392" t="inlineStr">
        <is>
          <t>Total Replacement Cost New (RCN)</t>
        </is>
      </c>
      <c r="C33" s="375" t="n"/>
      <c r="D33" s="375" t="n"/>
      <c r="E33" s="375" t="n"/>
      <c r="F33" s="1838" t="n"/>
      <c r="G33" s="1857">
        <f>SUM(G31:G32)</f>
        <v/>
      </c>
      <c r="I33" s="1859" t="n"/>
    </row>
    <row r="34" ht="12.75" customFormat="1" customHeight="1" s="366">
      <c r="B34" s="377" t="inlineStr">
        <is>
          <t>per square foot of gross building area</t>
        </is>
      </c>
      <c r="C34" s="386" t="n"/>
      <c r="D34" s="386" t="n"/>
      <c r="E34" s="386" t="n"/>
      <c r="F34" s="1843" t="n"/>
      <c r="G34" s="1842">
        <f>caRCN/10000</f>
        <v/>
      </c>
    </row>
    <row r="35" ht="11.25" customFormat="1" customHeight="1" s="366">
      <c r="B35" s="400" t="n"/>
      <c r="C35" s="386" t="n"/>
      <c r="D35" s="386" t="n"/>
      <c r="E35" s="386" t="n"/>
      <c r="F35" s="1843" t="n"/>
      <c r="G35" s="1843" t="n"/>
    </row>
    <row r="36" ht="12.75" customFormat="1" customHeight="1" s="366">
      <c r="B36" s="400" t="inlineStr">
        <is>
          <t>Less Accrued Depreciation</t>
        </is>
      </c>
      <c r="C36" s="386" t="n"/>
      <c r="D36" s="386" t="n"/>
      <c r="E36" s="386" t="n"/>
      <c r="F36" s="1843" t="n"/>
      <c r="G36" s="1843" t="n"/>
    </row>
    <row r="37" ht="12.75" customFormat="1" customHeight="1" s="366">
      <c r="B37" s="392" t="inlineStr">
        <is>
          <t>Physical</t>
        </is>
      </c>
      <c r="C37" s="475" t="n"/>
      <c r="D37" s="475" t="n"/>
      <c r="E37" s="475" t="n"/>
      <c r="F37" s="301" t="n"/>
      <c r="G37" s="1843" t="n"/>
    </row>
    <row r="38" ht="12.75" customFormat="1" customHeight="1" s="366">
      <c r="B38" s="401" t="inlineStr">
        <is>
          <t>Curable (Deferred Maintenance)</t>
        </is>
      </c>
      <c r="C38" s="475" t="n"/>
      <c r="D38" s="475" t="n"/>
      <c r="E38" s="475" t="n"/>
      <c r="F38" s="1860">
        <f>'M&amp;S Inputs'!C35</f>
        <v/>
      </c>
      <c r="G38" s="1843" t="n"/>
      <c r="Q38" s="371" t="n"/>
      <c r="R38" s="371" t="n"/>
    </row>
    <row r="39" ht="12.75" customFormat="1" customHeight="1" s="366">
      <c r="B39" s="401" t="inlineStr">
        <is>
          <t>Incurable</t>
        </is>
      </c>
      <c r="C39" s="475" t="n"/>
      <c r="D39" s="475" t="n"/>
      <c r="E39" s="475" t="n"/>
      <c r="F39" s="301" t="n"/>
      <c r="G39" s="1843" t="n"/>
      <c r="Q39" s="1553" t="n"/>
      <c r="R39" s="1553" t="n"/>
      <c r="U39" s="366" t="n">
        <v>251225</v>
      </c>
    </row>
    <row r="40" ht="12.75" customFormat="1" customHeight="1" s="366">
      <c r="B40" s="403" t="inlineStr">
        <is>
          <t>Effective Age (Years)</t>
        </is>
      </c>
      <c r="C40" s="1861">
        <f>Improvements!C98</f>
        <v/>
      </c>
      <c r="D40" s="1843" t="n"/>
      <c r="E40" s="1843" t="n"/>
      <c r="F40" s="1843" t="n"/>
      <c r="G40" s="1843" t="n"/>
      <c r="Q40" s="1553" t="n"/>
      <c r="R40" s="1553" t="n"/>
      <c r="U40" s="366" t="n">
        <v>5000</v>
      </c>
    </row>
    <row r="41" ht="12.75" customFormat="1" customHeight="1" s="366">
      <c r="B41" s="403" t="inlineStr">
        <is>
          <t>Economic Life</t>
        </is>
      </c>
      <c r="C41" s="1862">
        <f>Improvements!C97</f>
        <v/>
      </c>
      <c r="D41" s="301" t="n"/>
      <c r="E41" s="301" t="n"/>
      <c r="F41" s="1843" t="n"/>
      <c r="G41" s="1843" t="n"/>
      <c r="Q41" s="1550" t="n"/>
      <c r="R41" s="1550" t="n"/>
      <c r="U41" s="366" t="n">
        <v>138125</v>
      </c>
    </row>
    <row r="42" ht="12.75" customFormat="1" customHeight="1" s="366">
      <c r="B42" s="403" t="inlineStr">
        <is>
          <t>Total Incurable Physical Depreciation</t>
        </is>
      </c>
      <c r="C42" s="1863">
        <f>C40/C41</f>
        <v/>
      </c>
      <c r="D42" s="1843" t="n"/>
      <c r="E42" s="1843" t="n"/>
      <c r="F42" s="1843">
        <f>G33*C42</f>
        <v/>
      </c>
      <c r="G42" s="1843" t="n"/>
      <c r="Q42" s="1550" t="n"/>
      <c r="R42" s="1550" t="n"/>
      <c r="U42" s="366" t="n">
        <v>198000</v>
      </c>
    </row>
    <row r="43" ht="12.75" customFormat="1" customHeight="1" s="366">
      <c r="B43" s="392" t="inlineStr">
        <is>
          <t>Functional Obsolescence</t>
        </is>
      </c>
      <c r="C43" s="1855">
        <f>'M&amp;S Inputs'!C36</f>
        <v/>
      </c>
      <c r="D43" s="475" t="n"/>
      <c r="E43" s="475" t="n"/>
      <c r="F43" s="1843">
        <f>C43*caRCN</f>
        <v/>
      </c>
      <c r="G43" s="1843" t="n"/>
      <c r="Q43" s="1550" t="n"/>
      <c r="R43" s="1550" t="n"/>
      <c r="U43" s="366">
        <f>SUM(U39:U42)</f>
        <v/>
      </c>
    </row>
    <row r="44" ht="12.75" customFormat="1" customHeight="1" s="366">
      <c r="B44" s="392" t="inlineStr">
        <is>
          <t>External Obsolescence</t>
        </is>
      </c>
      <c r="C44" s="1864">
        <f>'M&amp;S Inputs'!C37</f>
        <v/>
      </c>
      <c r="D44" s="475" t="n"/>
      <c r="E44" s="475" t="n"/>
      <c r="F44" s="1865">
        <f>C44*caRCN</f>
        <v/>
      </c>
      <c r="G44" s="1843" t="n"/>
      <c r="Q44" s="1550" t="n"/>
      <c r="R44" s="1550" t="n"/>
    </row>
    <row r="45" ht="12.75" customFormat="1" customHeight="1" s="366">
      <c r="B45" s="392" t="inlineStr">
        <is>
          <t>Total</t>
        </is>
      </c>
      <c r="C45" s="1866">
        <f>G45/caRCN</f>
        <v/>
      </c>
      <c r="D45" s="475" t="n"/>
      <c r="E45" s="475" t="n"/>
      <c r="F45" s="301" t="n"/>
      <c r="G45" s="1867">
        <f>SUM(F38:F44)</f>
        <v/>
      </c>
      <c r="Q45" s="1550" t="n"/>
      <c r="R45" s="1550" t="n"/>
    </row>
    <row r="46" ht="12.75" customFormat="1" customHeight="1" s="366">
      <c r="B46" s="400" t="inlineStr">
        <is>
          <t>Depreciated Value of the Improvements</t>
        </is>
      </c>
      <c r="C46" s="386" t="n"/>
      <c r="D46" s="386" t="n"/>
      <c r="E46" s="386" t="n"/>
      <c r="F46" s="1843" t="n"/>
      <c r="G46" s="1868">
        <f>G33-G45</f>
        <v/>
      </c>
      <c r="Q46" s="1550" t="n"/>
      <c r="R46" s="1550" t="n"/>
    </row>
    <row r="47" ht="12.75" customFormat="1" customHeight="1" s="366">
      <c r="B47" s="377" t="inlineStr">
        <is>
          <t>per square foot of gross building area</t>
        </is>
      </c>
      <c r="C47" s="475" t="n"/>
      <c r="D47" s="475" t="n"/>
      <c r="E47" s="475" t="n"/>
      <c r="F47" s="1868" t="n"/>
      <c r="G47" s="1842">
        <f>caRCNDeprec/10000</f>
        <v/>
      </c>
      <c r="Q47" s="1550" t="n"/>
      <c r="R47" s="1550" t="n"/>
    </row>
    <row r="48" ht="3.95" customFormat="1" customHeight="1" s="366">
      <c r="B48" s="374" t="n"/>
      <c r="C48" s="475" t="n"/>
      <c r="D48" s="475" t="n"/>
      <c r="E48" s="475" t="n"/>
      <c r="F48" s="1868" t="n"/>
      <c r="G48" s="1843" t="n"/>
      <c r="Q48" s="1550" t="n"/>
      <c r="R48" s="1550" t="n"/>
    </row>
    <row r="49" ht="12.75" customFormat="1" customHeight="1" s="366">
      <c r="B49" s="400" t="inlineStr">
        <is>
          <t>Plus Land Value</t>
        </is>
      </c>
      <c r="C49" s="486" t="n"/>
      <c r="D49" s="475" t="n"/>
      <c r="E49" s="475" t="n"/>
      <c r="F49" s="1868" t="n"/>
      <c r="G49" s="1867">
        <f>'Land Sales'!C65</f>
        <v/>
      </c>
      <c r="Q49" s="1550" t="n"/>
      <c r="R49" s="1550" t="n"/>
    </row>
    <row r="50" ht="3.95" customFormat="1" customHeight="1" s="366">
      <c r="B50" s="400" t="n"/>
      <c r="C50" s="375" t="n"/>
      <c r="D50" s="375" t="n"/>
      <c r="E50" s="375" t="n"/>
      <c r="F50" s="1838" t="n"/>
      <c r="G50" s="1838" t="n"/>
      <c r="Q50" s="1550" t="n"/>
      <c r="R50" s="1550" t="n"/>
    </row>
    <row r="51" ht="12.75" customFormat="1" customHeight="1" s="366">
      <c r="B51" s="400" t="inlineStr">
        <is>
          <t>Indicated Value by Cost Approach</t>
        </is>
      </c>
      <c r="C51" s="375" t="n"/>
      <c r="D51" s="375" t="n"/>
      <c r="E51" s="375" t="n"/>
      <c r="F51" s="1838" t="n"/>
      <c r="G51" s="1857">
        <f>G46+G49</f>
        <v/>
      </c>
      <c r="Q51" s="1550" t="n"/>
      <c r="R51" s="1550" t="n"/>
    </row>
    <row r="52" ht="12.75" customFormat="1" customHeight="1" s="366">
      <c r="B52" s="1869" t="n">
        <v>5000</v>
      </c>
      <c r="C52" s="406" t="n"/>
      <c r="D52" s="359" t="n"/>
      <c r="E52" s="359" t="n"/>
      <c r="F52" s="1838" t="n"/>
      <c r="G52" s="1870">
        <f>ROUND((G51/B52),0)*B52</f>
        <v/>
      </c>
      <c r="Q52" s="1550" t="n"/>
      <c r="R52" s="1550" t="n"/>
    </row>
    <row r="53" ht="12.75" customFormat="1" customHeight="1" s="366">
      <c r="B53" s="408" t="inlineStr">
        <is>
          <t>per square foot of gross building area</t>
        </is>
      </c>
      <c r="C53" s="375" t="n"/>
      <c r="D53" s="359" t="n"/>
      <c r="E53" s="359" t="n"/>
      <c r="F53" s="1838" t="n"/>
      <c r="G53" s="1871">
        <f>G52/C6</f>
        <v/>
      </c>
      <c r="Q53" s="1550" t="n"/>
      <c r="R53" s="1550" t="n"/>
    </row>
    <row r="54" ht="5.25" customFormat="1" customHeight="1" s="366">
      <c r="B54" s="408" t="n"/>
      <c r="C54" s="375" t="n"/>
      <c r="D54" s="359" t="n"/>
      <c r="E54" s="359" t="n"/>
      <c r="F54" s="1838" t="n"/>
      <c r="G54" s="1872" t="n"/>
      <c r="Q54" s="1550" t="n"/>
      <c r="R54" s="1550" t="n"/>
    </row>
    <row r="55" ht="12" customFormat="1" customHeight="1" s="1553">
      <c r="B55" s="1427" t="inlineStr">
        <is>
          <t>MVS June 2024 Ed.</t>
        </is>
      </c>
      <c r="C55" s="1428">
        <f>"Occ. 406 Storage Warehouse | "&amp;'M&amp;S Inputs'!C4&amp;" | "&amp;'M&amp;S Inputs'!C5</f>
        <v/>
      </c>
      <c r="D55" s="1428">
        <f>"Class: "&amp;'M&amp;S Inputs'!C6&amp;" / "&amp;'M&amp;S Inputs'!C7</f>
        <v/>
      </c>
      <c r="E55" s="1287" t="n"/>
      <c r="F55" s="1873" t="n"/>
      <c r="G55" s="1873" t="n"/>
      <c r="Q55" s="1549" t="n"/>
    </row>
    <row r="56" ht="12.75" customFormat="1" customHeight="1" s="1553">
      <c r="B56" s="1429" t="inlineStr">
        <is>
          <t>Colorado -- EASTERN region</t>
        </is>
      </c>
      <c r="C56" s="1430">
        <f>"CCM: "&amp;TEXT('M&amp;S Inputs'!C18,"0.000")&amp;" | LAM: "&amp;TEXT('M&amp;S Inputs'!C19,"0.000")</f>
        <v/>
      </c>
      <c r="D56" s="1431" t="inlineStr">
        <is>
          <t>Sec.99 p.3 and p.7 (Jan 2025 update)</t>
        </is>
      </c>
      <c r="E56" s="1289" t="n"/>
      <c r="F56" s="1874" t="n"/>
      <c r="G56" s="1875" t="n"/>
      <c r="Q56" s="1309" t="n"/>
      <c r="R56" s="1309" t="n"/>
      <c r="S56" s="1309" t="n"/>
    </row>
    <row r="57">
      <c r="B57" s="1292" t="n"/>
      <c r="C57" s="1432">
        <f>"Story Ht Mult: "&amp;TEXT('M&amp;S Inputs'!C22,"0.000")&amp;" | Area Mult: "&amp;TEXT('M&amp;S Inputs'!C20,"0.000")</f>
        <v/>
      </c>
      <c r="D57" s="1293" t="n"/>
      <c r="E57" s="1294" t="n"/>
      <c r="F57" s="1876" t="n"/>
      <c r="G57" s="1876" t="n"/>
      <c r="R57" s="1877" t="n"/>
    </row>
    <row r="58">
      <c r="B58" s="411" t="n"/>
      <c r="C58" s="412" t="n"/>
      <c r="D58" s="412" t="n"/>
      <c r="E58" s="412" t="n"/>
      <c r="F58" s="1878" t="n"/>
      <c r="G58" s="1878" t="n"/>
      <c r="Q58" s="1553" t="n"/>
      <c r="R58" s="1879" t="n"/>
      <c r="S58" s="1880" t="n"/>
    </row>
    <row r="59" ht="17.25" customHeight="1" s="1439">
      <c r="B59" s="362" t="n"/>
      <c r="C59" s="414" t="n"/>
      <c r="D59" s="415" t="n"/>
      <c r="E59" s="415" t="n"/>
      <c r="F59" s="1881" t="n"/>
      <c r="G59" s="1881" t="n"/>
      <c r="K59" s="1549" t="n"/>
      <c r="P59" s="1549" t="n"/>
      <c r="Q59" s="1553" t="n"/>
      <c r="R59" s="1879" t="n"/>
      <c r="S59" s="1880" t="n"/>
    </row>
    <row r="60">
      <c r="B60" s="417" t="n"/>
      <c r="C60" s="1882" t="n"/>
      <c r="D60" s="415" t="n"/>
      <c r="E60" s="415" t="n"/>
      <c r="F60" s="1881" t="n"/>
      <c r="G60" s="1881" t="n"/>
      <c r="K60" s="1312" t="n"/>
      <c r="L60" s="1313" t="n"/>
      <c r="M60" s="1313" t="n"/>
      <c r="N60" s="1313" t="n"/>
      <c r="O60" s="1313" t="n"/>
      <c r="P60" s="1313" t="n"/>
      <c r="Q60" s="1553" t="n"/>
      <c r="R60" s="1879" t="n"/>
      <c r="S60" s="1880" t="n"/>
    </row>
    <row r="61">
      <c r="B61" s="419" t="n"/>
      <c r="C61" s="415" t="n"/>
      <c r="D61" s="415" t="n"/>
      <c r="E61" s="415" t="n"/>
      <c r="F61" s="1881" t="n"/>
      <c r="G61" s="1881" t="n"/>
      <c r="K61" s="1312" t="n"/>
      <c r="L61" s="1314" t="n"/>
      <c r="M61" s="1313" t="n"/>
      <c r="N61" s="1313" t="n"/>
      <c r="O61" s="1313" t="n"/>
      <c r="P61" s="1313" t="n"/>
      <c r="Q61" s="1553" t="n"/>
      <c r="R61" s="1879" t="n"/>
      <c r="S61" s="1880" t="n"/>
    </row>
    <row r="62">
      <c r="B62" s="419" t="n"/>
      <c r="C62" s="415" t="n"/>
      <c r="D62" s="415" t="n"/>
      <c r="E62" s="415" t="n"/>
      <c r="F62" s="1881" t="n"/>
      <c r="G62" s="1881" t="n"/>
      <c r="K62" s="1312" t="n"/>
      <c r="L62" s="1314" t="n"/>
      <c r="M62" s="1313" t="n"/>
      <c r="N62" s="1313" t="n"/>
      <c r="O62" s="1313" t="n"/>
      <c r="P62" s="1313" t="n"/>
      <c r="Q62" s="3" t="n"/>
      <c r="R62" s="1883" t="n"/>
      <c r="S62" s="1884" t="n"/>
    </row>
    <row r="63">
      <c r="B63" s="419" t="n"/>
      <c r="C63" s="415" t="n"/>
      <c r="D63" s="415" t="n"/>
      <c r="E63" s="415" t="n"/>
      <c r="F63" s="1881" t="n"/>
      <c r="G63" s="1881" t="n"/>
      <c r="K63" s="1316" t="n"/>
      <c r="L63" s="1314" t="n"/>
      <c r="M63" s="1314" t="n"/>
      <c r="N63" s="1314" t="n"/>
      <c r="O63" s="1314" t="n"/>
      <c r="P63" s="1314" t="n"/>
    </row>
    <row r="64">
      <c r="B64" s="419" t="n"/>
      <c r="C64" s="415" t="n"/>
      <c r="D64" s="415" t="n"/>
      <c r="E64" s="415" t="n"/>
      <c r="F64" s="1881" t="n"/>
      <c r="G64" s="1881" t="n"/>
      <c r="K64" s="1316" t="n"/>
      <c r="L64" s="1885" t="n"/>
      <c r="M64" s="1885" t="n"/>
      <c r="N64" s="1885" t="n"/>
      <c r="O64" s="1885" t="n"/>
      <c r="P64" s="1885" t="n"/>
    </row>
    <row r="65">
      <c r="B65" s="419" t="n"/>
      <c r="C65" s="415" t="n"/>
      <c r="D65" s="415" t="n"/>
      <c r="E65" s="415" t="n"/>
      <c r="F65" s="1881" t="n"/>
      <c r="G65" s="1881" t="n"/>
    </row>
    <row r="66" hidden="1" s="1439">
      <c r="B66" s="1551" t="inlineStr">
        <is>
          <t>COST APPROACH SUMMARY - MVS</t>
        </is>
      </c>
    </row>
    <row r="67" hidden="1" s="1439">
      <c r="B67" s="367" t="inlineStr">
        <is>
          <t>Replacement Cost New (RCN)</t>
        </is>
      </c>
      <c r="C67" s="368" t="inlineStr">
        <is>
          <t>Area (SF)</t>
        </is>
      </c>
      <c r="D67" s="368" t="inlineStr">
        <is>
          <t>$/SF</t>
        </is>
      </c>
      <c r="E67" s="368" t="n"/>
      <c r="F67" s="1837" t="inlineStr">
        <is>
          <t>Subtotal</t>
        </is>
      </c>
      <c r="G67" s="1837" t="inlineStr">
        <is>
          <t>Total
Cost</t>
        </is>
      </c>
      <c r="H67" s="362" t="n"/>
      <c r="I67" s="362" t="n"/>
    </row>
    <row r="68" hidden="1" s="1439">
      <c r="B68" s="374" t="inlineStr">
        <is>
          <t>Building Improvements</t>
        </is>
      </c>
      <c r="C68" s="375" t="n"/>
      <c r="D68" s="375" t="n"/>
      <c r="E68" s="375" t="n"/>
      <c r="F68" s="1838" t="n"/>
      <c r="G68" s="1838" t="n"/>
      <c r="H68" s="362" t="n"/>
      <c r="I68" s="362" t="n"/>
    </row>
    <row r="69" hidden="1" s="1439">
      <c r="B69" s="377" t="inlineStr">
        <is>
          <t>Base Cost</t>
        </is>
      </c>
      <c r="C69" s="378">
        <f>'Property Info'!B4</f>
        <v/>
      </c>
      <c r="D69" s="1840" t="n">
        <v>69</v>
      </c>
      <c r="E69" s="1840" t="n"/>
      <c r="F69" s="1838">
        <f>C69*D69</f>
        <v/>
      </c>
      <c r="G69" s="1838" t="n"/>
      <c r="H69" s="362" t="n"/>
      <c r="I69" s="362" t="n"/>
    </row>
    <row r="70" hidden="1" s="1439">
      <c r="B70" s="377" t="inlineStr">
        <is>
          <t>Sprinklers</t>
        </is>
      </c>
      <c r="C70" s="380">
        <f>'Property Info'!B4</f>
        <v/>
      </c>
      <c r="D70" s="1842" t="n">
        <v>4.5</v>
      </c>
      <c r="E70" s="1842" t="n"/>
      <c r="F70" s="1843">
        <f>D70*C70</f>
        <v/>
      </c>
      <c r="G70" s="1838" t="n"/>
      <c r="H70" s="362" t="n"/>
      <c r="I70" s="362" t="n"/>
    </row>
    <row r="71" hidden="1" ht="15" customHeight="1" s="1439">
      <c r="B71" s="377" t="n"/>
      <c r="C71" s="380" t="n"/>
      <c r="D71" s="1842" t="n"/>
      <c r="E71" s="1842" t="n"/>
      <c r="F71" s="1843" t="n"/>
      <c r="G71" s="1838" t="n"/>
      <c r="H71" s="362" t="n"/>
      <c r="I71" s="362" t="n"/>
    </row>
    <row r="72" hidden="1" ht="15" customHeight="1" s="1439">
      <c r="B72" s="377" t="n"/>
      <c r="C72" s="380" t="n"/>
      <c r="D72" s="1842" t="n"/>
      <c r="E72" s="1842" t="n"/>
      <c r="F72" s="1843" t="n"/>
      <c r="G72" s="1838" t="n"/>
      <c r="H72" s="362" t="n"/>
      <c r="I72" s="362" t="n"/>
    </row>
    <row r="73" hidden="1" ht="15" customHeight="1" s="1439">
      <c r="B73" s="377" t="n"/>
      <c r="C73" s="380" t="n"/>
      <c r="D73" s="1842" t="n"/>
      <c r="E73" s="1842" t="n"/>
      <c r="F73" s="1843" t="n"/>
      <c r="G73" s="1838" t="n"/>
      <c r="H73" s="362" t="n"/>
      <c r="I73" s="362" t="n"/>
    </row>
    <row r="74" hidden="1" ht="15" customHeight="1" s="1439">
      <c r="B74" s="383" t="n"/>
      <c r="C74" s="380" t="n"/>
      <c r="D74" s="1842" t="n"/>
      <c r="E74" s="1842" t="n"/>
      <c r="F74" s="1843" t="n"/>
      <c r="G74" s="1838" t="n"/>
      <c r="H74" s="362" t="n"/>
      <c r="I74" s="362" t="n"/>
    </row>
    <row r="75" hidden="1" ht="15" customHeight="1" s="1439">
      <c r="B75" s="383" t="n"/>
      <c r="C75" s="380" t="n"/>
      <c r="D75" s="1842" t="n"/>
      <c r="E75" s="1842" t="n"/>
      <c r="F75" s="1843" t="n"/>
      <c r="G75" s="1838" t="n"/>
      <c r="H75" s="362" t="n"/>
      <c r="I75" s="362" t="n"/>
    </row>
    <row r="76" hidden="1" s="1439">
      <c r="B76" s="377" t="inlineStr">
        <is>
          <t>Subtotal</t>
        </is>
      </c>
      <c r="C76" s="384" t="n"/>
      <c r="D76" s="1842" t="n"/>
      <c r="E76" s="1842" t="n"/>
      <c r="F76" s="1845">
        <f>SUM(F69:F75)</f>
        <v/>
      </c>
      <c r="G76" s="1838" t="n"/>
      <c r="H76" s="362" t="n"/>
      <c r="I76" s="362" t="n"/>
    </row>
    <row r="77" hidden="1" s="1439">
      <c r="B77" s="374" t="inlineStr">
        <is>
          <t>Multipliers</t>
        </is>
      </c>
      <c r="C77" s="386" t="n"/>
      <c r="D77" s="1842" t="n"/>
      <c r="E77" s="1842" t="n"/>
      <c r="F77" s="1843" t="n"/>
      <c r="G77" s="1838" t="n"/>
      <c r="H77" s="362" t="n"/>
      <c r="I77" s="362" t="n"/>
    </row>
    <row r="78" hidden="1" s="1439">
      <c r="B78" s="377" t="inlineStr">
        <is>
          <t>Current Cost</t>
        </is>
      </c>
      <c r="C78" s="301" t="n"/>
      <c r="D78" s="1847" t="n">
        <v>1.01</v>
      </c>
      <c r="E78" s="1847" t="n"/>
      <c r="F78" s="1843" t="n"/>
      <c r="G78" s="1838" t="n"/>
      <c r="H78" s="362" t="n"/>
      <c r="I78" s="362" t="n"/>
    </row>
    <row r="79" hidden="1" s="1439">
      <c r="B79" s="377" t="inlineStr">
        <is>
          <t>Local Area</t>
        </is>
      </c>
      <c r="C79" s="301" t="n"/>
      <c r="D79" s="1847" t="n">
        <v>0.96</v>
      </c>
      <c r="E79" s="1847" t="n"/>
      <c r="F79" s="1843" t="n"/>
      <c r="G79" s="1838" t="n"/>
      <c r="H79" s="362" t="n"/>
      <c r="I79" s="362" t="n"/>
    </row>
    <row r="80" hidden="1" s="1439">
      <c r="B80" s="377" t="inlineStr">
        <is>
          <t>Area Multiplier</t>
        </is>
      </c>
      <c r="C80" s="301" t="n"/>
      <c r="D80" s="1847" t="n">
        <v>0.949</v>
      </c>
      <c r="E80" s="1847" t="n"/>
      <c r="F80" s="1843" t="n"/>
      <c r="G80" s="1838" t="n"/>
      <c r="H80" s="362" t="n"/>
      <c r="I80" s="362" t="n"/>
    </row>
    <row r="81" hidden="1" s="1439">
      <c r="B81" s="377" t="inlineStr">
        <is>
          <t>Story Height</t>
        </is>
      </c>
      <c r="C81" s="301" t="n"/>
      <c r="D81" s="1886" t="n">
        <v>1</v>
      </c>
      <c r="E81" s="1847" t="n"/>
      <c r="F81" s="1843" t="n"/>
      <c r="G81" s="1838" t="n"/>
      <c r="H81" s="362" t="n"/>
      <c r="I81" s="362" t="n"/>
    </row>
    <row r="82" hidden="1" s="1439">
      <c r="B82" s="377" t="inlineStr">
        <is>
          <t>Product of Multipliers</t>
        </is>
      </c>
      <c r="C82" s="301" t="n"/>
      <c r="D82" s="1849" t="n"/>
      <c r="E82" s="1850" t="n"/>
      <c r="F82" s="1851">
        <f>ROUND(PRODUCT(D78:D81),3)</f>
        <v/>
      </c>
      <c r="G82" s="1838" t="n"/>
      <c r="H82" s="362" t="n"/>
      <c r="I82" s="362" t="n"/>
    </row>
    <row r="83" hidden="1" s="1439">
      <c r="B83" s="392" t="inlineStr">
        <is>
          <t>Adjusted Base Building Cost</t>
        </is>
      </c>
      <c r="C83" s="386" t="n"/>
      <c r="D83" s="1842" t="n"/>
      <c r="E83" s="1842" t="n"/>
      <c r="F83" s="1845" t="n"/>
      <c r="G83" s="1838">
        <f>F82*F76</f>
        <v/>
      </c>
      <c r="H83" s="362" t="n"/>
      <c r="I83" s="362" t="n"/>
    </row>
    <row r="84" hidden="1" s="1439">
      <c r="B84" s="374" t="inlineStr">
        <is>
          <t>Site Improvements</t>
        </is>
      </c>
      <c r="C84" s="386" t="n"/>
      <c r="D84" s="1842" t="n"/>
      <c r="E84" s="1842" t="n"/>
      <c r="F84" s="1843" t="n"/>
      <c r="G84" s="1838" t="n"/>
      <c r="H84" s="362" t="n"/>
      <c r="I84" s="362" t="n"/>
    </row>
    <row r="85" hidden="1" s="1439">
      <c r="B85" s="377" t="inlineStr">
        <is>
          <t>Paving (asphalt)</t>
        </is>
      </c>
      <c r="C85" s="380" t="n"/>
      <c r="D85" s="1842" t="n"/>
      <c r="E85" s="1842" t="n"/>
      <c r="F85" s="1843" t="n"/>
      <c r="G85" s="1838" t="n"/>
      <c r="H85" s="362" t="n"/>
      <c r="I85" s="362" t="n"/>
    </row>
    <row r="86" hidden="1" s="1439">
      <c r="B86" s="377" t="inlineStr">
        <is>
          <t>Paving (concrete)</t>
        </is>
      </c>
      <c r="C86" s="380" t="n"/>
      <c r="D86" s="1842" t="n"/>
      <c r="E86" s="1842" t="n"/>
      <c r="F86" s="1843" t="n"/>
      <c r="G86" s="1838" t="n"/>
      <c r="H86" s="362" t="n"/>
      <c r="I86" s="362" t="n"/>
    </row>
    <row r="87" hidden="1" s="1439">
      <c r="B87" s="383" t="inlineStr">
        <is>
          <t>Other1</t>
        </is>
      </c>
      <c r="C87" s="380" t="n"/>
      <c r="D87" s="1842" t="n"/>
      <c r="E87" s="1842" t="n"/>
      <c r="F87" s="1843" t="n"/>
      <c r="G87" s="1838" t="n"/>
      <c r="H87" s="362" t="n"/>
      <c r="I87" s="362" t="n"/>
    </row>
    <row r="88" hidden="1" s="1439">
      <c r="B88" s="383" t="inlineStr">
        <is>
          <t>Other2</t>
        </is>
      </c>
      <c r="C88" s="386" t="n"/>
      <c r="D88" s="1842" t="n"/>
      <c r="E88" s="1842" t="n"/>
      <c r="F88" s="1843" t="n"/>
      <c r="G88" s="1838" t="n"/>
      <c r="H88" s="362" t="n"/>
      <c r="I88" s="362" t="n"/>
    </row>
    <row r="89" hidden="1" s="1439">
      <c r="B89" s="377" t="inlineStr">
        <is>
          <t>Landscaping, Lighting, Other Site Improvements</t>
        </is>
      </c>
      <c r="C89" s="386">
        <f>C27</f>
        <v/>
      </c>
      <c r="D89" s="1842" t="n">
        <v>4.5</v>
      </c>
      <c r="E89" s="236" t="n"/>
      <c r="F89" s="1852">
        <f>C89*D89</f>
        <v/>
      </c>
      <c r="G89" s="1838" t="n"/>
      <c r="H89" s="362" t="n"/>
      <c r="I89" s="362" t="n"/>
    </row>
    <row r="90" hidden="1" s="1439">
      <c r="B90" s="392" t="inlineStr">
        <is>
          <t>Total Site Improvements</t>
        </is>
      </c>
      <c r="C90" s="386" t="n"/>
      <c r="D90" s="236" t="n"/>
      <c r="E90" s="236" t="n"/>
      <c r="F90" s="394" t="n"/>
      <c r="G90" s="1853">
        <f>SUM(F85:F89)</f>
        <v/>
      </c>
      <c r="H90" s="362" t="n"/>
      <c r="I90" s="362" t="n"/>
    </row>
    <row r="91" hidden="1" s="1439">
      <c r="B91" s="392" t="inlineStr">
        <is>
          <t>Total Direct Costs</t>
        </is>
      </c>
      <c r="C91" s="386" t="n"/>
      <c r="D91" s="236" t="n"/>
      <c r="E91" s="236" t="n"/>
      <c r="F91" s="301" t="n"/>
      <c r="G91" s="1838">
        <f>SUM(G83:G90)</f>
        <v/>
      </c>
      <c r="H91" s="362" t="n"/>
      <c r="I91" s="362" t="n"/>
    </row>
    <row r="92" hidden="1" s="1439">
      <c r="B92" s="377" t="inlineStr">
        <is>
          <t>Plus Other Indirect Costs (% of Direct Costs)</t>
        </is>
      </c>
      <c r="C92" s="396" t="n">
        <v>0.15</v>
      </c>
      <c r="D92" s="1856" t="n"/>
      <c r="E92" s="1856" t="n"/>
      <c r="F92" s="301" t="n"/>
      <c r="G92" s="1853">
        <f>G91*(C92)</f>
        <v/>
      </c>
      <c r="H92" s="362" t="n"/>
      <c r="I92" s="362" t="n"/>
      <c r="R92" s="1877" t="n"/>
    </row>
    <row r="93" hidden="1" s="1439">
      <c r="B93" s="392" t="inlineStr">
        <is>
          <t>Subtotal Replacement Cost New (RCN)</t>
        </is>
      </c>
      <c r="C93" s="396" t="n"/>
      <c r="D93" s="386" t="n"/>
      <c r="E93" s="386" t="n"/>
      <c r="F93" s="1843" t="n"/>
      <c r="G93" s="1857">
        <f>SUM(G91:G92)</f>
        <v/>
      </c>
      <c r="H93" s="362" t="n"/>
      <c r="I93" s="362" t="n"/>
      <c r="R93" s="1877" t="n"/>
    </row>
    <row r="94" hidden="1" s="1439">
      <c r="B94" s="377" t="inlineStr">
        <is>
          <t>Plus Entrepreneurial Profit (% of RCN)</t>
        </is>
      </c>
      <c r="C94" s="396" t="n">
        <v>0.15</v>
      </c>
      <c r="D94" s="1856" t="n"/>
      <c r="E94" s="1856" t="n"/>
      <c r="F94" s="236" t="n"/>
      <c r="G94" s="1858">
        <f>G93*C94</f>
        <v/>
      </c>
      <c r="H94" s="362" t="n"/>
      <c r="I94" s="362" t="n"/>
      <c r="R94" s="1877" t="n"/>
    </row>
    <row r="95" hidden="1" s="1439">
      <c r="B95" s="392" t="inlineStr">
        <is>
          <t>Total Replacement Cost New (RCN)</t>
        </is>
      </c>
      <c r="C95" s="375" t="n"/>
      <c r="D95" s="375" t="n"/>
      <c r="E95" s="375" t="n"/>
      <c r="F95" s="1838" t="n"/>
      <c r="G95" s="1857">
        <f>SUM(G93:G94)</f>
        <v/>
      </c>
      <c r="H95" s="362" t="n"/>
      <c r="I95" s="362" t="n"/>
      <c r="R95" s="1877" t="n"/>
    </row>
    <row r="96" hidden="1" s="1439">
      <c r="B96" s="377" t="inlineStr">
        <is>
          <t>per square foot of gross building area</t>
        </is>
      </c>
      <c r="C96" s="375" t="n"/>
      <c r="D96" s="375" t="n"/>
      <c r="E96" s="375" t="n"/>
      <c r="F96" s="1838" t="n"/>
      <c r="G96" s="1840">
        <f>G95/C70</f>
        <v/>
      </c>
      <c r="H96" s="362" t="n"/>
      <c r="I96" s="362" t="n"/>
      <c r="R96" s="1877" t="n"/>
    </row>
    <row r="97" hidden="1" s="1439">
      <c r="B97" s="473" t="n"/>
      <c r="C97" s="386" t="n"/>
      <c r="D97" s="386" t="n"/>
      <c r="E97" s="386" t="n"/>
      <c r="F97" s="1843" t="n"/>
      <c r="G97" s="1843" t="n"/>
      <c r="H97" s="362" t="n"/>
      <c r="I97" s="362" t="n"/>
      <c r="R97" s="1877" t="n"/>
    </row>
    <row r="98" hidden="1" s="1439">
      <c r="B98" s="473" t="inlineStr">
        <is>
          <t>Less Accrued Depreciation</t>
        </is>
      </c>
      <c r="C98" s="386" t="n"/>
      <c r="D98" s="386" t="n"/>
      <c r="E98" s="386" t="n"/>
      <c r="F98" s="1843" t="n"/>
      <c r="G98" s="1843" t="n"/>
      <c r="H98" s="362" t="n"/>
      <c r="I98" s="362" t="n"/>
      <c r="R98" s="1877" t="n"/>
    </row>
    <row r="99" hidden="1" s="1439">
      <c r="B99" s="474" t="inlineStr">
        <is>
          <t>Physical</t>
        </is>
      </c>
      <c r="C99" s="475" t="n"/>
      <c r="D99" s="475" t="n"/>
      <c r="E99" s="475" t="n"/>
      <c r="F99" s="301" t="n"/>
      <c r="G99" s="1843" t="n"/>
      <c r="H99" s="362" t="n"/>
      <c r="I99" s="362" t="n"/>
      <c r="R99" s="1877" t="n"/>
    </row>
    <row r="100" hidden="1" s="1439">
      <c r="B100" s="476" t="inlineStr">
        <is>
          <t>Curable (Deferred Maintenance)</t>
        </is>
      </c>
      <c r="C100" s="475" t="n"/>
      <c r="D100" s="475" t="n"/>
      <c r="E100" s="475" t="n"/>
      <c r="F100" s="1843" t="n">
        <v>0</v>
      </c>
      <c r="G100" s="1843" t="n"/>
      <c r="H100" s="362" t="n"/>
      <c r="I100" s="362" t="n"/>
      <c r="R100" s="1877" t="n"/>
    </row>
    <row r="101" hidden="1" s="1439">
      <c r="B101" s="476" t="inlineStr">
        <is>
          <t>Incurable</t>
        </is>
      </c>
      <c r="C101" s="475" t="n"/>
      <c r="D101" s="475" t="n"/>
      <c r="E101" s="475" t="n"/>
      <c r="F101" s="301" t="n"/>
      <c r="G101" s="1843" t="n"/>
      <c r="H101" s="362" t="n"/>
      <c r="I101" s="362" t="n"/>
      <c r="R101" s="1877" t="n"/>
    </row>
    <row r="102" hidden="1" s="1439">
      <c r="B102" s="477" t="inlineStr">
        <is>
          <t>Effective Age (Years)</t>
        </is>
      </c>
      <c r="C102" s="1861" t="n">
        <v>15</v>
      </c>
      <c r="D102" s="1843" t="n"/>
      <c r="E102" s="1843" t="n"/>
      <c r="F102" s="1843" t="n"/>
      <c r="G102" s="1843" t="n"/>
      <c r="H102" s="362" t="n"/>
      <c r="I102" s="362" t="n"/>
      <c r="R102" s="1877" t="n"/>
    </row>
    <row r="103" hidden="1" s="1439">
      <c r="B103" s="477" t="inlineStr">
        <is>
          <t>Economic Life</t>
        </is>
      </c>
      <c r="C103" s="1862" t="n">
        <v>45</v>
      </c>
      <c r="D103" s="301" t="n"/>
      <c r="E103" s="301" t="n"/>
      <c r="F103" s="1843" t="n"/>
      <c r="G103" s="1843" t="n"/>
      <c r="H103" s="362" t="n"/>
      <c r="I103" s="362" t="n"/>
      <c r="R103" s="1877" t="n"/>
    </row>
    <row r="104" hidden="1" s="1439">
      <c r="B104" s="477" t="inlineStr">
        <is>
          <t>Total Incurable Physical Depreciation</t>
        </is>
      </c>
      <c r="C104" s="1863">
        <f>C102/C103</f>
        <v/>
      </c>
      <c r="D104" s="1843" t="n"/>
      <c r="E104" s="1843" t="n"/>
      <c r="F104" s="1843">
        <f>G95*C104</f>
        <v/>
      </c>
      <c r="G104" s="1843" t="n"/>
      <c r="H104" s="362" t="n"/>
      <c r="I104" s="362" t="n"/>
      <c r="R104" s="1877" t="n"/>
    </row>
    <row r="105" hidden="1" s="1439">
      <c r="B105" s="474" t="inlineStr">
        <is>
          <t>Functional Obsolescence</t>
        </is>
      </c>
      <c r="C105" s="1863" t="n">
        <v>0</v>
      </c>
      <c r="D105" s="475" t="n"/>
      <c r="E105" s="475" t="n"/>
      <c r="F105" s="1843">
        <f>C105*caRCN</f>
        <v/>
      </c>
      <c r="G105" s="1843" t="n"/>
      <c r="H105" s="362" t="n"/>
      <c r="I105" s="362" t="n"/>
      <c r="R105" s="1877" t="n"/>
    </row>
    <row r="106" hidden="1" s="1439">
      <c r="B106" s="474" t="inlineStr">
        <is>
          <t>External Obsolescence</t>
        </is>
      </c>
      <c r="C106" s="1887" t="n">
        <v>0</v>
      </c>
      <c r="D106" s="475" t="n"/>
      <c r="E106" s="475" t="n"/>
      <c r="F106" s="1865">
        <f>C106*caRCN</f>
        <v/>
      </c>
      <c r="G106" s="1843" t="n"/>
      <c r="H106" s="362" t="n"/>
      <c r="I106" s="362" t="n"/>
      <c r="R106" s="1877" t="n"/>
    </row>
    <row r="107" hidden="1" s="1439">
      <c r="B107" s="474" t="inlineStr">
        <is>
          <t>Total</t>
        </is>
      </c>
      <c r="C107" s="1866">
        <f>G107/caRCN</f>
        <v/>
      </c>
      <c r="D107" s="475" t="n"/>
      <c r="E107" s="475" t="n"/>
      <c r="F107" s="301" t="n"/>
      <c r="G107" s="1867">
        <f>SUM(F100:F106)</f>
        <v/>
      </c>
      <c r="H107" s="362" t="n"/>
      <c r="I107" s="362" t="n"/>
      <c r="R107" s="1877" t="n"/>
    </row>
    <row r="108" hidden="1" s="1439">
      <c r="B108" s="473" t="inlineStr">
        <is>
          <t>Depreciated Value of the Improvements</t>
        </is>
      </c>
      <c r="C108" s="386" t="n"/>
      <c r="D108" s="386" t="n"/>
      <c r="E108" s="386" t="n"/>
      <c r="F108" s="1843" t="n"/>
      <c r="G108" s="1888">
        <f>G95-G107</f>
        <v/>
      </c>
      <c r="H108" s="362" t="n"/>
      <c r="I108" s="362" t="n"/>
      <c r="R108" s="1877" t="n"/>
    </row>
    <row r="109" hidden="1" s="1439">
      <c r="B109" s="484" t="inlineStr">
        <is>
          <t>per square foot of gross building area</t>
        </is>
      </c>
      <c r="C109" s="475" t="n"/>
      <c r="D109" s="475" t="n"/>
      <c r="E109" s="475" t="n"/>
      <c r="F109" s="1868" t="n"/>
      <c r="G109" s="1842">
        <f>caRCNDeprec/10000</f>
        <v/>
      </c>
      <c r="H109" s="362" t="n"/>
      <c r="I109" s="362" t="n"/>
      <c r="R109" s="1877" t="n"/>
    </row>
    <row r="110" hidden="1" s="1439">
      <c r="B110" s="485" t="n"/>
      <c r="C110" s="475" t="n"/>
      <c r="D110" s="475" t="n"/>
      <c r="E110" s="475" t="n"/>
      <c r="F110" s="1868" t="n"/>
      <c r="G110" s="1843" t="n"/>
      <c r="H110" s="362" t="n"/>
      <c r="I110" s="362" t="n"/>
      <c r="Q110" s="373" t="n"/>
      <c r="R110" s="1889" t="n"/>
    </row>
    <row r="111" hidden="1" s="1439">
      <c r="B111" s="473" t="inlineStr">
        <is>
          <t>Plus Land Procurement Cost</t>
        </is>
      </c>
      <c r="C111" s="486" t="n"/>
      <c r="D111" s="475" t="n"/>
      <c r="E111" s="475" t="n"/>
      <c r="F111" s="1868" t="n"/>
      <c r="G111" s="1867">
        <f>'Land Sales'!C66</f>
        <v/>
      </c>
      <c r="H111" s="362" t="n"/>
      <c r="I111" s="362" t="n"/>
      <c r="Q111" s="373" t="n"/>
      <c r="R111" s="1889" t="n"/>
    </row>
    <row r="112" hidden="1" s="1439">
      <c r="B112" s="473" t="n"/>
      <c r="C112" s="386" t="n"/>
      <c r="D112" s="386" t="n"/>
      <c r="E112" s="386" t="n"/>
      <c r="F112" s="1843" t="n"/>
      <c r="G112" s="1843" t="n"/>
      <c r="H112" s="362" t="n"/>
      <c r="I112" s="362" t="n"/>
      <c r="R112" s="1877" t="n"/>
    </row>
    <row r="113" hidden="1" s="1439">
      <c r="B113" s="473" t="inlineStr">
        <is>
          <t>Indicated Value by Cost Approach</t>
        </is>
      </c>
      <c r="C113" s="386" t="n"/>
      <c r="D113" s="386" t="n"/>
      <c r="E113" s="386" t="n"/>
      <c r="F113" s="1843" t="n"/>
      <c r="G113" s="1868">
        <f>G108+G111</f>
        <v/>
      </c>
      <c r="H113" s="362" t="n"/>
      <c r="I113" s="1890" t="n"/>
      <c r="R113" s="1877" t="n"/>
    </row>
    <row r="114" hidden="1" s="1439">
      <c r="B114" s="1869" t="n">
        <v>5000</v>
      </c>
      <c r="C114" s="487" t="n"/>
      <c r="D114" s="301" t="n"/>
      <c r="E114" s="301" t="n"/>
      <c r="F114" s="1843" t="n"/>
      <c r="G114" s="1891">
        <f>ROUND((G113/B114),0)*B114</f>
        <v/>
      </c>
      <c r="H114" s="362" t="n"/>
      <c r="I114" s="362" t="n"/>
      <c r="R114" s="1877" t="n"/>
    </row>
    <row r="115" hidden="1" s="1439">
      <c r="B115" s="427" t="inlineStr">
        <is>
          <t>per square foot of gross building area</t>
        </is>
      </c>
      <c r="C115" s="428" t="n"/>
      <c r="D115" s="429" t="n"/>
      <c r="E115" s="429" t="n"/>
      <c r="F115" s="1853" t="n"/>
      <c r="G115" s="1892">
        <f>G114/C69</f>
        <v/>
      </c>
      <c r="H115" s="362" t="n"/>
      <c r="I115" s="362" t="n"/>
      <c r="R115" s="1877" t="n"/>
    </row>
    <row r="116" hidden="1" s="1439">
      <c r="B116" s="431" t="inlineStr">
        <is>
          <t>Source: Marshall Valuation Service</t>
        </is>
      </c>
      <c r="C116" s="431" t="inlineStr">
        <is>
          <t>Date: Feb. 2019</t>
        </is>
      </c>
      <c r="D116" s="301" t="n"/>
      <c r="E116" s="432" t="n"/>
      <c r="F116" s="432" t="n"/>
      <c r="G116" s="432" t="n"/>
      <c r="H116" s="362" t="n"/>
      <c r="I116" s="362" t="n"/>
      <c r="R116" s="1877" t="n"/>
    </row>
    <row r="117" hidden="1" s="1439">
      <c r="B117" s="868" t="inlineStr">
        <is>
          <t>Type: 407 - Industrial Warehouse</t>
        </is>
      </c>
      <c r="C117" s="1893" t="inlineStr">
        <is>
          <t>Section: 18</t>
        </is>
      </c>
      <c r="D117" s="1894" t="inlineStr">
        <is>
          <t>Page: 13</t>
        </is>
      </c>
      <c r="E117" s="1893" t="n"/>
      <c r="F117" s="1893" t="inlineStr">
        <is>
          <t>Class: C</t>
        </is>
      </c>
      <c r="G117" s="1894" t="inlineStr">
        <is>
          <t>Quality: Good</t>
        </is>
      </c>
      <c r="H117" s="362" t="n"/>
      <c r="I117" s="362" t="n"/>
      <c r="R117" s="1877" t="n"/>
    </row>
    <row r="118" hidden="1" s="1439">
      <c r="B118" s="419" t="n"/>
      <c r="C118" s="415" t="n"/>
      <c r="D118" s="415" t="n"/>
      <c r="E118" s="415" t="n"/>
      <c r="F118" s="1881" t="n"/>
      <c r="G118" s="1881" t="n"/>
      <c r="H118" s="362" t="n"/>
      <c r="I118" s="362" t="n"/>
      <c r="Q118" s="373" t="n"/>
      <c r="R118" s="1889" t="n"/>
    </row>
    <row r="119" hidden="1" s="1439">
      <c r="B119" s="1552" t="inlineStr">
        <is>
          <t>INSURABLE VALUE</t>
        </is>
      </c>
      <c r="E119" s="415" t="n"/>
      <c r="F119" s="1881" t="n"/>
      <c r="G119" s="1881" t="n"/>
      <c r="H119" s="362" t="n"/>
      <c r="I119" s="362" t="n"/>
      <c r="Q119" s="373" t="n"/>
      <c r="R119" s="1889" t="n"/>
    </row>
    <row r="120" hidden="1" s="1439">
      <c r="B120" s="435" t="inlineStr">
        <is>
          <t>Replacement Cost (Base Cost)</t>
        </is>
      </c>
      <c r="C120" s="1895" t="n"/>
      <c r="D120" s="1896">
        <f>G29</f>
        <v/>
      </c>
      <c r="E120" s="415" t="n"/>
      <c r="F120" s="1881" t="n"/>
      <c r="G120" s="1881" t="n"/>
      <c r="H120" s="362" t="n"/>
      <c r="I120" s="362" t="n"/>
      <c r="Q120" s="373" t="n"/>
      <c r="R120" s="1889" t="n"/>
    </row>
    <row r="121" hidden="1" s="1439">
      <c r="B121" s="360" t="inlineStr">
        <is>
          <t>Plus:  Indirect Costs</t>
        </is>
      </c>
      <c r="C121" s="1845" t="n"/>
      <c r="D121" s="1897" t="n">
        <v>0</v>
      </c>
      <c r="E121" s="415" t="n"/>
      <c r="F121" s="1881" t="n"/>
      <c r="G121" s="1881" t="n"/>
      <c r="H121" s="362" t="n"/>
      <c r="I121" s="362" t="n"/>
      <c r="Q121" s="373" t="n"/>
      <c r="R121" s="1889" t="n"/>
    </row>
    <row r="122" hidden="1" ht="24" customHeight="1" s="1439">
      <c r="B122" s="439" t="inlineStr">
        <is>
          <t>Plus:  Entrepreneurial Profit
(Est. 5% of Replacement and Indirect Cost)</t>
        </is>
      </c>
      <c r="C122" s="1865" t="n"/>
      <c r="D122" s="1898">
        <f>G32</f>
        <v/>
      </c>
      <c r="E122" s="415" t="n"/>
      <c r="F122" s="1881" t="n"/>
      <c r="G122" s="1881" t="n"/>
      <c r="H122" s="362" t="n"/>
      <c r="I122" s="362" t="n"/>
      <c r="R122" s="1877" t="n"/>
    </row>
    <row r="123" hidden="1" s="1439">
      <c r="B123" s="442" t="inlineStr">
        <is>
          <t>Replacement Cost (Base Cost + Indirect Costs + Profit</t>
        </is>
      </c>
      <c r="C123" s="1899" t="n"/>
      <c r="D123" s="444">
        <f>SUM(D120,D121,D122)</f>
        <v/>
      </c>
      <c r="E123" s="415" t="n"/>
      <c r="F123" s="1881" t="n"/>
      <c r="G123" s="1881" t="n"/>
      <c r="H123" s="362" t="n"/>
      <c r="I123" s="362" t="n"/>
      <c r="R123" s="1877" t="n"/>
    </row>
    <row r="124" hidden="1" s="1439">
      <c r="B124" s="360" t="inlineStr">
        <is>
          <t>Less:  5% of Replacement Costs for Excavations/Foundations</t>
        </is>
      </c>
      <c r="C124" s="1845">
        <f>ROUND(-0.05*D123, 0)</f>
        <v/>
      </c>
      <c r="D124" s="445" t="n"/>
      <c r="E124" s="415" t="n"/>
      <c r="F124" s="1881" t="n"/>
      <c r="G124" s="1881" t="n"/>
      <c r="H124" s="362" t="n"/>
      <c r="I124" s="362" t="n"/>
      <c r="R124" s="1877" t="n"/>
    </row>
    <row r="125" hidden="1" s="1439">
      <c r="B125" s="360" t="inlineStr">
        <is>
          <t>Less:  Site Work not included in Excavations/Foundations</t>
        </is>
      </c>
      <c r="C125" s="1843" t="n">
        <v>0</v>
      </c>
      <c r="D125" s="446" t="n"/>
      <c r="E125" s="415" t="n"/>
      <c r="F125" s="1881" t="n"/>
      <c r="G125" s="1881" t="n"/>
      <c r="H125" s="362" t="n"/>
      <c r="I125" s="362" t="n"/>
      <c r="R125" s="1877" t="n"/>
    </row>
    <row r="126" hidden="1" s="1439">
      <c r="B126" s="360" t="inlineStr">
        <is>
          <t>Less:  5% of Replacement Costs for Architect's Fees</t>
        </is>
      </c>
      <c r="C126" s="1865">
        <f>ROUND(-0.05*D123, 0)</f>
        <v/>
      </c>
      <c r="D126" s="447" t="n"/>
      <c r="E126" s="415" t="n"/>
      <c r="F126" s="1881" t="n"/>
      <c r="G126" s="1881" t="n"/>
      <c r="H126" s="362" t="n"/>
      <c r="I126" s="362" t="n"/>
      <c r="R126" s="1877" t="n"/>
    </row>
    <row r="127" hidden="1" s="1439">
      <c r="B127" s="442" t="inlineStr">
        <is>
          <t>Total Deductions</t>
        </is>
      </c>
      <c r="C127" s="1900">
        <f>SUM(C124:C126)</f>
        <v/>
      </c>
      <c r="D127" s="444" t="n"/>
      <c r="E127" s="415" t="n"/>
      <c r="F127" s="1881" t="n"/>
      <c r="G127" s="1881" t="n"/>
      <c r="H127" s="362" t="n"/>
      <c r="I127" s="362" t="n"/>
      <c r="R127" s="1877" t="n"/>
    </row>
    <row r="128" hidden="1" s="1439">
      <c r="B128" s="360" t="inlineStr">
        <is>
          <t>Plus:  Appliances</t>
        </is>
      </c>
      <c r="C128" s="1901" t="n"/>
      <c r="D128" s="1902" t="n">
        <v>0</v>
      </c>
      <c r="E128" s="415" t="n"/>
      <c r="F128" s="1881" t="n"/>
      <c r="G128" s="1881" t="n"/>
      <c r="H128" s="362" t="n"/>
      <c r="I128" s="362" t="n"/>
      <c r="R128" s="1877" t="n"/>
    </row>
    <row r="129" hidden="1" s="1439">
      <c r="B129" s="360" t="inlineStr">
        <is>
          <t>Plus:  Patios and Balconies</t>
        </is>
      </c>
      <c r="C129" s="1903" t="n"/>
      <c r="D129" s="1904" t="n">
        <v>0</v>
      </c>
      <c r="E129" s="415" t="n"/>
      <c r="F129" s="1881" t="n"/>
      <c r="G129" s="1881" t="n"/>
      <c r="H129" s="362" t="n"/>
      <c r="I129" s="362" t="n"/>
      <c r="R129" s="1877" t="n"/>
    </row>
    <row r="130" hidden="1" s="1439">
      <c r="B130" s="360" t="inlineStr">
        <is>
          <t>Plus:  Fireplaces</t>
        </is>
      </c>
      <c r="C130" s="1905" t="n"/>
      <c r="D130" s="1906" t="n">
        <v>0</v>
      </c>
      <c r="E130" s="415" t="n"/>
      <c r="F130" s="1881" t="n"/>
      <c r="G130" s="1881" t="n"/>
      <c r="H130" s="362" t="n"/>
      <c r="I130" s="362" t="n"/>
      <c r="R130" s="1877" t="n"/>
    </row>
    <row r="131" hidden="1" s="1439">
      <c r="B131" s="442" t="inlineStr">
        <is>
          <t>Total Inclusions</t>
        </is>
      </c>
      <c r="C131" s="1900" t="n"/>
      <c r="D131" s="1907">
        <f>SUM(D128:D130)</f>
        <v/>
      </c>
      <c r="E131" s="415" t="n"/>
      <c r="F131" s="1881" t="n"/>
      <c r="G131" s="1881" t="n"/>
      <c r="H131" s="362" t="n"/>
      <c r="I131" s="362" t="n"/>
      <c r="R131" s="1877" t="n"/>
    </row>
    <row r="132" hidden="1" s="1439">
      <c r="B132" s="455" t="inlineStr">
        <is>
          <t>Insurable Value</t>
        </is>
      </c>
      <c r="C132" s="456" t="n"/>
      <c r="D132" s="1908">
        <f>SUM(D123,C127,D131)</f>
        <v/>
      </c>
      <c r="E132" s="415" t="n"/>
      <c r="F132" s="1881" t="n"/>
      <c r="G132" s="1881" t="n"/>
      <c r="H132" s="362" t="n"/>
      <c r="I132" s="362" t="n"/>
    </row>
    <row r="133" hidden="1" s="1439">
      <c r="B133" s="1869" t="n">
        <v>5000</v>
      </c>
      <c r="C133" s="359" t="n"/>
      <c r="D133" s="1870">
        <f>MROUND(D132,5000)</f>
        <v/>
      </c>
      <c r="E133" s="415" t="n"/>
      <c r="F133" s="1881" t="n"/>
      <c r="G133" s="1909" t="n"/>
      <c r="H133" s="362" t="n"/>
      <c r="I133" s="362" t="n"/>
    </row>
    <row r="134" hidden="1" s="1439">
      <c r="B134" s="458" t="n"/>
      <c r="C134" s="458" t="n"/>
      <c r="D134" s="458" t="n"/>
      <c r="E134" s="415" t="n"/>
      <c r="F134" s="1881" t="n"/>
      <c r="G134" s="1881" t="n"/>
      <c r="H134" s="362" t="n"/>
      <c r="I134" s="362" t="n"/>
    </row>
    <row r="135" hidden="1" s="1439">
      <c r="B135" s="410">
        <f>B55</f>
        <v/>
      </c>
      <c r="C135" s="459" t="n"/>
      <c r="D135" s="460" t="n"/>
      <c r="E135" s="415" t="n"/>
      <c r="F135" s="1881" t="n"/>
      <c r="G135" s="1881" t="n"/>
      <c r="H135" s="362" t="n"/>
      <c r="I135" s="362" t="n"/>
    </row>
    <row r="136" hidden="1" s="1439">
      <c r="B136" s="461" t="n"/>
      <c r="C136" s="1910" t="n"/>
      <c r="D136" s="463" t="n"/>
      <c r="E136" s="415" t="n"/>
      <c r="F136" s="1881" t="n"/>
      <c r="G136" s="1881" t="n"/>
      <c r="H136" s="362" t="n"/>
      <c r="I136" s="362" t="n"/>
    </row>
    <row r="137">
      <c r="B137" s="419" t="n"/>
      <c r="C137" s="415" t="n"/>
      <c r="D137" s="415" t="n"/>
      <c r="E137" s="415" t="n"/>
      <c r="F137" s="1881" t="n"/>
      <c r="G137" s="1881" t="n"/>
      <c r="H137" s="362" t="n"/>
      <c r="I137" s="362" t="n"/>
    </row>
    <row r="138">
      <c r="B138" s="419" t="n"/>
      <c r="C138" s="415" t="n"/>
      <c r="D138" s="415" t="n"/>
      <c r="E138" s="415" t="n"/>
      <c r="F138" s="1881" t="n"/>
      <c r="G138" s="1881" t="n"/>
      <c r="H138" s="362" t="n"/>
      <c r="I138" s="362" t="n"/>
    </row>
    <row r="139">
      <c r="B139" s="419" t="n"/>
      <c r="C139" s="415" t="n"/>
      <c r="D139" s="415" t="n"/>
      <c r="E139" s="415" t="n"/>
      <c r="F139" s="1881" t="n"/>
      <c r="G139" s="1881" t="n"/>
      <c r="H139" s="362" t="n"/>
      <c r="I139" s="362" t="n"/>
    </row>
    <row r="140">
      <c r="B140" s="419" t="n"/>
      <c r="C140" s="415" t="n"/>
      <c r="D140" s="415" t="n"/>
      <c r="E140" s="415" t="n"/>
      <c r="F140" s="1881" t="n"/>
      <c r="G140" s="1881" t="n"/>
      <c r="H140" s="362" t="n"/>
      <c r="I140" s="362" t="n"/>
    </row>
    <row r="141">
      <c r="B141" s="419" t="n"/>
      <c r="C141" s="415" t="n"/>
      <c r="D141" s="415" t="n"/>
      <c r="E141" s="415" t="n"/>
      <c r="F141" s="1881" t="n"/>
      <c r="G141" s="1881" t="n"/>
      <c r="H141" s="362" t="n"/>
      <c r="I141" s="362" t="n"/>
    </row>
    <row r="142">
      <c r="B142" s="419" t="n"/>
      <c r="C142" s="415" t="n"/>
      <c r="D142" s="415" t="n"/>
      <c r="E142" s="415" t="n"/>
      <c r="F142" s="1881" t="n"/>
      <c r="G142" s="1881" t="n"/>
      <c r="H142" s="362" t="n"/>
      <c r="I142" s="362" t="n"/>
    </row>
    <row r="143">
      <c r="B143" s="419" t="n"/>
      <c r="C143" s="415" t="n"/>
      <c r="D143" s="415" t="n"/>
      <c r="E143" s="415" t="n"/>
      <c r="F143" s="1881" t="n"/>
      <c r="G143" s="1881" t="n"/>
      <c r="H143" s="362" t="n"/>
      <c r="I143" s="362" t="n"/>
    </row>
    <row r="144">
      <c r="B144" s="419" t="n"/>
      <c r="C144" s="415" t="n"/>
      <c r="D144" s="415" t="n"/>
      <c r="E144" s="415" t="n"/>
      <c r="F144" s="1881" t="n"/>
      <c r="G144" s="1881" t="n"/>
      <c r="H144" s="362" t="n"/>
      <c r="I144" s="362" t="n"/>
    </row>
    <row r="145">
      <c r="B145" s="419" t="n"/>
      <c r="C145" s="415" t="n"/>
      <c r="D145" s="415" t="n"/>
      <c r="E145" s="415" t="n"/>
      <c r="F145" s="1881" t="n"/>
      <c r="G145" s="1881" t="n"/>
      <c r="H145" s="362" t="n"/>
      <c r="I145" s="362" t="n"/>
    </row>
    <row r="146">
      <c r="B146" s="419" t="n"/>
      <c r="C146" s="415" t="n"/>
      <c r="D146" s="415" t="n"/>
      <c r="E146" s="415" t="n"/>
      <c r="F146" s="1881" t="n"/>
      <c r="G146" s="1881" t="n"/>
      <c r="H146" s="362" t="n"/>
      <c r="I146" s="362" t="n"/>
    </row>
    <row r="147">
      <c r="B147" s="419" t="n"/>
      <c r="C147" s="415" t="n"/>
      <c r="D147" s="415" t="n"/>
      <c r="E147" s="415" t="n"/>
      <c r="F147" s="1881" t="n"/>
      <c r="G147" s="1881"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5">
    <mergeCell ref="B3:G3"/>
    <mergeCell ref="K59:O59"/>
    <mergeCell ref="B66:G66"/>
    <mergeCell ref="B119:D119"/>
    <mergeCell ref="Q55:S55"/>
  </mergeCells>
  <dataValidations count="1">
    <dataValidation sqref="D11 D74" showDropDown="0" showInputMessage="1" showErrorMessage="1" allowBlank="1" prompt="Value is for average quality and 1-story flue. Each additional story for flue is $885."/>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39" min="2" max="2"/>
    <col width="14" bestFit="1" customWidth="1" style="1439" min="6" max="6"/>
    <col width="15.7109375" bestFit="1" customWidth="1" style="1439" min="7" max="10"/>
  </cols>
  <sheetData>
    <row r="2">
      <c r="B2" s="154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11" t="n">
        <v>208225</v>
      </c>
      <c r="D4" s="1912">
        <f>C4/'Property Info'!$B$4</f>
        <v/>
      </c>
    </row>
    <row r="5">
      <c r="B5" s="236" t="inlineStr">
        <is>
          <t>Government Fees &amp; Permits</t>
        </is>
      </c>
      <c r="C5" s="1911" t="n">
        <v>406500</v>
      </c>
      <c r="D5" s="1912">
        <f>C5/'Property Info'!$B$4</f>
        <v/>
      </c>
    </row>
    <row r="6">
      <c r="B6" s="236" t="inlineStr">
        <is>
          <t>Site Improvements</t>
        </is>
      </c>
      <c r="C6" s="1911" t="n">
        <v>733000</v>
      </c>
      <c r="D6" s="1912">
        <f>C6/'Property Info'!$B$4</f>
        <v/>
      </c>
    </row>
    <row r="7">
      <c r="B7" s="236" t="inlineStr">
        <is>
          <t>Off-Site Construction</t>
        </is>
      </c>
      <c r="C7" s="1911" t="n">
        <v>105000</v>
      </c>
      <c r="D7" s="1912">
        <f>C7/'Property Info'!$B$4</f>
        <v/>
      </c>
    </row>
    <row r="8">
      <c r="B8" s="236" t="inlineStr">
        <is>
          <t>Vertical Improvements</t>
        </is>
      </c>
      <c r="C8" s="1911" t="n">
        <v>2150000</v>
      </c>
      <c r="D8" s="1912">
        <f>C8/'Property Info'!$B$4</f>
        <v/>
      </c>
    </row>
    <row r="9">
      <c r="B9" s="236" t="inlineStr">
        <is>
          <t>Contractor Overhead &amp; Profit</t>
        </is>
      </c>
      <c r="C9" s="1911" t="n">
        <v>375000</v>
      </c>
      <c r="D9" s="1912">
        <f>C9/'Property Info'!$B$4</f>
        <v/>
      </c>
    </row>
    <row r="10">
      <c r="B10" s="236" t="inlineStr">
        <is>
          <t>Indirect Costs</t>
        </is>
      </c>
      <c r="C10" s="1911" t="n"/>
      <c r="D10" s="1912">
        <f>C10/'Property Info'!$B$4</f>
        <v/>
      </c>
    </row>
    <row r="11">
      <c r="B11" s="426" t="inlineStr">
        <is>
          <t>Total</t>
        </is>
      </c>
      <c r="C11" s="1913">
        <f>SUM(C4:C10)</f>
        <v/>
      </c>
      <c r="D11" s="1914">
        <f>C11/'Property Info'!$B$4</f>
        <v/>
      </c>
    </row>
    <row r="12">
      <c r="F12" s="1546" t="inlineStr">
        <is>
          <t>Comparable Constrution Cots</t>
        </is>
      </c>
    </row>
    <row r="13">
      <c r="F13" s="420" t="inlineStr">
        <is>
          <t>Comparable</t>
        </is>
      </c>
      <c r="G13" s="421" t="n">
        <v>1</v>
      </c>
      <c r="H13" s="421" t="n">
        <v>2</v>
      </c>
      <c r="I13" s="421" t="n">
        <v>3</v>
      </c>
      <c r="J13" s="421" t="n">
        <v>4</v>
      </c>
    </row>
    <row r="14">
      <c r="F14" s="420" t="inlineStr">
        <is>
          <t>Location</t>
        </is>
      </c>
      <c r="G14" s="422" t="inlineStr">
        <is>
          <t>Metro Denver</t>
        </is>
      </c>
      <c r="H14" s="421" t="inlineStr">
        <is>
          <t>Metro Denver</t>
        </is>
      </c>
      <c r="I14" s="421" t="inlineStr">
        <is>
          <t>Metro Denver</t>
        </is>
      </c>
      <c r="J14" s="421" t="inlineStr">
        <is>
          <t>Metro Denver</t>
        </is>
      </c>
    </row>
    <row r="15">
      <c r="F15" s="420" t="inlineStr">
        <is>
          <t>YOC</t>
        </is>
      </c>
      <c r="G15" s="422" t="n">
        <v>2015</v>
      </c>
      <c r="H15" s="421" t="n">
        <v>2016</v>
      </c>
      <c r="I15" s="421" t="n">
        <v>2019</v>
      </c>
      <c r="J15" s="421" t="n">
        <v>2019</v>
      </c>
    </row>
    <row r="16">
      <c r="F16" s="423" t="inlineStr">
        <is>
          <t>Property Type</t>
        </is>
      </c>
      <c r="G16" s="422" t="inlineStr">
        <is>
          <t>Franchise Daycare</t>
        </is>
      </c>
      <c r="H16" s="422" t="inlineStr">
        <is>
          <t>Franchise Daycare</t>
        </is>
      </c>
      <c r="I16" s="422" t="inlineStr">
        <is>
          <t>Franchise Daycare</t>
        </is>
      </c>
      <c r="J16" s="422" t="inlineStr">
        <is>
          <t>Franchise Daycare</t>
        </is>
      </c>
    </row>
    <row r="17">
      <c r="F17" s="424" t="inlineStr">
        <is>
          <t>Total Direct Cost</t>
        </is>
      </c>
      <c r="G17" s="1915" t="n">
        <v>255.16</v>
      </c>
      <c r="H17" s="1915" t="n">
        <v>325.13</v>
      </c>
      <c r="I17" s="1915" t="n">
        <v>420.5</v>
      </c>
      <c r="J17" s="1915" t="n">
        <v>344.08</v>
      </c>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16" min="7" max="7"/>
    <col width="9.5703125" customWidth="1" style="1917"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7"/>
    <col width="9.140625" customWidth="1" style="677" min="28"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18" t="inlineStr">
        <is>
          <t>Sale Price</t>
        </is>
      </c>
      <c r="H1" s="1918"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inlineStr">
        <is>
          <t>A</t>
        </is>
      </c>
      <c r="B2" s="712">
        <f>'Property Info'!B16</f>
        <v/>
      </c>
      <c r="C2" s="712">
        <f>'Property Info'!B17</f>
        <v/>
      </c>
      <c r="D2" s="712">
        <f>'Property Info'!B1</f>
        <v/>
      </c>
      <c r="E2" s="728">
        <f>'Property Info'!B15</f>
        <v/>
      </c>
      <c r="F2" s="1318" t="inlineStr">
        <is>
          <t>N/A</t>
        </is>
      </c>
      <c r="G2" s="1919" t="inlineStr">
        <is>
          <t>N/A</t>
        </is>
      </c>
      <c r="H2" s="1920" t="inlineStr">
        <is>
          <t>N/A</t>
        </is>
      </c>
      <c r="I2" s="1321" t="inlineStr">
        <is>
          <t>N/A</t>
        </is>
      </c>
      <c r="J2" s="1322" t="inlineStr">
        <is>
          <t>N/A</t>
        </is>
      </c>
      <c r="K2" s="711">
        <f>FE!C14</f>
        <v/>
      </c>
      <c r="L2" s="711">
        <f>'Property Info'!B11</f>
        <v/>
      </c>
      <c r="M2" s="707">
        <f>'Property Info'!B24</f>
        <v/>
      </c>
      <c r="N2" s="707" t="inlineStr">
        <is>
          <t>N/A</t>
        </is>
      </c>
      <c r="O2" s="707" t="inlineStr">
        <is>
          <t>N/A</t>
        </is>
      </c>
      <c r="P2" s="707" t="inlineStr">
        <is>
          <t>N/A</t>
        </is>
      </c>
      <c r="Q2" s="707" t="inlineStr">
        <is>
          <t>N/A</t>
        </is>
      </c>
      <c r="R2" s="1323" t="inlineStr">
        <is>
          <t>Average</t>
        </is>
      </c>
      <c r="S2" s="710">
        <f>K2</f>
        <v/>
      </c>
      <c r="T2" s="708">
        <f>'Property Info'!B10</f>
        <v/>
      </c>
      <c r="U2" s="708" t="inlineStr">
        <is>
          <t>Average</t>
        </is>
      </c>
      <c r="V2" s="709">
        <f>L2/K2</f>
        <v/>
      </c>
      <c r="W2" s="1323" t="inlineStr">
        <is>
          <t>Average</t>
        </is>
      </c>
      <c r="X2" s="1323" t="inlineStr">
        <is>
          <t>Average</t>
        </is>
      </c>
      <c r="Y2" s="707" t="inlineStr">
        <is>
          <t>N/A</t>
        </is>
      </c>
      <c r="Z2" s="706" t="inlineStr">
        <is>
          <t>N/A</t>
        </is>
      </c>
    </row>
    <row r="3" customFormat="1" s="702">
      <c r="A3" s="688" t="n">
        <v>1</v>
      </c>
      <c r="B3" s="1064" t="inlineStr">
        <is>
          <t>9670 Dallas St (Condo)</t>
        </is>
      </c>
      <c r="C3" s="783" t="inlineStr">
        <is>
          <t>Henderson</t>
        </is>
      </c>
      <c r="D3" s="784" t="inlineStr">
        <is>
          <t>1721-15-3-03-001</t>
        </is>
      </c>
      <c r="E3" s="1921" t="inlineStr">
        <is>
          <t>Industrial</t>
        </is>
      </c>
      <c r="F3" s="784" t="n">
        <v>44742</v>
      </c>
      <c r="G3" s="1922" t="n">
        <v>630000</v>
      </c>
      <c r="H3" s="1923" t="n">
        <v>210</v>
      </c>
      <c r="I3" s="787" t="n">
        <v>525000</v>
      </c>
      <c r="J3" s="783" t="n">
        <v>289</v>
      </c>
      <c r="K3" s="787" t="n">
        <v>3000</v>
      </c>
      <c r="L3" s="787" t="n"/>
      <c r="M3" s="1324" t="n">
        <v>0</v>
      </c>
      <c r="N3" s="1324" t="n">
        <v>0</v>
      </c>
      <c r="O3" s="1324" t="n">
        <v>0</v>
      </c>
      <c r="P3" s="1324" t="n">
        <v>0</v>
      </c>
      <c r="Q3" s="1324" t="n">
        <v>0</v>
      </c>
      <c r="R3" s="1324" t="n">
        <v>0.05</v>
      </c>
      <c r="S3" s="1325" t="n">
        <v>-0.05</v>
      </c>
      <c r="T3" s="1324" t="n">
        <v>0</v>
      </c>
      <c r="U3" s="1324" t="n">
        <v>0</v>
      </c>
      <c r="V3" s="1324" t="n">
        <v>0</v>
      </c>
      <c r="W3" s="1324" t="n">
        <v>0</v>
      </c>
      <c r="X3" s="1324" t="n">
        <v>0</v>
      </c>
      <c r="Y3" s="704">
        <f>SUM(M3:X3)</f>
        <v/>
      </c>
      <c r="Z3" s="1924">
        <f>H3+(H3*Y3)</f>
        <v/>
      </c>
    </row>
    <row r="4" customFormat="1" s="702">
      <c r="A4" s="688" t="n">
        <v>2</v>
      </c>
      <c r="B4" s="1064" t="inlineStr">
        <is>
          <t>9652 Hanover Ct W</t>
        </is>
      </c>
      <c r="C4" s="783" t="inlineStr">
        <is>
          <t>Henderson</t>
        </is>
      </c>
      <c r="D4" s="784" t="inlineStr">
        <is>
          <t>1721-15-0-11-005</t>
        </is>
      </c>
      <c r="E4" s="1921" t="inlineStr">
        <is>
          <t>Industrial</t>
        </is>
      </c>
      <c r="F4" s="784" t="n">
        <v>44637</v>
      </c>
      <c r="G4" s="1922" t="n">
        <v>4600000</v>
      </c>
      <c r="H4" s="1923" t="n">
        <v>197.87</v>
      </c>
      <c r="I4" s="783" t="n"/>
      <c r="J4" s="783" t="n"/>
      <c r="K4" s="787" t="n">
        <v>23248</v>
      </c>
      <c r="L4" s="787" t="n">
        <v>73704</v>
      </c>
      <c r="M4" s="1324" t="n">
        <v>0</v>
      </c>
      <c r="N4" s="1324" t="n">
        <v>0</v>
      </c>
      <c r="O4" s="1324" t="n">
        <v>0</v>
      </c>
      <c r="P4" s="1324" t="n">
        <v>0</v>
      </c>
      <c r="Q4" s="1324" t="n">
        <v>0</v>
      </c>
      <c r="R4" s="1324" t="n">
        <v>0</v>
      </c>
      <c r="S4" s="1325" t="n">
        <v>0</v>
      </c>
      <c r="T4" s="1324" t="n">
        <v>0</v>
      </c>
      <c r="U4" s="1324" t="n">
        <v>-0.1</v>
      </c>
      <c r="V4" s="1324" t="n">
        <v>0</v>
      </c>
      <c r="W4" s="1324" t="n">
        <v>0</v>
      </c>
      <c r="X4" s="1324" t="n">
        <v>0</v>
      </c>
      <c r="Y4" s="704">
        <f>SUM(M4:X4)</f>
        <v/>
      </c>
      <c r="Z4" s="1924">
        <f>H4+(H4*Y4)</f>
        <v/>
      </c>
    </row>
    <row r="5" customFormat="1" s="702">
      <c r="A5" s="688" t="n">
        <v>3</v>
      </c>
      <c r="B5" s="1064" t="inlineStr">
        <is>
          <t>9690 Dallas St (Condo)</t>
        </is>
      </c>
      <c r="C5" s="783" t="inlineStr">
        <is>
          <t>Henderson</t>
        </is>
      </c>
      <c r="D5" s="784" t="inlineStr">
        <is>
          <t>1721-15-3-03-013</t>
        </is>
      </c>
      <c r="E5" s="1921" t="inlineStr">
        <is>
          <t>Industrial</t>
        </is>
      </c>
      <c r="F5" s="784" t="n">
        <v>44631</v>
      </c>
      <c r="G5" s="1922" t="n">
        <v>525000</v>
      </c>
      <c r="H5" s="1923" t="n">
        <v>175</v>
      </c>
      <c r="I5" s="787" t="n"/>
      <c r="J5" s="787" t="n"/>
      <c r="K5" s="787" t="n">
        <v>3000</v>
      </c>
      <c r="L5" s="787" t="n">
        <v>93218</v>
      </c>
      <c r="M5" s="1324" t="n">
        <v>0</v>
      </c>
      <c r="N5" s="1324" t="n">
        <v>0</v>
      </c>
      <c r="O5" s="1324" t="n">
        <v>0</v>
      </c>
      <c r="P5" s="1324" t="n">
        <v>0</v>
      </c>
      <c r="Q5" s="1324" t="n">
        <v>0</v>
      </c>
      <c r="R5" s="1324" t="n">
        <v>0</v>
      </c>
      <c r="S5" s="1325" t="n">
        <v>-0.05</v>
      </c>
      <c r="T5" s="1324" t="n">
        <v>0</v>
      </c>
      <c r="U5" s="1324" t="n">
        <v>-0.05</v>
      </c>
      <c r="V5" s="1324" t="n">
        <v>0.05</v>
      </c>
      <c r="W5" s="1324" t="n">
        <v>0.05</v>
      </c>
      <c r="X5" s="1324" t="n">
        <v>0</v>
      </c>
      <c r="Y5" s="704">
        <f>SUM(M5:X5)</f>
        <v/>
      </c>
      <c r="Z5" s="1924">
        <f>H5+(H5*Y5)</f>
        <v/>
      </c>
    </row>
    <row r="6" customFormat="1" s="702">
      <c r="A6" s="688" t="n">
        <v>4</v>
      </c>
      <c r="B6" s="1064" t="inlineStr">
        <is>
          <t>9900 Emporia St (Part of a 2 Property Sale)</t>
        </is>
      </c>
      <c r="C6" s="783" t="inlineStr">
        <is>
          <t>Commerce City</t>
        </is>
      </c>
      <c r="D6" s="784" t="inlineStr">
        <is>
          <t>1721-15-4-04-003</t>
        </is>
      </c>
      <c r="E6" s="1921" t="inlineStr">
        <is>
          <t>Industrial</t>
        </is>
      </c>
      <c r="F6" s="784" t="n">
        <v>44537</v>
      </c>
      <c r="G6" s="1922" t="n">
        <v>9728033</v>
      </c>
      <c r="H6" s="1923" t="n">
        <v>640</v>
      </c>
      <c r="I6" s="787" t="n"/>
      <c r="J6" s="783" t="n"/>
      <c r="K6" s="787" t="n">
        <v>15200</v>
      </c>
      <c r="L6" s="787" t="n">
        <v>487436</v>
      </c>
      <c r="M6" s="1324" t="n">
        <v>0</v>
      </c>
      <c r="N6" s="1324" t="n">
        <v>0</v>
      </c>
      <c r="O6" s="1324" t="n">
        <v>0</v>
      </c>
      <c r="P6" s="1324" t="n">
        <v>0</v>
      </c>
      <c r="Q6" s="1324" t="n">
        <v>0.05</v>
      </c>
      <c r="R6" s="1324" t="n">
        <v>0</v>
      </c>
      <c r="S6" s="1325" t="n">
        <v>0</v>
      </c>
      <c r="T6" s="1324" t="n">
        <v>0</v>
      </c>
      <c r="U6" s="1324" t="n">
        <v>0</v>
      </c>
      <c r="V6" s="1324" t="n">
        <v>0.05</v>
      </c>
      <c r="W6" s="1324" t="n">
        <v>0</v>
      </c>
      <c r="X6" s="1324" t="n">
        <v>0</v>
      </c>
      <c r="Y6" s="704">
        <f>SUM(M6:X6)</f>
        <v/>
      </c>
      <c r="Z6" s="1924">
        <f>H6+(H6*Y6)</f>
        <v/>
      </c>
    </row>
    <row r="7" customFormat="1" s="702">
      <c r="A7" s="688" t="n">
        <v>5</v>
      </c>
      <c r="B7" s="1328" t="inlineStr">
        <is>
          <t>10400 E 102nd Ave</t>
        </is>
      </c>
      <c r="C7" s="1328" t="inlineStr">
        <is>
          <t>Commerce City</t>
        </is>
      </c>
      <c r="D7" s="1328" t="inlineStr">
        <is>
          <t>1721-15-1-02-013</t>
        </is>
      </c>
      <c r="E7" s="1328" t="inlineStr">
        <is>
          <t>Industrial</t>
        </is>
      </c>
      <c r="F7" s="1329" t="n">
        <v>44517</v>
      </c>
      <c r="G7" s="1925" t="n">
        <v>13000000</v>
      </c>
      <c r="H7" s="1926" t="n">
        <v>739.6</v>
      </c>
      <c r="I7" s="1332" t="n"/>
      <c r="J7" s="1332" t="n"/>
      <c r="K7" s="1332" t="n">
        <v>17577</v>
      </c>
      <c r="L7" s="1332" t="n">
        <v>700880</v>
      </c>
      <c r="M7" s="1326" t="n"/>
      <c r="N7" s="1326" t="n"/>
      <c r="O7" s="1326" t="n"/>
      <c r="P7" s="1326" t="n"/>
      <c r="Q7" s="1326" t="n"/>
      <c r="R7" s="1326" t="n"/>
      <c r="S7" s="1327" t="n"/>
      <c r="T7" s="1326" t="n"/>
      <c r="U7" s="1326" t="n"/>
      <c r="V7" s="1326" t="n"/>
      <c r="W7" s="1326" t="n"/>
      <c r="X7" s="1326" t="n"/>
      <c r="Y7" s="701" t="n"/>
      <c r="Z7" s="1924" t="n"/>
    </row>
    <row r="8">
      <c r="B8" s="700" t="inlineStr">
        <is>
          <t>Average</t>
        </is>
      </c>
      <c r="H8" s="1927">
        <f>AVERAGE(H3:H7)</f>
        <v/>
      </c>
      <c r="Q8" s="699" t="n"/>
      <c r="Z8" s="1928">
        <f>AVERAGE(Z3:Z7)</f>
        <v/>
      </c>
    </row>
    <row r="9">
      <c r="B9" s="700" t="inlineStr">
        <is>
          <t>Median</t>
        </is>
      </c>
      <c r="H9" s="1927">
        <f>MEDIAN(H3:H7)</f>
        <v/>
      </c>
      <c r="Q9" s="699" t="n"/>
      <c r="Z9" s="1928">
        <f>MEDIAN(Z3:Z7)</f>
        <v/>
      </c>
    </row>
    <row r="10" customFormat="1" s="689">
      <c r="B10" s="697" t="inlineStr">
        <is>
          <t>Standard Dev.</t>
        </is>
      </c>
      <c r="F10" s="696" t="n"/>
      <c r="G10" s="1929" t="n"/>
      <c r="H10" s="1930">
        <f>_xlfn.STDEV.P(H3:H6)</f>
        <v/>
      </c>
      <c r="I10" s="693" t="n"/>
      <c r="J10" s="694" t="n"/>
      <c r="K10" s="693" t="n"/>
      <c r="L10" s="692" t="n"/>
      <c r="M10" s="691" t="n"/>
      <c r="N10" s="691" t="n"/>
      <c r="O10" s="691" t="n"/>
      <c r="P10" s="691" t="n"/>
      <c r="Q10" s="691" t="n"/>
      <c r="R10" s="691" t="n"/>
      <c r="S10" s="691" t="n"/>
      <c r="T10" s="691" t="n"/>
      <c r="U10" s="691" t="n"/>
      <c r="V10" s="691" t="n"/>
      <c r="W10" s="691" t="n"/>
      <c r="X10" s="691" t="n"/>
      <c r="Y10" s="691" t="n"/>
      <c r="Z10" s="1931">
        <f>_xlfn.STDEV.P(Z3:Z6)</f>
        <v/>
      </c>
    </row>
    <row r="12">
      <c r="R12" s="1333" t="inlineStr">
        <is>
          <t>Comp</t>
        </is>
      </c>
      <c r="S12" s="688" t="inlineStr">
        <is>
          <t>% Size Diff.</t>
        </is>
      </c>
      <c r="T12" s="688" t="n"/>
      <c r="U12" s="688" t="n"/>
      <c r="V12" s="688" t="inlineStr">
        <is>
          <t>LTB</t>
        </is>
      </c>
    </row>
    <row r="13">
      <c r="R13" s="679" t="n">
        <v>1</v>
      </c>
      <c r="S13" s="687">
        <f>(K3-$K$2)/$K$2</f>
        <v/>
      </c>
      <c r="T13" s="686" t="n"/>
      <c r="U13" s="686" t="n"/>
      <c r="V13" s="685">
        <f>L3/K3</f>
        <v/>
      </c>
    </row>
    <row r="14">
      <c r="R14" s="679" t="n">
        <v>2</v>
      </c>
      <c r="S14" s="687">
        <f>(K4-$K$2)/$K$2</f>
        <v/>
      </c>
      <c r="T14" s="686" t="n"/>
      <c r="U14" s="686" t="n"/>
      <c r="V14" s="685">
        <f>L4/K4</f>
        <v/>
      </c>
    </row>
    <row r="15">
      <c r="R15" s="679" t="n">
        <v>3</v>
      </c>
      <c r="S15" s="687">
        <f>(K5-$K$2)/$K$2</f>
        <v/>
      </c>
      <c r="T15" s="686" t="n"/>
      <c r="U15" s="686" t="n"/>
      <c r="V15" s="685">
        <f>L5/K5</f>
        <v/>
      </c>
    </row>
    <row r="16">
      <c r="R16" s="679" t="n">
        <v>4</v>
      </c>
      <c r="S16" s="687">
        <f>(K6-$K$2)/$K$2</f>
        <v/>
      </c>
      <c r="T16" s="686" t="n"/>
      <c r="U16" s="686" t="n"/>
      <c r="V16" s="685">
        <f>L6/K6</f>
        <v/>
      </c>
    </row>
    <row r="17">
      <c r="R17" s="679" t="n">
        <v>5</v>
      </c>
      <c r="S17" s="687">
        <f>(K7-$K$2)/$K$2</f>
        <v/>
      </c>
      <c r="T17" s="686" t="n"/>
      <c r="U17" s="686" t="n"/>
      <c r="V17" s="685">
        <f>L7/K7</f>
        <v/>
      </c>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topLeftCell="C1" zoomScale="85" zoomScaleNormal="85" workbookViewId="0">
      <selection activeCell="H63" sqref="H63"/>
    </sheetView>
  </sheetViews>
  <sheetFormatPr baseColWidth="8" defaultColWidth="9.140625" defaultRowHeight="15"/>
  <cols>
    <col width="2.85546875" customWidth="1" style="1439" min="2" max="2"/>
    <col width="27.28515625" customWidth="1" style="1439" min="3" max="3"/>
    <col width="25.7109375" customWidth="1" style="1439" min="4" max="4"/>
    <col width="21.85546875" customWidth="1" style="1439" min="5" max="8"/>
    <col hidden="1" width="21.85546875" customWidth="1" style="1439" min="9" max="9"/>
    <col hidden="1" width="25.7109375" customWidth="1" style="1439" min="10" max="10"/>
    <col hidden="1" width="10.140625" customWidth="1" style="1439" min="11" max="11"/>
    <col width="29.85546875" customWidth="1" style="1439" min="15" max="15"/>
    <col width="40.7109375" customWidth="1" style="1439" min="16" max="16"/>
    <col width="15.140625" customWidth="1" style="1439" min="17" max="17"/>
    <col width="16.140625" customWidth="1" style="1439" min="18" max="20"/>
  </cols>
  <sheetData>
    <row r="1" ht="11.45" customHeight="1" s="1439"/>
    <row r="2">
      <c r="C2" s="1536" t="inlineStr">
        <is>
          <t>COMPARABLE SALE ADJUSTMENT GRID</t>
        </is>
      </c>
      <c r="J2" s="669" t="n"/>
      <c r="K2" s="669" t="n"/>
    </row>
    <row r="3">
      <c r="C3" s="801" t="n"/>
      <c r="D3" s="801" t="inlineStr">
        <is>
          <t>Subject</t>
        </is>
      </c>
      <c r="E3" s="801" t="inlineStr">
        <is>
          <t>Sale 1</t>
        </is>
      </c>
      <c r="F3" s="1532" t="inlineStr">
        <is>
          <t>Sale 2</t>
        </is>
      </c>
      <c r="G3" s="1532" t="inlineStr">
        <is>
          <t>Sale 3</t>
        </is>
      </c>
      <c r="H3" s="1532" t="inlineStr">
        <is>
          <t>Sale 4</t>
        </is>
      </c>
      <c r="I3" s="1532" t="inlineStr">
        <is>
          <t>Sale 5</t>
        </is>
      </c>
      <c r="J3" s="1543" t="inlineStr">
        <is>
          <t>Listing 1</t>
        </is>
      </c>
    </row>
    <row r="4" customFormat="1" s="1559">
      <c r="C4" s="744" t="inlineStr">
        <is>
          <t>Address</t>
        </is>
      </c>
      <c r="D4" s="747">
        <f>Export030823!B2</f>
        <v/>
      </c>
      <c r="E4" s="1558">
        <f>Export030823!B3</f>
        <v/>
      </c>
      <c r="F4" s="1588">
        <f>Export030823!B4</f>
        <v/>
      </c>
      <c r="G4" s="1588">
        <f>Export030823!B5</f>
        <v/>
      </c>
      <c r="H4" s="1579">
        <f>Export030823!B6</f>
        <v/>
      </c>
      <c r="I4" s="1579">
        <f>Export030823!B7</f>
        <v/>
      </c>
      <c r="J4" s="1558" t="inlineStr">
        <is>
          <t>3555 West 144th Avenue</t>
        </is>
      </c>
    </row>
    <row r="5" ht="30" customHeight="1" s="1439">
      <c r="C5" s="634" t="inlineStr">
        <is>
          <t>City, State</t>
        </is>
      </c>
      <c r="D5" s="747">
        <f>Export030823!C2</f>
        <v/>
      </c>
      <c r="E5" s="1560">
        <f>Export030823!C3</f>
        <v/>
      </c>
      <c r="F5" s="1568">
        <f>Export030823!C4</f>
        <v/>
      </c>
      <c r="G5" s="1568">
        <f>Export030823!C5</f>
        <v/>
      </c>
      <c r="H5" s="1590">
        <f>Export030823!C6</f>
        <v/>
      </c>
      <c r="I5" s="1590">
        <f>Export030823!C7</f>
        <v/>
      </c>
      <c r="J5" s="1560" t="inlineStr">
        <is>
          <t>Broomfield</t>
        </is>
      </c>
    </row>
    <row r="6" hidden="1" ht="30" customHeight="1" s="1439">
      <c r="C6" s="634" t="inlineStr">
        <is>
          <t>Parcel Number</t>
        </is>
      </c>
      <c r="D6" s="748">
        <f>Export030823!D2</f>
        <v/>
      </c>
      <c r="E6" s="1558">
        <f>Export030823!D3</f>
        <v/>
      </c>
      <c r="F6" s="1588">
        <f>Export030823!D4</f>
        <v/>
      </c>
      <c r="G6" s="1588">
        <f>Export030823!D5</f>
        <v/>
      </c>
      <c r="H6" s="1590">
        <f>Export030823!D6</f>
        <v/>
      </c>
      <c r="I6" s="1590">
        <f>Export030823!D7</f>
        <v/>
      </c>
      <c r="J6" s="1558" t="inlineStr">
        <is>
          <t>1573-173-14-002</t>
        </is>
      </c>
    </row>
    <row r="7">
      <c r="C7" s="634" t="inlineStr">
        <is>
          <t>Property Type</t>
        </is>
      </c>
      <c r="D7" s="747">
        <f>Export030823!E2</f>
        <v/>
      </c>
      <c r="E7" s="1560">
        <f>Export030823!E3</f>
        <v/>
      </c>
      <c r="F7" s="1568">
        <f>Export030823!E4</f>
        <v/>
      </c>
      <c r="G7" s="1568">
        <f>Export030823!E5</f>
        <v/>
      </c>
      <c r="H7" s="1590">
        <f>Export030823!E6</f>
        <v/>
      </c>
      <c r="I7" s="1590">
        <f>Export030823!E7</f>
        <v/>
      </c>
      <c r="J7" s="1560" t="inlineStr">
        <is>
          <t>ST Daycare Building</t>
        </is>
      </c>
    </row>
    <row r="8">
      <c r="C8" s="634" t="inlineStr">
        <is>
          <t>Sale Date</t>
        </is>
      </c>
      <c r="D8" s="749" t="inlineStr">
        <is>
          <t>N/A</t>
        </is>
      </c>
      <c r="E8" s="1932">
        <f>Export030823!F3</f>
        <v/>
      </c>
      <c r="F8" s="1933">
        <f>Export030823!F4</f>
        <v/>
      </c>
      <c r="G8" s="1933">
        <f>Export030823!F5</f>
        <v/>
      </c>
      <c r="H8" s="1934">
        <f>Export030823!F6</f>
        <v/>
      </c>
      <c r="I8" s="1934">
        <f>Export030823!F7</f>
        <v/>
      </c>
      <c r="J8" s="1932" t="inlineStr">
        <is>
          <t>TBD (Active Listing)</t>
        </is>
      </c>
    </row>
    <row r="9">
      <c r="C9" s="634" t="inlineStr">
        <is>
          <t>Sale Price</t>
        </is>
      </c>
      <c r="D9" s="1935" t="inlineStr">
        <is>
          <t>N/A</t>
        </is>
      </c>
      <c r="E9" s="1936">
        <f>Export030823!G3</f>
        <v/>
      </c>
      <c r="F9" s="1937">
        <f>Export030823!G4</f>
        <v/>
      </c>
      <c r="G9" s="1937">
        <f>Export030823!G5</f>
        <v/>
      </c>
      <c r="H9" s="1938">
        <f>Export030823!G6</f>
        <v/>
      </c>
      <c r="I9" s="1938">
        <f>Export030823!G7</f>
        <v/>
      </c>
      <c r="J9" s="1936" t="inlineStr">
        <is>
          <t>N/A</t>
        </is>
      </c>
    </row>
    <row r="10" hidden="1" s="1439">
      <c r="C10" s="634" t="inlineStr">
        <is>
          <t>Listing Price</t>
        </is>
      </c>
      <c r="D10" s="1935" t="inlineStr">
        <is>
          <t>N/A</t>
        </is>
      </c>
      <c r="E10" s="1936">
        <f>Export030823!I3</f>
        <v/>
      </c>
      <c r="F10" s="1937">
        <f>Export030823!I4</f>
        <v/>
      </c>
      <c r="G10" s="1937">
        <f>Export030823!I5</f>
        <v/>
      </c>
      <c r="H10" s="1938">
        <f>Export030823!I6</f>
        <v/>
      </c>
      <c r="I10" s="1938">
        <f>Export030823!I7</f>
        <v/>
      </c>
      <c r="J10" s="1936" t="n"/>
      <c r="K10" s="1936" t="n">
        <v>6769231</v>
      </c>
    </row>
    <row r="11" hidden="1" s="1439">
      <c r="C11" s="635" t="inlineStr">
        <is>
          <t>Days On Market</t>
        </is>
      </c>
      <c r="D11" s="749" t="inlineStr">
        <is>
          <t>N/A</t>
        </is>
      </c>
      <c r="E11" s="746">
        <f>Export030823!J3</f>
        <v/>
      </c>
      <c r="F11" s="740">
        <f>Export030823!J4</f>
        <v/>
      </c>
      <c r="G11" s="740">
        <f>Export030823!J5</f>
        <v/>
      </c>
      <c r="H11" s="772">
        <f>Export030823!J6</f>
        <v/>
      </c>
      <c r="I11" s="772">
        <f>Export030823!J7</f>
        <v/>
      </c>
      <c r="J11" s="1560" t="n">
        <v>73</v>
      </c>
    </row>
    <row r="12" hidden="1" ht="28.5" customHeight="1" s="1439">
      <c r="C12" s="634" t="inlineStr">
        <is>
          <t>Data Source</t>
        </is>
      </c>
      <c r="D12" s="751" t="inlineStr">
        <is>
          <t>Inspection, Lease, Site Plans, Assessor</t>
        </is>
      </c>
      <c r="E12" s="1558" t="inlineStr">
        <is>
          <t>CoStar, Assessor, Deed</t>
        </is>
      </c>
      <c r="F12" s="1588" t="inlineStr">
        <is>
          <t>CoStar, Assessor, Deed</t>
        </is>
      </c>
      <c r="G12" s="1588" t="inlineStr">
        <is>
          <t>CoStar, Assessor, Deed</t>
        </is>
      </c>
      <c r="H12" s="1579" t="inlineStr">
        <is>
          <t>CoStar, Assessor, Deed</t>
        </is>
      </c>
      <c r="I12" s="1579" t="inlineStr">
        <is>
          <t>CoStar, Assessor, Offering Memorandum</t>
        </is>
      </c>
      <c r="J12" s="1558" t="inlineStr">
        <is>
          <t>CoStar, Assessor, Offering Memorandum</t>
        </is>
      </c>
    </row>
    <row r="13">
      <c r="C13" s="634" t="inlineStr">
        <is>
          <t>Property Size (SF)</t>
        </is>
      </c>
      <c r="D13" s="752">
        <f>Export030823!K2</f>
        <v/>
      </c>
      <c r="E13" s="1555">
        <f>Export030823!K3</f>
        <v/>
      </c>
      <c r="F13" s="1595">
        <f>Export030823!K4</f>
        <v/>
      </c>
      <c r="G13" s="1595">
        <f>Export030823!K5</f>
        <v/>
      </c>
      <c r="H13" s="1577">
        <f>Export030823!K6</f>
        <v/>
      </c>
      <c r="I13" s="1577">
        <f>Export030823!K7</f>
        <v/>
      </c>
      <c r="J13" s="1555" t="n">
        <v>10511</v>
      </c>
    </row>
    <row r="14">
      <c r="C14" s="634" t="inlineStr">
        <is>
          <t>Site Size (SF)</t>
        </is>
      </c>
      <c r="D14" s="753">
        <f>Export030823!L2</f>
        <v/>
      </c>
      <c r="E14" s="1555">
        <f>Export030823!L3</f>
        <v/>
      </c>
      <c r="F14" s="1595">
        <f>Export030823!L4</f>
        <v/>
      </c>
      <c r="G14" s="1595">
        <f>Export030823!L5</f>
        <v/>
      </c>
      <c r="H14" s="1577">
        <f>Export030823!L6</f>
        <v/>
      </c>
      <c r="I14" s="1577">
        <f>Export030823!L7</f>
        <v/>
      </c>
      <c r="J14" s="1555" t="n">
        <v>67954</v>
      </c>
    </row>
    <row r="15" hidden="1" s="1439">
      <c r="C15" s="634" t="inlineStr">
        <is>
          <t>Parking Spaces</t>
        </is>
      </c>
      <c r="D15" s="754" t="n">
        <v>41</v>
      </c>
      <c r="E15" s="741" t="n"/>
      <c r="F15" s="741" t="n"/>
      <c r="G15" s="741" t="n"/>
      <c r="H15" s="742" t="n"/>
      <c r="I15" s="742" t="n"/>
      <c r="J15" s="1562" t="n">
        <v>28</v>
      </c>
    </row>
    <row r="16" hidden="1" ht="70.5" customHeight="1" s="1439">
      <c r="C16" s="634" t="inlineStr">
        <is>
          <t>Comments</t>
        </is>
      </c>
      <c r="D16" s="1939" t="inlineStr">
        <is>
          <t>Single-tenant daycare facility 100% leased long-term to KinderCare on a guaranteed net agreement.</t>
        </is>
      </c>
      <c r="E16" s="1940" t="n"/>
      <c r="F16" s="1940" t="n"/>
      <c r="G16" s="1940" t="n"/>
      <c r="H16" s="1940" t="n"/>
      <c r="I16" s="1940" t="n"/>
      <c r="J16" s="1941" t="inlineStr">
        <is>
          <t>Single-tenant daycare facility 100% leased long-term to Little Sunshine's Playhouse and Preschool, a national tenant.</t>
        </is>
      </c>
      <c r="K16" s="1540" t="n"/>
    </row>
    <row r="17">
      <c r="C17" s="636" t="inlineStr">
        <is>
          <t>Unadjusted Price Per SF</t>
        </is>
      </c>
      <c r="D17" s="1942" t="n"/>
      <c r="E17" s="1943">
        <f>E9/E13</f>
        <v/>
      </c>
      <c r="F17" s="1943">
        <f>F9/F13</f>
        <v/>
      </c>
      <c r="G17" s="1943">
        <f>G9/G13</f>
        <v/>
      </c>
      <c r="H17" s="1943">
        <f>H9/H13</f>
        <v/>
      </c>
      <c r="I17" s="1943">
        <f>I9/I13</f>
        <v/>
      </c>
      <c r="J17" s="639" t="n"/>
      <c r="K17" s="1944">
        <f>K10/J13</f>
        <v/>
      </c>
    </row>
    <row r="18" ht="12.6" customHeight="1" s="1439">
      <c r="C18" s="802" t="inlineStr">
        <is>
          <t>Quantified Adjustments</t>
        </is>
      </c>
      <c r="D18" s="803" t="n"/>
      <c r="E18" s="804" t="n"/>
      <c r="F18" s="804" t="n"/>
      <c r="G18" s="804" t="n"/>
      <c r="H18" s="804" t="n"/>
      <c r="I18" s="804" t="n"/>
      <c r="J18" s="640" t="n"/>
      <c r="K18" s="640" t="n"/>
    </row>
    <row r="19" hidden="1" s="1439">
      <c r="C19" s="641" t="inlineStr">
        <is>
          <t>Sale Type</t>
        </is>
      </c>
      <c r="D19" s="757">
        <f>Export030823!M2</f>
        <v/>
      </c>
      <c r="E19" s="1945">
        <f>Export030823!M3</f>
        <v/>
      </c>
      <c r="F19" s="1945">
        <f>Export030823!M4</f>
        <v/>
      </c>
      <c r="G19" s="1945">
        <f>Export030823!M5</f>
        <v/>
      </c>
      <c r="H19" s="1945">
        <f>Export030823!M6</f>
        <v/>
      </c>
      <c r="I19" s="1945">
        <f>Export030823!M7</f>
        <v/>
      </c>
      <c r="J19" s="643" t="inlineStr">
        <is>
          <t>Leased Fee</t>
        </is>
      </c>
      <c r="K19" s="1946" t="n"/>
    </row>
    <row r="20">
      <c r="C20" s="634" t="inlineStr">
        <is>
          <t>Financing</t>
        </is>
      </c>
      <c r="D20" s="749" t="inlineStr">
        <is>
          <t>Market Based</t>
        </is>
      </c>
      <c r="E20" s="1947">
        <f>Export030823!N3</f>
        <v/>
      </c>
      <c r="F20" s="1947">
        <f>Export030823!N4</f>
        <v/>
      </c>
      <c r="G20" s="1947">
        <f>Export030823!N5</f>
        <v/>
      </c>
      <c r="H20" s="1947">
        <f>Export030823!N6</f>
        <v/>
      </c>
      <c r="I20" s="1947">
        <f>Export030823!N7</f>
        <v/>
      </c>
      <c r="J20" s="648" t="n"/>
      <c r="K20" s="1948" t="n">
        <v>0</v>
      </c>
    </row>
    <row r="21">
      <c r="C21" s="634" t="inlineStr">
        <is>
          <t>Terms/Conditions of Sale</t>
        </is>
      </c>
      <c r="D21" s="749" t="inlineStr">
        <is>
          <t>None</t>
        </is>
      </c>
      <c r="E21" s="1947">
        <f>Export030823!O3</f>
        <v/>
      </c>
      <c r="F21" s="1947">
        <f>Export030823!O4</f>
        <v/>
      </c>
      <c r="G21" s="1947">
        <f>Export030823!O5</f>
        <v/>
      </c>
      <c r="H21" s="1947">
        <f>Export030823!O6</f>
        <v/>
      </c>
      <c r="I21" s="1947">
        <f>Export030823!O7</f>
        <v/>
      </c>
      <c r="J21" s="646" t="inlineStr">
        <is>
          <t>Active Listing</t>
        </is>
      </c>
      <c r="K21" s="1948" t="n">
        <v>-0.05</v>
      </c>
    </row>
    <row r="22">
      <c r="C22" s="634" t="inlineStr">
        <is>
          <t>Expenditures After Sale</t>
        </is>
      </c>
      <c r="D22" s="749" t="inlineStr">
        <is>
          <t>None</t>
        </is>
      </c>
      <c r="E22" s="1947">
        <f>Export030823!P3</f>
        <v/>
      </c>
      <c r="F22" s="1947">
        <f>Export030823!P4</f>
        <v/>
      </c>
      <c r="G22" s="1947">
        <f>Export030823!P5</f>
        <v/>
      </c>
      <c r="H22" s="1947">
        <f>Export030823!P6</f>
        <v/>
      </c>
      <c r="I22" s="1947">
        <f>Export030823!P7</f>
        <v/>
      </c>
      <c r="J22" s="648" t="n"/>
      <c r="K22" s="1948" t="n">
        <v>0</v>
      </c>
    </row>
    <row r="23">
      <c r="C23" s="634" t="inlineStr">
        <is>
          <t>Market Conditions</t>
        </is>
      </c>
      <c r="D23" s="749" t="inlineStr">
        <is>
          <t>N/A</t>
        </is>
      </c>
      <c r="E23" s="1947">
        <f>Export030823!Q3</f>
        <v/>
      </c>
      <c r="F23" s="1947">
        <f>Export030823!Q4</f>
        <v/>
      </c>
      <c r="G23" s="1947">
        <f>Export030823!Q5</f>
        <v/>
      </c>
      <c r="H23" s="1947">
        <f>Export030823!Q6</f>
        <v/>
      </c>
      <c r="I23" s="1947">
        <f>Export030823!Q7</f>
        <v/>
      </c>
      <c r="J23" s="648" t="n"/>
      <c r="K23" s="1948" t="n">
        <v>0</v>
      </c>
    </row>
    <row r="24" hidden="1" s="1439">
      <c r="C24" s="644" t="inlineStr">
        <is>
          <t>Market Conditions Adjusted</t>
        </is>
      </c>
      <c r="D24" s="749" t="n"/>
      <c r="E24" s="1949">
        <f>IF(LEFT(CELL("format",E23),1)="P",E17*(1+E23),IF(LEFT(CELL("format",E23),1)="C",E17+E23))</f>
        <v/>
      </c>
      <c r="F24" s="1949">
        <f>IF(LEFT(CELL("format",F23),1)="P",F17*(1+F23),IF(LEFT(CELL("format",F23),1)="C",F17+F23))</f>
        <v/>
      </c>
      <c r="G24" s="1949">
        <f>IF(LEFT(CELL("format",G23),1)="P",G17*(1+G23),IF(LEFT(CELL("format",G23),1)="C",G17+G23))</f>
        <v/>
      </c>
      <c r="H24" s="1949">
        <f>IF(LEFT(CELL("format",H23),1)="P",H17*(1+H23),IF(LEFT(CELL("format",H23),1)="C",H17+H23))</f>
        <v/>
      </c>
      <c r="I24" s="1949">
        <f>IF(LEFT(CELL("format",I23),1)="P",I17*(1+I23),IF(LEFT(CELL("format",I23),1)="C",I17+I23))</f>
        <v/>
      </c>
      <c r="J24" s="646" t="n"/>
      <c r="K24" s="1950">
        <f>IF(LEFT(CELL("format",K23),1)="P",K17*(1+K23),IF(LEFT(CELL("format",K23),1)="C",K17+K23))</f>
        <v/>
      </c>
    </row>
    <row r="25" ht="18.75" customHeight="1" s="1439">
      <c r="C25" s="649" t="inlineStr">
        <is>
          <t>Total Quantified Adjustment</t>
        </is>
      </c>
      <c r="D25" s="758" t="n"/>
      <c r="E25" s="1951">
        <f>SUM(E19:E23)</f>
        <v/>
      </c>
      <c r="F25" s="1951">
        <f>SUM(F19:F23)</f>
        <v/>
      </c>
      <c r="G25" s="1951">
        <f>SUM(G19:G23)</f>
        <v/>
      </c>
      <c r="H25" s="1951">
        <f>SUM(H19:H23)</f>
        <v/>
      </c>
      <c r="I25" s="1951">
        <f>SUM(I19:I23)</f>
        <v/>
      </c>
      <c r="J25" s="651" t="n"/>
      <c r="K25" s="650">
        <f>IFERROR(TEXT(K24-K17,"$#,##0.00")&amp;CHAR(10)&amp;" or "&amp;CHAR(10)&amp;TEXT((K24-K17)/K17,"0.00%"),0)</f>
        <v/>
      </c>
    </row>
    <row r="26">
      <c r="C26" s="652" t="inlineStr">
        <is>
          <t>Quantitatively Adjusted Price</t>
        </is>
      </c>
      <c r="D26" s="759" t="n"/>
      <c r="E26" s="1952">
        <f>E17+(E17*E25)</f>
        <v/>
      </c>
      <c r="F26" s="1952">
        <f>F17+(F17*F25)</f>
        <v/>
      </c>
      <c r="G26" s="1952">
        <f>G17+(G17*G25)</f>
        <v/>
      </c>
      <c r="H26" s="1952">
        <f>H17+(H17*H25)</f>
        <v/>
      </c>
      <c r="I26" s="1952">
        <f>I17+(I17*I25)</f>
        <v/>
      </c>
      <c r="J26" s="651" t="n"/>
      <c r="K26" s="1953">
        <f>K24</f>
        <v/>
      </c>
    </row>
    <row r="27">
      <c r="C27" s="802" t="inlineStr">
        <is>
          <t>Qualitative Adjustments</t>
        </is>
      </c>
      <c r="D27" s="803" t="n"/>
      <c r="E27" s="1954" t="n"/>
      <c r="F27" s="804" t="n"/>
      <c r="G27" s="804" t="n"/>
      <c r="H27" s="804" t="n"/>
      <c r="I27" s="804" t="n"/>
      <c r="J27" s="656" t="n"/>
      <c r="K27" s="1955">
        <f>SUM(K19:K25)+1</f>
        <v/>
      </c>
    </row>
    <row r="28">
      <c r="C28" s="762">
        <f>Export030823!R1</f>
        <v/>
      </c>
      <c r="D28" s="764">
        <f>Export030823!R2</f>
        <v/>
      </c>
      <c r="E28" s="1947">
        <f>Export030823!R3</f>
        <v/>
      </c>
      <c r="F28" s="1947">
        <f>Export030823!R4</f>
        <v/>
      </c>
      <c r="G28" s="1947">
        <f>Export030823!R5</f>
        <v/>
      </c>
      <c r="H28" s="1947">
        <f>Export030823!R6</f>
        <v/>
      </c>
      <c r="I28" s="1947">
        <f>Export030823!R7</f>
        <v/>
      </c>
      <c r="J28" s="658" t="inlineStr">
        <is>
          <t>Good</t>
        </is>
      </c>
      <c r="K28" s="1956" t="n">
        <v>0</v>
      </c>
    </row>
    <row r="29">
      <c r="C29" s="763">
        <f>Export030823!S1</f>
        <v/>
      </c>
      <c r="D29" s="765">
        <f>Export030823!S2</f>
        <v/>
      </c>
      <c r="E29" s="1947">
        <f>Export030823!S3</f>
        <v/>
      </c>
      <c r="F29" s="1947">
        <f>Export030823!S4</f>
        <v/>
      </c>
      <c r="G29" s="1947">
        <f>Export030823!S5</f>
        <v/>
      </c>
      <c r="H29" s="1947">
        <f>Export030823!S6</f>
        <v/>
      </c>
      <c r="I29" s="1947">
        <f>Export030823!S7</f>
        <v/>
      </c>
      <c r="J29" s="659">
        <f>J13</f>
        <v/>
      </c>
      <c r="K29" s="1956" t="n">
        <v>0</v>
      </c>
    </row>
    <row r="30">
      <c r="C30" s="763">
        <f>Export030823!T1</f>
        <v/>
      </c>
      <c r="D30" s="788">
        <f>Export030823!T2</f>
        <v/>
      </c>
      <c r="E30" s="1947">
        <f>Export030823!T3</f>
        <v/>
      </c>
      <c r="F30" s="1947">
        <f>Export030823!T4</f>
        <v/>
      </c>
      <c r="G30" s="1947">
        <f>Export030823!T5</f>
        <v/>
      </c>
      <c r="H30" s="1947">
        <f>Export030823!T6</f>
        <v/>
      </c>
      <c r="I30" s="1947">
        <f>Export030823!T7</f>
        <v/>
      </c>
      <c r="J30" s="658" t="inlineStr">
        <is>
          <t>2019 / Very Good</t>
        </is>
      </c>
      <c r="K30" s="1956" t="n">
        <v>0</v>
      </c>
    </row>
    <row r="31">
      <c r="C31" s="762">
        <f>Export030823!U1</f>
        <v/>
      </c>
      <c r="D31" s="764">
        <f>Export030823!U2</f>
        <v/>
      </c>
      <c r="E31" s="1947">
        <f>Export030823!U3</f>
        <v/>
      </c>
      <c r="F31" s="1947">
        <f>Export030823!U4</f>
        <v/>
      </c>
      <c r="G31" s="1947">
        <f>Export030823!U5</f>
        <v/>
      </c>
      <c r="H31" s="1947">
        <f>Export030823!U6</f>
        <v/>
      </c>
      <c r="I31" s="1947">
        <f>Export030823!U7</f>
        <v/>
      </c>
      <c r="J31" s="658" t="inlineStr">
        <is>
          <t>Good</t>
        </is>
      </c>
      <c r="K31" s="1956" t="n">
        <v>0</v>
      </c>
    </row>
    <row r="32">
      <c r="C32" s="763">
        <f>Export030823!V1</f>
        <v/>
      </c>
      <c r="D32" s="766">
        <f>Export030823!V2</f>
        <v/>
      </c>
      <c r="E32" s="1947">
        <f>Export030823!V3</f>
        <v/>
      </c>
      <c r="F32" s="1947">
        <f>Export030823!V4</f>
        <v/>
      </c>
      <c r="G32" s="1947">
        <f>Export030823!V5</f>
        <v/>
      </c>
      <c r="H32" s="1947">
        <f>Export030823!V6</f>
        <v/>
      </c>
      <c r="I32" s="1947">
        <f>Export030823!V7</f>
        <v/>
      </c>
      <c r="J32" s="660">
        <f>ROUND((J15/J13)*1000,2)&amp; ":1,000 SF"</f>
        <v/>
      </c>
      <c r="K32" s="1956" t="n">
        <v>0</v>
      </c>
    </row>
    <row r="33">
      <c r="C33" s="762">
        <f>Export030823!W1</f>
        <v/>
      </c>
      <c r="D33" s="764">
        <f>Export030823!W2</f>
        <v/>
      </c>
      <c r="E33" s="1947">
        <f>Export030823!W3</f>
        <v/>
      </c>
      <c r="F33" s="1947">
        <f>Export030823!W4</f>
        <v/>
      </c>
      <c r="G33" s="1947">
        <f>Export030823!W5</f>
        <v/>
      </c>
      <c r="H33" s="1947">
        <f>Export030823!W6</f>
        <v/>
      </c>
      <c r="I33" s="1947">
        <f>Export030823!W7</f>
        <v/>
      </c>
      <c r="J33" s="658" t="inlineStr">
        <is>
          <t>Good</t>
        </is>
      </c>
      <c r="K33" s="1956" t="n">
        <v>0</v>
      </c>
    </row>
    <row r="34">
      <c r="C34" s="763">
        <f>Export030823!X1</f>
        <v/>
      </c>
      <c r="D34" s="764">
        <f>Export030823!X2</f>
        <v/>
      </c>
      <c r="E34" s="1957">
        <f>Export030823!X3</f>
        <v/>
      </c>
      <c r="F34" s="1957">
        <f>Export030823!X4</f>
        <v/>
      </c>
      <c r="G34" s="1957">
        <f>Export030823!X5</f>
        <v/>
      </c>
      <c r="H34" s="1957">
        <f>Export030823!X6</f>
        <v/>
      </c>
      <c r="I34" s="1957">
        <f>Export030823!X7</f>
        <v/>
      </c>
      <c r="J34" s="662" t="inlineStr">
        <is>
          <t>Good</t>
        </is>
      </c>
      <c r="K34" s="1958" t="n">
        <v>0</v>
      </c>
    </row>
    <row r="35">
      <c r="C35" s="663" t="inlineStr">
        <is>
          <t>Total Non Quantified Adj.</t>
        </is>
      </c>
      <c r="D35" s="760" t="n"/>
      <c r="E35" s="1959">
        <f>SUM(E28,E29,E30,E31,E32,E33,E34)</f>
        <v/>
      </c>
      <c r="F35" s="1959">
        <f>SUM(F28,F29,F30,F31,F32,F33,F34)</f>
        <v/>
      </c>
      <c r="G35" s="1959">
        <f>SUM(G28,G29,G30,G31,G32,G33,G34)</f>
        <v/>
      </c>
      <c r="H35" s="1959">
        <f>SUM(H28,H29,H30,H31,H32,H33,H34)</f>
        <v/>
      </c>
      <c r="I35" s="1960">
        <f>SUM(I28,I29,I30,I31,I32,I33,I34)</f>
        <v/>
      </c>
      <c r="J35" s="636" t="n"/>
      <c r="K35" s="1961">
        <f>SUM(K28,K29,K30,K31,K32,K33,K34)</f>
        <v/>
      </c>
    </row>
    <row r="36">
      <c r="C36" s="665" t="inlineStr">
        <is>
          <t>Indication for Subject:</t>
        </is>
      </c>
      <c r="D36" s="761" t="n"/>
      <c r="E36" s="1962">
        <f>E26+(E26*E35)</f>
        <v/>
      </c>
      <c r="F36" s="1963">
        <f>F26+(F26*F35)</f>
        <v/>
      </c>
      <c r="G36" s="1964">
        <f>G26+(G26*G35)</f>
        <v/>
      </c>
      <c r="H36" s="1964">
        <f>H26+(H26*H35)</f>
        <v/>
      </c>
      <c r="I36" s="1964">
        <f>I26+(I26*I35)</f>
        <v/>
      </c>
      <c r="J36" s="668" t="n"/>
      <c r="K36" s="1965">
        <f>IF(LEFT(CELL("format",K35),1)="P",K26*(1+K35),IF(LEFT(CELL("format",K35),1)="C",K26+K35))</f>
        <v/>
      </c>
    </row>
    <row r="37" hidden="1" s="1439"/>
    <row r="39">
      <c r="C39" s="1545" t="inlineStr">
        <is>
          <t xml:space="preserve">SALES COMPARISON APPROACH VALUE CONCLUSION </t>
        </is>
      </c>
    </row>
    <row r="40">
      <c r="C40" s="1550" t="inlineStr">
        <is>
          <t>Indicated Value per SF</t>
        </is>
      </c>
      <c r="D40" s="1819" t="n">
        <v>120</v>
      </c>
    </row>
    <row r="41">
      <c r="C41" s="1550" t="inlineStr">
        <is>
          <t>Building Area (SF)</t>
        </is>
      </c>
      <c r="D41" s="1966">
        <f>'Property Info'!B4</f>
        <v/>
      </c>
    </row>
    <row r="42" hidden="1" s="1439">
      <c r="C42" s="899">
        <f>IF(D43=0,"HIDE THIS ROW IF NO DEFERRED MAINTENANCE", "Indicated Value")</f>
        <v/>
      </c>
      <c r="D42" s="1967">
        <f>D40*D41</f>
        <v/>
      </c>
    </row>
    <row r="43" hidden="1" s="1439">
      <c r="C43" s="901" t="inlineStr">
        <is>
          <t xml:space="preserve">Contract Price </t>
        </is>
      </c>
      <c r="D43" s="1968" t="n">
        <v>0</v>
      </c>
    </row>
    <row r="44" hidden="1" s="1439">
      <c r="C44" s="1969">
        <f>D42+D43</f>
        <v/>
      </c>
      <c r="D44" s="1458" t="n"/>
    </row>
    <row r="45">
      <c r="C45" s="903">
        <f>IF(SUM(D43:D43)=0,"Indicated Value","Indicated Value - Adjusted")</f>
        <v/>
      </c>
      <c r="D45" s="1970">
        <f>C44</f>
        <v/>
      </c>
    </row>
    <row r="46">
      <c r="C46" s="1825" t="n">
        <v>5000</v>
      </c>
      <c r="D46" s="1826">
        <f>ROUND((D45/C46),0)*C46</f>
        <v/>
      </c>
    </row>
    <row r="47">
      <c r="C47" s="1684" t="inlineStr">
        <is>
          <t>Per SF</t>
        </is>
      </c>
      <c r="D47" s="1827">
        <f>D46/D41</f>
        <v/>
      </c>
      <c r="F47" s="1971" t="n"/>
      <c r="G47" s="1692" t="n"/>
    </row>
    <row r="48" hidden="1" s="1439">
      <c r="F48" s="909" t="n"/>
      <c r="G48" s="909" t="n"/>
    </row>
    <row r="49" hidden="1" s="1439"/>
    <row r="51">
      <c r="C51" s="722" t="inlineStr">
        <is>
          <t>Assessor's Assigned Value</t>
        </is>
      </c>
      <c r="D51" s="1972">
        <f>'Property Info'!B20</f>
        <v/>
      </c>
      <c r="E51" s="1973">
        <f>D51/D29</f>
        <v/>
      </c>
    </row>
    <row r="52">
      <c r="C52" s="725" t="inlineStr">
        <is>
          <t>Petition Value</t>
        </is>
      </c>
      <c r="D52" s="1974">
        <f>'Property Info'!B21</f>
        <v/>
      </c>
      <c r="E52" s="1975">
        <f>'Basic Sales Grid'!D52/'Basic Sales Grid'!D29</f>
        <v/>
      </c>
      <c r="O52" s="1488" t="inlineStr">
        <is>
          <t>COMPARABLE SALE SEARCH</t>
        </is>
      </c>
    </row>
    <row r="53" ht="16.5" customHeight="1" s="1439">
      <c r="O53" s="910" t="inlineStr">
        <is>
          <t>SEARCH FOR COMPARABLE SALES</t>
        </is>
      </c>
      <c r="P53" s="910" t="n"/>
    </row>
    <row r="54">
      <c r="O54" s="1051" t="inlineStr">
        <is>
          <t>Property Type Searched</t>
        </is>
      </c>
      <c r="P54" s="1212" t="inlineStr">
        <is>
          <t>Industrial</t>
        </is>
      </c>
    </row>
    <row r="55">
      <c r="O55" s="1051" t="inlineStr">
        <is>
          <t>Search Radius</t>
        </is>
      </c>
      <c r="P55" s="1212" t="inlineStr">
        <is>
          <t>5-Miles</t>
        </is>
      </c>
    </row>
    <row r="56">
      <c r="O56" s="1051" t="inlineStr">
        <is>
          <t>SF Parameters</t>
        </is>
      </c>
      <c r="P56" s="1212" t="inlineStr">
        <is>
          <t>20,000 SF - 40,000 SF</t>
        </is>
      </c>
    </row>
    <row r="57">
      <c r="O57" s="1051" t="inlineStr">
        <is>
          <t>Property Rights Conveyed</t>
        </is>
      </c>
      <c r="P57" s="1212" t="inlineStr">
        <is>
          <t>Fee Simple</t>
        </is>
      </c>
    </row>
    <row r="58">
      <c r="O58" s="910" t="inlineStr">
        <is>
          <t>COMPARABLES UTILIZED</t>
        </is>
      </c>
      <c r="P58" s="910" t="n"/>
    </row>
    <row r="59">
      <c r="O59" s="1051" t="inlineStr">
        <is>
          <t>Sales</t>
        </is>
      </c>
      <c r="P59" s="1489" t="n">
        <v>4</v>
      </c>
    </row>
    <row r="60">
      <c r="O60" s="1052" t="inlineStr">
        <is>
          <t>Confirmations</t>
        </is>
      </c>
      <c r="P60" s="1334" t="inlineStr">
        <is>
          <t>All pertinent information verified.</t>
        </is>
      </c>
    </row>
    <row r="62" ht="13.5" customHeight="1" s="1439"/>
    <row r="63">
      <c r="R63" s="1488" t="inlineStr">
        <is>
          <t>RANKING OF THE SUBJECT PROPERTY</t>
        </is>
      </c>
    </row>
    <row r="64">
      <c r="R64" s="888" t="inlineStr">
        <is>
          <t>COMPARABLE</t>
        </is>
      </c>
      <c r="S64" s="888" t="inlineStr">
        <is>
          <t>VALUE PSF</t>
        </is>
      </c>
      <c r="T64" s="888" t="inlineStr">
        <is>
          <t>COMPARISON</t>
        </is>
      </c>
    </row>
    <row r="65">
      <c r="R65" s="1335" t="n">
        <v>4</v>
      </c>
      <c r="S65" s="1720">
        <f>H36</f>
        <v/>
      </c>
      <c r="T65" s="1335" t="inlineStr">
        <is>
          <t>Below</t>
        </is>
      </c>
    </row>
    <row r="66">
      <c r="R66" s="1335" t="n">
        <v>2</v>
      </c>
      <c r="S66" s="1720">
        <f>F36</f>
        <v/>
      </c>
      <c r="T66" s="1335" t="inlineStr">
        <is>
          <t>Below</t>
        </is>
      </c>
    </row>
    <row r="67">
      <c r="R67" s="1336" t="inlineStr">
        <is>
          <t>Subject</t>
        </is>
      </c>
      <c r="S67" s="1976" t="n">
        <v>120</v>
      </c>
      <c r="T67" s="1338" t="n"/>
    </row>
    <row r="68">
      <c r="R68" s="1335" t="n">
        <v>3</v>
      </c>
      <c r="S68" s="1720">
        <f>G36</f>
        <v/>
      </c>
      <c r="T68" s="1335" t="inlineStr">
        <is>
          <t>Above</t>
        </is>
      </c>
    </row>
    <row r="69">
      <c r="R69" s="1339" t="n">
        <v>1</v>
      </c>
      <c r="S69" s="1725">
        <f>E36</f>
        <v/>
      </c>
      <c r="T69" s="1339" t="inlineStr">
        <is>
          <t>Above</t>
        </is>
      </c>
    </row>
    <row r="70" hidden="1" s="1439">
      <c r="R70" s="911" t="n">
        <v>1</v>
      </c>
      <c r="S70" s="1977" t="n">
        <v>69.87</v>
      </c>
      <c r="T70" s="911" t="inlineStr">
        <is>
          <t>Inferior</t>
        </is>
      </c>
    </row>
  </sheetData>
  <mergeCells count="18">
    <mergeCell ref="J3:K3"/>
    <mergeCell ref="J4:K4"/>
    <mergeCell ref="J11:K11"/>
    <mergeCell ref="J12:K12"/>
    <mergeCell ref="J5:K5"/>
    <mergeCell ref="R63:T63"/>
    <mergeCell ref="J6:K6"/>
    <mergeCell ref="J16:K16"/>
    <mergeCell ref="J14:K14"/>
    <mergeCell ref="J15:K15"/>
    <mergeCell ref="J7:K7"/>
    <mergeCell ref="O52:P52"/>
    <mergeCell ref="C44:D44"/>
    <mergeCell ref="C2:I2"/>
    <mergeCell ref="J13:K13"/>
    <mergeCell ref="J8:K8"/>
    <mergeCell ref="C39:D39"/>
    <mergeCell ref="J9:K9"/>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2">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topLeftCell="A46" zoomScale="120" zoomScaleNormal="120" workbookViewId="0">
      <selection activeCell="D61" sqref="D61"/>
    </sheetView>
  </sheetViews>
  <sheetFormatPr baseColWidth="8" defaultRowHeight="15"/>
  <cols>
    <col width="37.85546875" bestFit="1" customWidth="1" style="1439" min="3" max="3"/>
    <col width="26" bestFit="1" customWidth="1" style="1439" min="4" max="4"/>
    <col width="22.7109375" customWidth="1" style="1439" min="5" max="5"/>
    <col width="10.5703125" bestFit="1" customWidth="1" style="1439" min="6" max="6"/>
    <col width="22.7109375" customWidth="1" style="1439" min="7" max="7"/>
    <col width="9.140625" bestFit="1" customWidth="1" style="1439" min="8" max="8"/>
    <col width="22.7109375" customWidth="1" style="1439" min="9" max="9"/>
    <col width="9.140625" bestFit="1" customWidth="1" style="1439" min="10" max="10"/>
    <col width="23.85546875" customWidth="1" style="1439" min="11" max="11"/>
    <col width="9.140625" bestFit="1" customWidth="1" style="1439" min="12" max="12"/>
    <col width="22.7109375" customWidth="1" style="1439" min="13" max="13"/>
    <col width="9.140625" bestFit="1" customWidth="1" style="1439" min="14" max="14"/>
    <col hidden="1" width="20.7109375" customWidth="1" style="1439" min="15" max="15"/>
    <col hidden="1" width="8.85546875" customWidth="1" style="1439" min="16" max="16"/>
  </cols>
  <sheetData>
    <row r="2">
      <c r="C2" s="1567" t="inlineStr">
        <is>
          <t>COMPARABLE SALE ADJUSTMENT GRID</t>
        </is>
      </c>
    </row>
    <row r="3">
      <c r="C3" s="502" t="n"/>
      <c r="D3" s="502" t="inlineStr">
        <is>
          <t>Subject</t>
        </is>
      </c>
      <c r="E3" s="1587" t="n"/>
      <c r="G3" s="1543" t="n"/>
      <c r="I3" s="1543" t="n"/>
      <c r="K3" s="1587" t="n"/>
      <c r="M3" s="1543" t="n"/>
      <c r="O3" s="1589" t="n"/>
    </row>
    <row r="4">
      <c r="C4" s="503" t="inlineStr">
        <is>
          <t>Address</t>
        </is>
      </c>
      <c r="D4" s="505" t="inlineStr">
        <is>
          <t>5668 North Beeler Street</t>
        </is>
      </c>
      <c r="E4" s="1590" t="n"/>
      <c r="F4" s="1565" t="n"/>
      <c r="G4" s="1564" t="n"/>
      <c r="H4" s="1565" t="n"/>
      <c r="I4" s="1564" t="n"/>
      <c r="J4" s="1565" t="n"/>
      <c r="K4" s="1564" t="n"/>
      <c r="L4" s="1565" t="n"/>
      <c r="M4" s="1566" t="n"/>
      <c r="O4" s="1578" t="n"/>
    </row>
    <row r="5">
      <c r="C5" s="503" t="inlineStr">
        <is>
          <t>City, State</t>
        </is>
      </c>
      <c r="D5" s="504" t="inlineStr">
        <is>
          <t>Denver, CO</t>
        </is>
      </c>
      <c r="E5" s="1590" t="n"/>
      <c r="F5" s="1565" t="n"/>
      <c r="G5" s="1564" t="n"/>
      <c r="H5" s="1565" t="n"/>
      <c r="I5" s="1564" t="n"/>
      <c r="J5" s="1565" t="n"/>
      <c r="K5" s="1564" t="n"/>
      <c r="L5" s="1565" t="n"/>
      <c r="M5" s="1566" t="n"/>
      <c r="O5" s="1578" t="n"/>
    </row>
    <row r="6">
      <c r="C6" s="503" t="inlineStr">
        <is>
          <t>Parcel Number</t>
        </is>
      </c>
      <c r="D6" s="505" t="inlineStr">
        <is>
          <t>1103-40-003-000</t>
        </is>
      </c>
      <c r="E6" s="1579" t="n"/>
      <c r="F6" s="1565" t="n"/>
      <c r="G6" s="1564" t="n"/>
      <c r="H6" s="1565" t="n"/>
      <c r="I6" s="1564" t="n"/>
      <c r="J6" s="1565" t="n"/>
      <c r="K6" s="1564" t="n"/>
      <c r="L6" s="1565" t="n"/>
      <c r="M6" s="1538" t="n"/>
      <c r="O6" s="1578" t="n"/>
    </row>
    <row r="7">
      <c r="C7" s="503" t="inlineStr">
        <is>
          <t>Property Type</t>
        </is>
      </c>
      <c r="D7" s="505" t="inlineStr">
        <is>
          <t>Daycare Building</t>
        </is>
      </c>
      <c r="E7" s="1568" t="n"/>
      <c r="G7" s="1564" t="n"/>
      <c r="H7" s="1565" t="n"/>
      <c r="I7" s="1566" t="n"/>
      <c r="K7" s="1564" t="n"/>
      <c r="L7" s="1565" t="n"/>
      <c r="M7" s="1566" t="n"/>
      <c r="O7" s="1578" t="n"/>
    </row>
    <row r="8">
      <c r="C8" s="503" t="inlineStr">
        <is>
          <t>Sale Date</t>
        </is>
      </c>
      <c r="D8" s="506" t="inlineStr">
        <is>
          <t>N/A</t>
        </is>
      </c>
      <c r="E8" s="1933" t="n"/>
      <c r="G8" s="1978" t="n"/>
      <c r="H8" s="1565" t="n"/>
      <c r="I8" s="1979" t="n"/>
      <c r="K8" s="1978" t="n"/>
      <c r="L8" s="1565" t="n"/>
      <c r="M8" s="1979" t="n"/>
      <c r="O8" s="1980" t="n"/>
    </row>
    <row r="9">
      <c r="C9" s="503" t="inlineStr">
        <is>
          <t>Sale Price</t>
        </is>
      </c>
      <c r="D9" s="1981" t="n">
        <v>6555000</v>
      </c>
      <c r="E9" s="1938" t="n"/>
      <c r="F9" s="1565" t="n"/>
      <c r="G9" s="1982" t="n"/>
      <c r="H9" s="1565" t="n"/>
      <c r="I9" s="1982" t="n"/>
      <c r="J9" s="1565" t="n"/>
      <c r="K9" s="1982" t="n"/>
      <c r="L9" s="1565" t="n"/>
      <c r="M9" s="1983" t="n"/>
      <c r="O9" s="1984" t="n"/>
    </row>
    <row r="10">
      <c r="C10" s="503" t="inlineStr">
        <is>
          <t>Listing Price</t>
        </is>
      </c>
      <c r="D10" s="1981" t="n">
        <v>6555000</v>
      </c>
      <c r="E10" s="1937" t="n"/>
      <c r="F10" s="1936" t="n"/>
      <c r="G10" s="1982" t="n"/>
      <c r="H10" s="1565" t="n"/>
      <c r="I10" s="1982" t="n"/>
      <c r="J10" s="1565" t="n"/>
      <c r="K10" s="1982" t="n"/>
      <c r="L10" s="1565" t="n"/>
      <c r="M10" s="1983" t="n"/>
      <c r="O10" s="1984" t="n"/>
    </row>
    <row r="11">
      <c r="C11" s="503" t="inlineStr">
        <is>
          <t>Days On Market</t>
        </is>
      </c>
      <c r="D11" s="506" t="inlineStr">
        <is>
          <t>N/A</t>
        </is>
      </c>
      <c r="E11" s="1568" t="n"/>
      <c r="G11" s="1564" t="n"/>
      <c r="H11" s="1565" t="n"/>
      <c r="I11" s="1564" t="n"/>
      <c r="J11" s="1565" t="n"/>
      <c r="K11" s="1985" t="n"/>
      <c r="L11" s="1565" t="n"/>
      <c r="M11" s="508" t="n"/>
      <c r="N11" s="1578" t="n"/>
      <c r="O11" s="1578" t="n"/>
    </row>
    <row r="12" ht="38.25" customHeight="1" s="1439">
      <c r="C12" s="503" t="inlineStr">
        <is>
          <t>Data Source</t>
        </is>
      </c>
      <c r="D12" s="510" t="inlineStr">
        <is>
          <t>Assessor, Inspection, Buyer, Lease</t>
        </is>
      </c>
      <c r="E12" s="1588" t="n"/>
      <c r="G12" s="1582" t="n"/>
      <c r="H12" s="1565" t="n"/>
      <c r="I12" s="1580" t="n"/>
      <c r="K12" s="1582" t="n"/>
      <c r="L12" s="1565" t="n"/>
      <c r="M12" s="1580" t="n"/>
      <c r="O12" s="1583" t="n"/>
    </row>
    <row r="13">
      <c r="C13" s="503" t="inlineStr">
        <is>
          <t>Property Size (SF)</t>
        </is>
      </c>
      <c r="D13" s="511">
        <f>'Property Info'!B4</f>
        <v/>
      </c>
      <c r="E13" s="1577" t="n"/>
      <c r="F13" s="1565" t="n"/>
      <c r="G13" s="1574" t="n"/>
      <c r="H13" s="1565" t="n"/>
      <c r="I13" s="1574" t="n"/>
      <c r="J13" s="1565" t="n"/>
      <c r="K13" s="1574" t="n"/>
      <c r="L13" s="1565" t="n"/>
      <c r="M13" s="1573" t="n"/>
      <c r="O13" s="1563" t="n"/>
    </row>
    <row r="14">
      <c r="C14" s="503" t="inlineStr">
        <is>
          <t>Site Size (SF)</t>
        </is>
      </c>
      <c r="D14" s="511">
        <f>'Property Info'!B11</f>
        <v/>
      </c>
      <c r="E14" s="1595" t="n"/>
      <c r="G14" s="1574" t="n"/>
      <c r="H14" s="1565" t="n"/>
      <c r="I14" s="1573" t="n"/>
      <c r="K14" s="1574" t="n"/>
      <c r="L14" s="1565" t="n"/>
      <c r="M14" s="1573" t="n"/>
      <c r="O14" s="1563" t="n"/>
      <c r="V14" s="471" t="inlineStr">
        <is>
          <t>COMPARABLE SALE ADJUSTMENT GRID</t>
        </is>
      </c>
    </row>
    <row r="15">
      <c r="C15" s="503" t="inlineStr">
        <is>
          <t>Parking Spaces</t>
        </is>
      </c>
      <c r="D15" s="511" t="n">
        <v>26</v>
      </c>
      <c r="E15" s="1581" t="n"/>
      <c r="G15" s="1574" t="n"/>
      <c r="H15" s="1565" t="n"/>
      <c r="I15" s="1574" t="n"/>
      <c r="J15" s="1565" t="n"/>
      <c r="K15" s="1574" t="n"/>
      <c r="L15" s="1565" t="n"/>
      <c r="M15" s="1573" t="n"/>
      <c r="O15" s="1563" t="n"/>
    </row>
    <row r="16" ht="72" customHeight="1" s="1439">
      <c r="C16" s="503" t="inlineStr">
        <is>
          <t>Comments</t>
        </is>
      </c>
      <c r="D16" s="1986" t="inlineStr">
        <is>
          <t>Owner-user daycare facility</t>
        </is>
      </c>
      <c r="E16" s="1987" t="inlineStr">
        <is>
          <t>Single-tenant daycare facility 100% leased long-term to Prestige Preschool Academy, a national tenant.</t>
        </is>
      </c>
      <c r="F16" s="1585" t="n"/>
      <c r="G16" s="1988" t="inlineStr">
        <is>
          <t>Daycare Facility, leased to a franchise tenant at TOS.</t>
        </is>
      </c>
      <c r="H16" s="1585" t="n"/>
      <c r="I16" s="1988" t="inlineStr">
        <is>
          <t xml:space="preserve">Daycare facility, leased to a local tenant at TOS. </t>
        </is>
      </c>
      <c r="J16" s="1585" t="n"/>
      <c r="K16" s="1988" t="inlineStr">
        <is>
          <t xml:space="preserve">Daycare building, local franchise lease at TOS. </t>
        </is>
      </c>
      <c r="L16" s="1585" t="n"/>
      <c r="M16" s="1989" t="inlineStr">
        <is>
          <t xml:space="preserve">Daycare building, local franchise lease at TOS. </t>
        </is>
      </c>
      <c r="N16" s="1540" t="n"/>
      <c r="O16" s="1990" t="inlineStr">
        <is>
          <t>Daycare facility, leased to a franchise daycare service on a 15 year agreement. Two 5-year renewal options available.</t>
        </is>
      </c>
    </row>
    <row r="17" ht="12.6" customHeight="1" s="1439">
      <c r="C17" s="513" t="inlineStr">
        <is>
          <t>Unadjusted Price Per SF</t>
        </is>
      </c>
      <c r="D17" s="1777">
        <f>D9/D13</f>
        <v/>
      </c>
      <c r="E17" s="515" t="n"/>
      <c r="F17" s="1778">
        <f>E9/E13</f>
        <v/>
      </c>
      <c r="G17" s="515" t="n"/>
      <c r="H17" s="1778">
        <f>G9/G13</f>
        <v/>
      </c>
      <c r="I17" s="517" t="n"/>
      <c r="J17" s="1991">
        <f>I9/I13</f>
        <v/>
      </c>
      <c r="K17" s="515" t="n"/>
      <c r="L17" s="1992">
        <f>K9/K13</f>
        <v/>
      </c>
      <c r="M17" s="517" t="n"/>
      <c r="N17" s="1991">
        <f>M9/M13</f>
        <v/>
      </c>
      <c r="O17" s="609" t="n"/>
      <c r="P17" s="1993">
        <f>O9/O13</f>
        <v/>
      </c>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inlineStr">
        <is>
          <t>Leased Fee</t>
        </is>
      </c>
      <c r="E19" s="529" t="inlineStr">
        <is>
          <t>Leased Fee</t>
        </is>
      </c>
      <c r="F19" s="1994" t="n">
        <v>0</v>
      </c>
      <c r="G19" s="529" t="inlineStr">
        <is>
          <t>Leased Fee</t>
        </is>
      </c>
      <c r="H19" s="1994" t="n">
        <v>0</v>
      </c>
      <c r="I19" s="531" t="inlineStr">
        <is>
          <t>Leased Fee</t>
        </is>
      </c>
      <c r="J19" s="1995" t="n">
        <v>0</v>
      </c>
      <c r="K19" s="529" t="inlineStr">
        <is>
          <t>Leased Fee</t>
        </is>
      </c>
      <c r="L19" s="1996" t="n">
        <v>0</v>
      </c>
      <c r="M19" s="529" t="inlineStr">
        <is>
          <t>Leased Fee</t>
        </is>
      </c>
      <c r="N19" s="1995" t="n">
        <v>0</v>
      </c>
      <c r="O19" s="611" t="inlineStr">
        <is>
          <t>Leased Fee</t>
        </is>
      </c>
      <c r="P19" s="1997" t="n"/>
    </row>
    <row r="20">
      <c r="C20" s="534" t="inlineStr">
        <is>
          <t>Property Rights Conveyed Adjusted</t>
        </is>
      </c>
      <c r="D20" s="506" t="n"/>
      <c r="E20" s="531" t="n"/>
      <c r="F20" s="1998">
        <f>IF(LEFT(CELL("format",F19),1)="P",F17*(1+F19),IF(LEFT(CELL("format",F19),1)="C",F17+F19))</f>
        <v/>
      </c>
      <c r="G20" s="531" t="n"/>
      <c r="H20" s="1999">
        <f>IF(LEFT(CELL("format",H19),1)="P",H17*(1+H19),IF(LEFT(CELL("format",H19),1)="C",H17+H19))</f>
        <v/>
      </c>
      <c r="I20" s="531" t="n"/>
      <c r="J20" s="1999">
        <f>IF(LEFT(CELL("format",J19),1)="P",J17*(1+J19),IF(LEFT(CELL("format",J19),1)="C",J17+J19))</f>
        <v/>
      </c>
      <c r="K20" s="531" t="n"/>
      <c r="L20" s="2000">
        <f>IF(LEFT(CELL("format",L19),1)="P",L17*(1+L19),IF(LEFT(CELL("format",L19),1)="C",L17+L19))</f>
        <v/>
      </c>
      <c r="M20" s="531" t="n"/>
      <c r="N20" s="1999">
        <f>IF(LEFT(CELL("format",N19),1)="P",N17*(1+N19),IF(LEFT(CELL("format",N19),1)="C",N17+N19))</f>
        <v/>
      </c>
      <c r="O20" s="611" t="n"/>
      <c r="P20" s="1999">
        <f>IF(LEFT(CELL("format",P19),1)="P",P17*(1+P19),IF(LEFT(CELL("format",P19),1)="C",P17+P19))</f>
        <v/>
      </c>
    </row>
    <row r="21">
      <c r="C21" s="503" t="inlineStr">
        <is>
          <t>Financing</t>
        </is>
      </c>
      <c r="D21" s="506" t="inlineStr">
        <is>
          <t>N/A</t>
        </is>
      </c>
      <c r="E21" s="531" t="inlineStr">
        <is>
          <t>Market-Based</t>
        </is>
      </c>
      <c r="F21" s="1995" t="n">
        <v>0</v>
      </c>
      <c r="G21" s="531" t="inlineStr">
        <is>
          <t>Market-Based</t>
        </is>
      </c>
      <c r="H21" s="1995" t="n">
        <v>0</v>
      </c>
      <c r="I21" s="531" t="inlineStr">
        <is>
          <t>Market-Based</t>
        </is>
      </c>
      <c r="J21" s="2001" t="n">
        <v>0</v>
      </c>
      <c r="K21" s="531" t="inlineStr">
        <is>
          <t>Market-Based</t>
        </is>
      </c>
      <c r="L21" s="2002" t="n">
        <v>0</v>
      </c>
      <c r="M21" s="531" t="inlineStr">
        <is>
          <t>Market-Based</t>
        </is>
      </c>
      <c r="N21" s="2001" t="n">
        <v>0</v>
      </c>
      <c r="O21" s="613" t="inlineStr">
        <is>
          <t>N/A</t>
        </is>
      </c>
      <c r="P21" s="2001" t="n">
        <v>0</v>
      </c>
    </row>
    <row r="22">
      <c r="C22" s="534" t="inlineStr">
        <is>
          <t>Financing Adjusted</t>
        </is>
      </c>
      <c r="D22" s="506" t="n"/>
      <c r="E22" s="531" t="n"/>
      <c r="F22" s="1998">
        <f>IF(LEFT(CELL("format",F21),1)="P",F20*(1+F21),IF(LEFT(CELL("format",F21),1)="C",F20+F21))</f>
        <v/>
      </c>
      <c r="G22" s="531" t="n"/>
      <c r="H22" s="1998">
        <f>IF(LEFT(CELL("format",H21),1)="P",H20*(1+H21),IF(LEFT(CELL("format",H21),1)="C",H20+H21))</f>
        <v/>
      </c>
      <c r="I22" s="531" t="n"/>
      <c r="J22" s="1999">
        <f>IF(LEFT(CELL("format",J21),1)="P",J20*(1+J21),IF(LEFT(CELL("format",J21),1)="C",J20+J21))</f>
        <v/>
      </c>
      <c r="K22" s="531" t="n"/>
      <c r="L22" s="2003">
        <f>IF(LEFT(CELL("format",L21),1)="P",L20*(1+L21),IF(LEFT(CELL("format",L21),1)="C",L20+L21))</f>
        <v/>
      </c>
      <c r="M22" s="531" t="n"/>
      <c r="N22" s="1999">
        <f>IF(LEFT(CELL("format",N21),1)="P",N20*(1+N21),IF(LEFT(CELL("format",N21),1)="C",N20+N21))</f>
        <v/>
      </c>
      <c r="O22" s="611" t="n"/>
      <c r="P22" s="1999">
        <f>IF(LEFT(CELL("format",P21),1)="P",P20*(1+P21),IF(LEFT(CELL("format",P21),1)="C",P20+P21))</f>
        <v/>
      </c>
    </row>
    <row r="23">
      <c r="C23" s="503" t="inlineStr">
        <is>
          <t>Terms/Conditions of Sale</t>
        </is>
      </c>
      <c r="D23" s="506" t="inlineStr">
        <is>
          <t>N/A</t>
        </is>
      </c>
      <c r="E23" s="531" t="inlineStr">
        <is>
          <t>N/A</t>
        </is>
      </c>
      <c r="F23" s="1995" t="n">
        <v>0</v>
      </c>
      <c r="G23" s="531" t="inlineStr">
        <is>
          <t>None</t>
        </is>
      </c>
      <c r="H23" s="1995" t="n">
        <v>0</v>
      </c>
      <c r="I23" s="531" t="inlineStr">
        <is>
          <t>None</t>
        </is>
      </c>
      <c r="J23" s="2001" t="n">
        <v>0</v>
      </c>
      <c r="K23" s="531" t="inlineStr">
        <is>
          <t>None</t>
        </is>
      </c>
      <c r="L23" s="2002" t="n">
        <v>0</v>
      </c>
      <c r="M23" s="531" t="inlineStr">
        <is>
          <t>None</t>
        </is>
      </c>
      <c r="N23" s="2001" t="n">
        <v>0</v>
      </c>
      <c r="O23" s="613" t="inlineStr">
        <is>
          <t>N/A</t>
        </is>
      </c>
      <c r="P23" s="2001" t="n">
        <v>-0.1</v>
      </c>
    </row>
    <row r="24">
      <c r="C24" s="534" t="inlineStr">
        <is>
          <t>Terms/Conditions of Sale Adjusted</t>
        </is>
      </c>
      <c r="D24" s="506" t="n"/>
      <c r="E24" s="531" t="n"/>
      <c r="F24" s="1998">
        <f>IF(LEFT(CELL("format",F23),1)="P",F22*(1+F23),IF(LEFT(CELL("format",F23),1)="C",F22+F23))</f>
        <v/>
      </c>
      <c r="G24" s="531" t="n"/>
      <c r="H24" s="1998">
        <f>IF(LEFT(CELL("format",H23),1)="P",H22*(1+H23),IF(LEFT(CELL("format",H23),1)="C",H22+H23))</f>
        <v/>
      </c>
      <c r="I24" s="531" t="n"/>
      <c r="J24" s="1999">
        <f>IF(LEFT(CELL("format",J23),1)="P",J22*(1+J23),IF(LEFT(CELL("format",J23),1)="C",J22+J23))</f>
        <v/>
      </c>
      <c r="K24" s="531" t="n"/>
      <c r="L24" s="2003">
        <f>IF(LEFT(CELL("format",L23),1)="P",L22*(1+L23),IF(LEFT(CELL("format",L23),1)="C",L22+L23))</f>
        <v/>
      </c>
      <c r="M24" s="531" t="n"/>
      <c r="N24" s="1999">
        <f>IF(LEFT(CELL("format",N23),1)="P",N22*(1+N23),IF(LEFT(CELL("format",N23),1)="C",N22+N23))</f>
        <v/>
      </c>
      <c r="O24" s="611" t="n"/>
      <c r="P24" s="1999">
        <f>IF(LEFT(CELL("format",P23),1)="P",P22*(1+P23),IF(LEFT(CELL("format",P23),1)="C",P22+P23))</f>
        <v/>
      </c>
    </row>
    <row r="25">
      <c r="C25" s="503" t="inlineStr">
        <is>
          <t>Expenditures After Sale</t>
        </is>
      </c>
      <c r="D25" s="506" t="inlineStr">
        <is>
          <t>N/A</t>
        </is>
      </c>
      <c r="E25" s="531" t="inlineStr">
        <is>
          <t>N/A</t>
        </is>
      </c>
      <c r="F25" s="1995" t="n">
        <v>0</v>
      </c>
      <c r="G25" s="531" t="inlineStr">
        <is>
          <t>None</t>
        </is>
      </c>
      <c r="H25" s="1995" t="n">
        <v>0</v>
      </c>
      <c r="I25" s="531" t="inlineStr">
        <is>
          <t>None</t>
        </is>
      </c>
      <c r="J25" s="2001" t="n">
        <v>0</v>
      </c>
      <c r="K25" s="531" t="inlineStr">
        <is>
          <t>None</t>
        </is>
      </c>
      <c r="L25" s="2002" t="n">
        <v>0</v>
      </c>
      <c r="M25" s="531" t="inlineStr">
        <is>
          <t>None</t>
        </is>
      </c>
      <c r="N25" s="2001" t="n">
        <v>0</v>
      </c>
      <c r="O25" s="613" t="inlineStr">
        <is>
          <t>N/A</t>
        </is>
      </c>
      <c r="P25" s="2001" t="n">
        <v>0</v>
      </c>
    </row>
    <row r="26">
      <c r="C26" s="534" t="inlineStr">
        <is>
          <t>Expenditures After Sale Adjusted</t>
        </is>
      </c>
      <c r="D26" s="506" t="n"/>
      <c r="E26" s="531" t="n"/>
      <c r="F26" s="1998">
        <f>IF(LEFT(CELL("format",F25),1)="P",F24*(1+F25),IF(LEFT(CELL("format",F25),1)="C",F24+F25))</f>
        <v/>
      </c>
      <c r="G26" s="531" t="n"/>
      <c r="H26" s="1998">
        <f>IF(LEFT(CELL("format",H25),1)="P",H24*(1+H25),IF(LEFT(CELL("format",H25),1)="C",H24+H25))</f>
        <v/>
      </c>
      <c r="I26" s="531" t="n"/>
      <c r="J26" s="1999">
        <f>IF(LEFT(CELL("format",J25),1)="P",J24*(1+J25),IF(LEFT(CELL("format",J25),1)="C",J24+J25))</f>
        <v/>
      </c>
      <c r="K26" s="531" t="n"/>
      <c r="L26" s="2003">
        <f>IF(LEFT(CELL("format",L25),1)="P",L24*(1+L25),IF(LEFT(CELL("format",L25),1)="C",L24+L25))</f>
        <v/>
      </c>
      <c r="M26" s="531" t="n"/>
      <c r="N26" s="1999">
        <f>IF(LEFT(CELL("format",N25),1)="P",N24*(1+N25),IF(LEFT(CELL("format",N25),1)="C",N24+N25))</f>
        <v/>
      </c>
      <c r="O26" s="611" t="n"/>
      <c r="P26" s="1999">
        <f>IF(LEFT(CELL("format",P25),1)="P",P24*(1+P25),IF(LEFT(CELL("format",P25),1)="C",P24+P25))</f>
        <v/>
      </c>
    </row>
    <row r="27" ht="15" customHeight="1" s="1439">
      <c r="C27" s="503" t="inlineStr">
        <is>
          <t>Market Conditions</t>
        </is>
      </c>
      <c r="D27" s="506" t="inlineStr">
        <is>
          <t>N/A</t>
        </is>
      </c>
      <c r="E27" s="2004">
        <f>E8</f>
        <v/>
      </c>
      <c r="F27" s="1995" t="n">
        <v>0</v>
      </c>
      <c r="G27" s="2004">
        <f>G8</f>
        <v/>
      </c>
      <c r="H27" s="1995" t="n">
        <v>0</v>
      </c>
      <c r="I27" s="2004">
        <f>I8</f>
        <v/>
      </c>
      <c r="J27" s="2001" t="n">
        <v>0</v>
      </c>
      <c r="K27" s="2004">
        <f>K8</f>
        <v/>
      </c>
      <c r="L27" s="2002" t="n">
        <v>0</v>
      </c>
      <c r="M27" s="2004">
        <f>M8</f>
        <v/>
      </c>
      <c r="N27" s="2001" t="n">
        <v>0.03</v>
      </c>
      <c r="O27" s="2005">
        <f>O8</f>
        <v/>
      </c>
      <c r="P27" s="2001" t="n">
        <v>0</v>
      </c>
    </row>
    <row r="28">
      <c r="C28" s="534" t="inlineStr">
        <is>
          <t>Market Conditions Adjusted</t>
        </is>
      </c>
      <c r="D28" s="506" t="n"/>
      <c r="E28" s="531" t="n"/>
      <c r="F28" s="1998">
        <f>IF(LEFT(CELL("format",F27),1)="P",F26*(1+F27),IF(LEFT(CELL("format",F27),1)="C",F26+F27))</f>
        <v/>
      </c>
      <c r="G28" s="531" t="n"/>
      <c r="H28" s="1998">
        <f>IF(LEFT(CELL("format",H27),1)="P",H26*(1+H27),IF(LEFT(CELL("format",H27),1)="C",H26+H27))</f>
        <v/>
      </c>
      <c r="I28" s="531" t="n"/>
      <c r="J28" s="1999">
        <f>IF(LEFT(CELL("format",J27),1)="P",J26*(1+J27),IF(LEFT(CELL("format",J27),1)="C",J26+J27))</f>
        <v/>
      </c>
      <c r="K28" s="531" t="n"/>
      <c r="L28" s="2003">
        <f>IF(LEFT(CELL("format",L27),1)="P",L26*(1+L27),IF(LEFT(CELL("format",L27),1)="C",L26+L27))</f>
        <v/>
      </c>
      <c r="M28" s="531" t="n"/>
      <c r="N28" s="1999">
        <f>IF(LEFT(CELL("format",N27),1)="P",N26*(1+N27),IF(LEFT(CELL("format",N27),1)="C",N26+N27))</f>
        <v/>
      </c>
      <c r="O28" s="611" t="n"/>
      <c r="P28" s="1999">
        <f>IF(LEFT(CELL("format",P27),1)="P",P26*(1+P27),IF(LEFT(CELL("format",P27),1)="C",P26+P27))</f>
        <v/>
      </c>
    </row>
    <row r="29" ht="12.6" customHeight="1" s="1439">
      <c r="C29" s="542" t="inlineStr">
        <is>
          <t>Total Quantified Adjustment</t>
        </is>
      </c>
      <c r="D29" s="543" t="n"/>
      <c r="E29" s="544" t="n"/>
      <c r="F29" s="545">
        <f>IFERROR(TEXT(F28-F17,"$#,##0.00")&amp;CHAR(10)&amp;" or "&amp;CHAR(10)&amp;TEXT((F28-F17)/F17,"0.00%"),0)</f>
        <v/>
      </c>
      <c r="G29" s="544" t="n"/>
      <c r="H29" s="545">
        <f>IFERROR(TEXT(H28-H17,"$#,##0.00")&amp;CHAR(10)&amp;" or "&amp;CHAR(10)&amp;TEXT((H28-H17)/H17,"0.00%"),0)</f>
        <v/>
      </c>
      <c r="I29" s="517" t="n"/>
      <c r="J29" s="546">
        <f>IFERROR(TEXT(J28-J17,"$#,##0.00")&amp;CHAR(10)&amp;" or "&amp;CHAR(10)&amp;TEXT((J28-J17)/J17,"0.00%"),0)</f>
        <v/>
      </c>
      <c r="K29" s="544" t="n"/>
      <c r="L29" s="547">
        <f>IFERROR(TEXT(L28-L17,"$#,##0.00")&amp;CHAR(10)&amp;" or "&amp;CHAR(10)&amp;TEXT((L28-L17)/L17,"0.00%"),0)</f>
        <v/>
      </c>
      <c r="M29" s="517" t="n"/>
      <c r="N29" s="546">
        <f>IFERROR(TEXT(N28-N17,"$#,##0.00")&amp;CHAR(10)&amp;" or "&amp;CHAR(10)&amp;TEXT((N28-N17)/N17,"0.00%"),0)</f>
        <v/>
      </c>
      <c r="O29" s="609" t="n"/>
      <c r="P29" s="615">
        <f>IFERROR(TEXT(P28-P17,"$#,##0.00")&amp;CHAR(10)&amp;" or "&amp;CHAR(10)&amp;TEXT((P28-P17)/P17,"0.00%"),0)</f>
        <v/>
      </c>
    </row>
    <row r="30" ht="12.6" customHeight="1" s="1439">
      <c r="C30" s="548" t="inlineStr">
        <is>
          <t>Quantitatively Adjusted Price</t>
        </is>
      </c>
      <c r="D30" s="549" t="n"/>
      <c r="E30" s="544" t="n"/>
      <c r="F30" s="1797">
        <f>F28</f>
        <v/>
      </c>
      <c r="G30" s="544" t="n"/>
      <c r="H30" s="1797">
        <f>H28</f>
        <v/>
      </c>
      <c r="I30" s="517" t="n"/>
      <c r="J30" s="1796">
        <f>J28</f>
        <v/>
      </c>
      <c r="K30" s="544" t="n"/>
      <c r="L30" s="1795">
        <f>L28</f>
        <v/>
      </c>
      <c r="M30" s="517" t="n"/>
      <c r="N30" s="1796">
        <f>N28</f>
        <v/>
      </c>
      <c r="O30" s="609" t="n"/>
      <c r="P30" s="2006">
        <f>P28</f>
        <v/>
      </c>
    </row>
    <row r="31">
      <c r="C31" s="553" t="inlineStr">
        <is>
          <t>Qualitative Adjustments</t>
        </is>
      </c>
      <c r="D31" s="554" t="n"/>
      <c r="E31" s="555" t="n"/>
      <c r="F31" s="2007">
        <f>SUM(F19:F29)+1</f>
        <v/>
      </c>
      <c r="G31" s="555" t="n"/>
      <c r="H31" s="2007">
        <f>SUM(H19:H29)+1</f>
        <v/>
      </c>
      <c r="I31" s="555" t="n"/>
      <c r="J31" s="2007">
        <f>SUM(J19:J29)+1</f>
        <v/>
      </c>
      <c r="K31" s="555" t="n"/>
      <c r="L31" s="2008">
        <f>SUM(L19:L29)+1</f>
        <v/>
      </c>
      <c r="M31" s="555" t="n"/>
      <c r="N31" s="2007">
        <f>SUM(N19:N29)+1</f>
        <v/>
      </c>
      <c r="O31" s="617" t="n"/>
      <c r="P31" s="2007">
        <f>SUM(P19:P29)+1</f>
        <v/>
      </c>
    </row>
    <row r="32" ht="15.75" customHeight="1" s="1439">
      <c r="C32" s="558" t="inlineStr">
        <is>
          <t>Location</t>
        </is>
      </c>
      <c r="D32" s="559" t="inlineStr">
        <is>
          <t>Good</t>
        </is>
      </c>
      <c r="E32" s="560" t="inlineStr">
        <is>
          <t>Above-Average</t>
        </is>
      </c>
      <c r="F32" s="1800" t="n">
        <v>0.05</v>
      </c>
      <c r="G32" s="560" t="inlineStr">
        <is>
          <t>Average</t>
        </is>
      </c>
      <c r="H32" s="1800" t="n">
        <v>0.15</v>
      </c>
      <c r="I32" s="560" t="inlineStr">
        <is>
          <t>Average</t>
        </is>
      </c>
      <c r="J32" s="1800" t="n">
        <v>0.15</v>
      </c>
      <c r="K32" s="560" t="inlineStr">
        <is>
          <t>Good</t>
        </is>
      </c>
      <c r="L32" s="2009" t="n">
        <v>0.05</v>
      </c>
      <c r="M32" s="560" t="inlineStr">
        <is>
          <t>Good</t>
        </is>
      </c>
      <c r="N32" s="1800" t="n">
        <v>0.05</v>
      </c>
      <c r="O32" s="618" t="inlineStr">
        <is>
          <t>Good</t>
        </is>
      </c>
      <c r="P32" s="1800" t="n">
        <v>-0.05</v>
      </c>
    </row>
    <row r="33" hidden="1" ht="12.6" customHeight="1" s="1439">
      <c r="C33" s="563" t="inlineStr">
        <is>
          <t>Distance from Subject</t>
        </is>
      </c>
      <c r="D33" s="564" t="inlineStr">
        <is>
          <t>N/A</t>
        </is>
      </c>
      <c r="E33" s="564" t="inlineStr">
        <is>
          <t>32 miles</t>
        </is>
      </c>
      <c r="F33" s="2001" t="n"/>
      <c r="G33" s="564" t="inlineStr">
        <is>
          <t>16 miles</t>
        </is>
      </c>
      <c r="H33" s="2001" t="n"/>
      <c r="I33" s="564" t="inlineStr">
        <is>
          <t>1/4 mile</t>
        </is>
      </c>
      <c r="J33" s="2001" t="n"/>
      <c r="K33" s="564" t="inlineStr">
        <is>
          <t>1/4 mile</t>
        </is>
      </c>
      <c r="L33" s="2010" t="n"/>
      <c r="M33" s="564" t="inlineStr">
        <is>
          <t>1/4 mile</t>
        </is>
      </c>
      <c r="N33" s="2001" t="n"/>
      <c r="O33" s="619" t="inlineStr">
        <is>
          <t>24 miles</t>
        </is>
      </c>
      <c r="P33" s="2001" t="n"/>
    </row>
    <row r="34">
      <c r="C34" s="563" t="inlineStr">
        <is>
          <t>Surrounding Land Uses</t>
        </is>
      </c>
      <c r="D34" s="564" t="inlineStr">
        <is>
          <t>Retail, residential, office</t>
        </is>
      </c>
      <c r="E34" s="564" t="inlineStr">
        <is>
          <t>Residential, retail</t>
        </is>
      </c>
      <c r="F34" s="2001" t="n"/>
      <c r="G34" s="564" t="inlineStr">
        <is>
          <t>Retail, office residential</t>
        </is>
      </c>
      <c r="H34" s="2001" t="n"/>
      <c r="I34" s="564" t="inlineStr">
        <is>
          <t>Retail, Office</t>
        </is>
      </c>
      <c r="J34" s="2001" t="n"/>
      <c r="K34" s="564" t="inlineStr">
        <is>
          <t>Retail, residential</t>
        </is>
      </c>
      <c r="L34" s="2010" t="n"/>
      <c r="M34" s="564" t="inlineStr">
        <is>
          <t>Office, flex, residential</t>
        </is>
      </c>
      <c r="N34" s="2001" t="n"/>
      <c r="O34" s="619" t="inlineStr">
        <is>
          <t>Residential, retail</t>
        </is>
      </c>
      <c r="P34" s="2001" t="n"/>
    </row>
    <row r="35">
      <c r="C35" s="563" t="inlineStr">
        <is>
          <t>Quality/Condition of Surrounding Area</t>
        </is>
      </c>
      <c r="D35" s="566" t="inlineStr">
        <is>
          <t>Average to Good</t>
        </is>
      </c>
      <c r="E35" s="566" t="inlineStr">
        <is>
          <t>Average to Good</t>
        </is>
      </c>
      <c r="F35" s="2001" t="n"/>
      <c r="G35" s="566" t="inlineStr">
        <is>
          <t>Average to Good</t>
        </is>
      </c>
      <c r="H35" s="2001" t="n"/>
      <c r="I35" s="566" t="inlineStr">
        <is>
          <t>Average to Good</t>
        </is>
      </c>
      <c r="J35" s="2001" t="n"/>
      <c r="K35" s="566" t="inlineStr">
        <is>
          <t>Good to New</t>
        </is>
      </c>
      <c r="L35" s="2010" t="n"/>
      <c r="M35" s="566" t="inlineStr">
        <is>
          <t>Good to New</t>
        </is>
      </c>
      <c r="N35" s="2001" t="n"/>
      <c r="O35" s="620" t="inlineStr">
        <is>
          <t>Average to Very Good</t>
        </is>
      </c>
      <c r="P35" s="2001" t="n"/>
    </row>
    <row r="36" hidden="1" ht="15" customHeight="1" s="1439">
      <c r="C36" s="563" t="inlineStr">
        <is>
          <t>Access to Commercial Services/Amenities</t>
        </is>
      </c>
      <c r="D36" s="566" t="inlineStr">
        <is>
          <t>Good</t>
        </is>
      </c>
      <c r="E36" s="566" t="inlineStr">
        <is>
          <t>Average</t>
        </is>
      </c>
      <c r="F36" s="2001" t="n"/>
      <c r="G36" s="566" t="inlineStr">
        <is>
          <t>Good</t>
        </is>
      </c>
      <c r="H36" s="2001" t="n"/>
      <c r="I36" s="566" t="inlineStr">
        <is>
          <t>Good</t>
        </is>
      </c>
      <c r="J36" s="2001" t="n"/>
      <c r="K36" s="566" t="inlineStr">
        <is>
          <t>Good</t>
        </is>
      </c>
      <c r="L36" s="2010" t="n"/>
      <c r="M36" s="566" t="inlineStr">
        <is>
          <t>Average</t>
        </is>
      </c>
      <c r="N36" s="2001" t="n"/>
      <c r="O36" s="620" t="inlineStr">
        <is>
          <t>Good</t>
        </is>
      </c>
      <c r="P36" s="2001" t="n"/>
    </row>
    <row r="37" ht="45" customHeight="1" s="1439">
      <c r="C37" s="563" t="inlineStr">
        <is>
          <t>Visibility/Access</t>
        </is>
      </c>
      <c r="D37" s="567" t="inlineStr">
        <is>
          <t>Good: Primary thoroughfare</t>
        </is>
      </c>
      <c r="E37" s="567" t="inlineStr">
        <is>
          <t>Good: Primary thoroughfare</t>
        </is>
      </c>
      <c r="F37" s="2001" t="n"/>
      <c r="G37" s="567" t="inlineStr">
        <is>
          <t xml:space="preserve">Average: S. Lima St. </t>
        </is>
      </c>
      <c r="H37" s="2001" t="n"/>
      <c r="I37" s="567" t="inlineStr">
        <is>
          <t xml:space="preserve">Average: Oakridge Dr. &amp; Mcmurry Ave. </t>
        </is>
      </c>
      <c r="J37" s="2001" t="n"/>
      <c r="K37" s="567" t="inlineStr">
        <is>
          <t xml:space="preserve">Good: Indiana St. &amp; W 64th Ave. </t>
        </is>
      </c>
      <c r="L37" s="2010" t="n"/>
      <c r="M37" s="567" t="inlineStr">
        <is>
          <t xml:space="preserve">Average: Compark Blvd. </t>
        </is>
      </c>
      <c r="N37" s="2001" t="n"/>
      <c r="O37" s="621" t="inlineStr">
        <is>
          <t xml:space="preserve">Good - Access &amp; Visibility from E 56th Ave. </t>
        </is>
      </c>
      <c r="P37" s="2001" t="n"/>
    </row>
    <row r="38" ht="105" customHeight="1" s="1439">
      <c r="C38" s="568" t="inlineStr">
        <is>
          <t>Demographics</t>
        </is>
      </c>
      <c r="D38" s="569" t="inlineStr">
        <is>
          <t>Population 3-Mile Radius: 60,202
MHHI 3-Mile Radius: $69,785
Pop. Growth (5-Yrs.): 9.65%</t>
        </is>
      </c>
      <c r="E38" s="569" t="inlineStr">
        <is>
          <t>Population 3-Miles: 45,519
MHHI 3-Mile Radius: $115,596
Pop. Growth (5-Yrs.): 9.59%</t>
        </is>
      </c>
      <c r="F38" s="2001" t="n"/>
      <c r="G38" s="569" t="inlineStr">
        <is>
          <t>Population 3-Miles: 60,848
MHHI 5-Mile Radius: $94,646
Pop. Growth (5-Yrs.): 6.84%</t>
        </is>
      </c>
      <c r="H38" s="2001" t="n"/>
      <c r="I38" s="569" t="inlineStr">
        <is>
          <t>Population 3-Miles: 83,390
MHHI 3-Mile Radius: $73,915
Pop. Growth (5-Yrs.): 8.97%</t>
        </is>
      </c>
      <c r="J38" s="2001" t="n"/>
      <c r="K38" s="569" t="inlineStr">
        <is>
          <t>Population 3-Miles: 57,214
MHHI 3-Mile Radius: $107,760
Pop. Growth (5-Yrs.): 4.49%</t>
        </is>
      </c>
      <c r="L38" s="2010" t="n"/>
      <c r="M38" s="569" t="inlineStr">
        <is>
          <t>Population 3-Miles: 55,098
MHHI 3-Mile Radius: $99,667
Pop. Growth (5-Yrs.): 9.59%</t>
        </is>
      </c>
      <c r="N38" s="2001" t="n"/>
      <c r="O38" s="622" t="inlineStr">
        <is>
          <t>Population 5-Mile Radius: 219,743
MHHI 3-Mile Radius: $58,707
Population Growth (5 Yrs.):
8.19%</t>
        </is>
      </c>
      <c r="P38" s="2001" t="n"/>
    </row>
    <row r="39">
      <c r="C39" s="570" t="inlineStr">
        <is>
          <t>Property Size (SF)</t>
        </is>
      </c>
      <c r="D39" s="571">
        <f>'Property Info'!B4</f>
        <v/>
      </c>
      <c r="E39" s="571">
        <f>E13</f>
        <v/>
      </c>
      <c r="F39" s="1800" t="n">
        <v>0</v>
      </c>
      <c r="G39" s="571">
        <f>G13</f>
        <v/>
      </c>
      <c r="H39" s="1800" t="n">
        <v>0</v>
      </c>
      <c r="I39" s="571">
        <f>I13</f>
        <v/>
      </c>
      <c r="J39" s="1800" t="n">
        <v>0</v>
      </c>
      <c r="K39" s="571">
        <f>K13</f>
        <v/>
      </c>
      <c r="L39" s="2009" t="n">
        <v>0</v>
      </c>
      <c r="M39" s="571">
        <f>M13</f>
        <v/>
      </c>
      <c r="N39" s="1800" t="n">
        <v>-0.05</v>
      </c>
      <c r="O39" s="623">
        <f>O13</f>
        <v/>
      </c>
      <c r="P39" s="1800" t="n">
        <v>0</v>
      </c>
    </row>
    <row r="40" ht="39" customHeight="1" s="1439">
      <c r="C40" s="572" t="inlineStr">
        <is>
          <t>YOC / Condition</t>
        </is>
      </c>
      <c r="D40" s="559" t="inlineStr">
        <is>
          <t>2019/Good</t>
        </is>
      </c>
      <c r="E40" s="600" t="inlineStr">
        <is>
          <t>2018/Good</t>
        </is>
      </c>
      <c r="F40" s="1800" t="n">
        <v>0</v>
      </c>
      <c r="G40" s="560" t="inlineStr">
        <is>
          <t>2008/Above-Average</t>
        </is>
      </c>
      <c r="H40" s="1800" t="n">
        <v>0.05</v>
      </c>
      <c r="I40" s="600" t="inlineStr">
        <is>
          <t>2000 (Ren. 2019)/Good</t>
        </is>
      </c>
      <c r="J40" s="1800" t="n">
        <v>0</v>
      </c>
      <c r="K40" s="560" t="inlineStr">
        <is>
          <t>2019/New</t>
        </is>
      </c>
      <c r="L40" s="2009" t="n">
        <v>-0.05</v>
      </c>
      <c r="M40" s="560" t="inlineStr">
        <is>
          <t>2015/Good</t>
        </is>
      </c>
      <c r="N40" s="1800" t="n">
        <v>0</v>
      </c>
      <c r="O40" s="618" t="inlineStr">
        <is>
          <t>2019/New</t>
        </is>
      </c>
      <c r="P40" s="1800" t="n">
        <v>0</v>
      </c>
    </row>
    <row r="41" ht="16.5" customHeight="1" s="1439">
      <c r="C41" s="558" t="inlineStr">
        <is>
          <t>Quality</t>
        </is>
      </c>
      <c r="D41" s="559" t="inlineStr">
        <is>
          <t>Good</t>
        </is>
      </c>
      <c r="E41" s="560" t="inlineStr">
        <is>
          <t>Average</t>
        </is>
      </c>
      <c r="F41" s="1800" t="n">
        <v>0</v>
      </c>
      <c r="G41" s="560" t="inlineStr">
        <is>
          <t>Average</t>
        </is>
      </c>
      <c r="H41" s="1800" t="n">
        <v>0</v>
      </c>
      <c r="I41" s="560" t="inlineStr">
        <is>
          <t>Average</t>
        </is>
      </c>
      <c r="J41" s="1800" t="n">
        <v>0</v>
      </c>
      <c r="K41" s="560" t="inlineStr">
        <is>
          <t>Average</t>
        </is>
      </c>
      <c r="L41" s="2009" t="n">
        <v>0</v>
      </c>
      <c r="M41" s="560" t="inlineStr">
        <is>
          <t>Average</t>
        </is>
      </c>
      <c r="N41" s="1800" t="n">
        <v>0</v>
      </c>
      <c r="O41" s="618" t="inlineStr">
        <is>
          <t>Average</t>
        </is>
      </c>
      <c r="P41" s="1800" t="n">
        <v>0</v>
      </c>
    </row>
    <row r="42">
      <c r="C42" s="563" t="inlineStr">
        <is>
          <t>Frame</t>
        </is>
      </c>
      <c r="D42" s="564" t="inlineStr">
        <is>
          <t>Woodf-frame</t>
        </is>
      </c>
      <c r="E42" s="564" t="inlineStr">
        <is>
          <t>Concrete, Masonry</t>
        </is>
      </c>
      <c r="F42" s="2011" t="n"/>
      <c r="G42" s="564" t="inlineStr">
        <is>
          <t>Wood</t>
        </is>
      </c>
      <c r="H42" s="2011" t="n"/>
      <c r="I42" s="564" t="inlineStr">
        <is>
          <t>Wood-frame, masonry</t>
        </is>
      </c>
      <c r="J42" s="2011" t="n"/>
      <c r="K42" s="564" t="inlineStr">
        <is>
          <t>Wood-frame</t>
        </is>
      </c>
      <c r="L42" s="2012" t="n"/>
      <c r="M42" s="564" t="inlineStr">
        <is>
          <t>Wood-frame</t>
        </is>
      </c>
      <c r="N42" s="2011" t="n"/>
      <c r="O42" s="619" t="inlineStr">
        <is>
          <t>Wood</t>
        </is>
      </c>
      <c r="P42" s="2011" t="n"/>
    </row>
    <row r="43">
      <c r="C43" s="563" t="inlineStr">
        <is>
          <t>Exterior</t>
        </is>
      </c>
      <c r="D43" s="564" t="inlineStr">
        <is>
          <t>Stucco, brick</t>
        </is>
      </c>
      <c r="E43" s="564" t="inlineStr">
        <is>
          <t>Metal, painted concrete</t>
        </is>
      </c>
      <c r="F43" s="2011" t="n"/>
      <c r="G43" s="564" t="inlineStr">
        <is>
          <t>Wood</t>
        </is>
      </c>
      <c r="H43" s="2011" t="n"/>
      <c r="I43" s="564" t="inlineStr">
        <is>
          <t>Brick, wood siding</t>
        </is>
      </c>
      <c r="J43" s="2011" t="n"/>
      <c r="K43" s="564" t="inlineStr">
        <is>
          <t>Wood, brick</t>
        </is>
      </c>
      <c r="L43" s="2012" t="n"/>
      <c r="M43" s="564" t="inlineStr">
        <is>
          <t>Wood, brick</t>
        </is>
      </c>
      <c r="N43" s="2011" t="n"/>
      <c r="O43" s="619" t="inlineStr">
        <is>
          <t>Wood, stucco</t>
        </is>
      </c>
      <c r="P43" s="2011" t="n"/>
    </row>
    <row r="44">
      <c r="C44" s="563" t="inlineStr">
        <is>
          <t>Architectural Styling</t>
        </is>
      </c>
      <c r="D44" s="566" t="inlineStr">
        <is>
          <t>Daycare building</t>
        </is>
      </c>
      <c r="E44" s="566" t="inlineStr">
        <is>
          <t>Store Building</t>
        </is>
      </c>
      <c r="F44" s="2011" t="n"/>
      <c r="G44" s="566" t="inlineStr">
        <is>
          <t>Daycare building</t>
        </is>
      </c>
      <c r="H44" s="2011" t="n"/>
      <c r="I44" s="566" t="inlineStr">
        <is>
          <t>Daycare building</t>
        </is>
      </c>
      <c r="J44" s="2011" t="n"/>
      <c r="K44" s="566" t="inlineStr">
        <is>
          <t>Daycare/School Building</t>
        </is>
      </c>
      <c r="L44" s="2012" t="n"/>
      <c r="M44" s="566" t="inlineStr">
        <is>
          <t>Daycare/School Building</t>
        </is>
      </c>
      <c r="N44" s="2011" t="n"/>
      <c r="O44" s="624" t="inlineStr">
        <is>
          <t>Franchise daycare</t>
        </is>
      </c>
      <c r="P44" s="2011" t="n"/>
    </row>
    <row r="45" ht="45" customHeight="1" s="1439">
      <c r="C45" s="563" t="inlineStr">
        <is>
          <t>Typical Interior Finishes</t>
        </is>
      </c>
      <c r="D45" s="575" t="inlineStr">
        <is>
          <t>Good-quality daycare</t>
        </is>
      </c>
      <c r="E45" s="575" t="inlineStr">
        <is>
          <t>Average-quality school</t>
        </is>
      </c>
      <c r="F45" s="2011" t="n"/>
      <c r="G45" s="575" t="inlineStr">
        <is>
          <t>Average-quality daycare</t>
        </is>
      </c>
      <c r="H45" s="2011" t="n"/>
      <c r="I45" s="575" t="inlineStr">
        <is>
          <t>Average-quality daycare</t>
        </is>
      </c>
      <c r="J45" s="2011" t="n"/>
      <c r="K45" s="575" t="inlineStr">
        <is>
          <t>Average-quality daycare</t>
        </is>
      </c>
      <c r="L45" s="2012" t="n"/>
      <c r="M45" s="575" t="inlineStr">
        <is>
          <t>Average-quality daycare</t>
        </is>
      </c>
      <c r="N45" s="2011" t="n"/>
      <c r="O45" s="624" t="inlineStr">
        <is>
          <t>Average quality daycare/school finishes</t>
        </is>
      </c>
      <c r="P45" s="2011" t="n"/>
    </row>
    <row r="46" ht="19.5" customHeight="1" s="1439">
      <c r="C46" s="570" t="inlineStr">
        <is>
          <t>Parking Ratio (Per 1,000 SF)</t>
        </is>
      </c>
      <c r="D46" s="576">
        <f>(D15/D13)*1000</f>
        <v/>
      </c>
      <c r="E46" s="577">
        <f>(E15/E13)*1000</f>
        <v/>
      </c>
      <c r="F46" s="1800" t="n">
        <v>0</v>
      </c>
      <c r="G46" s="577">
        <f>(G15/G13)*1000</f>
        <v/>
      </c>
      <c r="H46" s="1800" t="n">
        <v>-0.05</v>
      </c>
      <c r="I46" s="577">
        <f>(I15/I13)*1000</f>
        <v/>
      </c>
      <c r="J46" s="1800" t="n">
        <v>-0.05</v>
      </c>
      <c r="K46" s="577">
        <f>(K15/K13)*1000</f>
        <v/>
      </c>
      <c r="L46" s="2009" t="n">
        <v>0</v>
      </c>
      <c r="M46" s="577">
        <f>(M15/M13)*1000</f>
        <v/>
      </c>
      <c r="N46" s="1800" t="n">
        <v>-0.05</v>
      </c>
      <c r="O46" s="625">
        <f>(O15/O13)*1000</f>
        <v/>
      </c>
      <c r="P46" s="1800" t="n">
        <v>0</v>
      </c>
    </row>
    <row r="47">
      <c r="C47" s="558" t="inlineStr">
        <is>
          <t>Tenancy / Occupancy</t>
        </is>
      </c>
      <c r="D47" s="559" t="inlineStr">
        <is>
          <t>Good</t>
        </is>
      </c>
      <c r="E47" s="560" t="inlineStr">
        <is>
          <t>Average</t>
        </is>
      </c>
      <c r="F47" s="1800" t="n">
        <v>0</v>
      </c>
      <c r="G47" s="560" t="inlineStr">
        <is>
          <t>Good</t>
        </is>
      </c>
      <c r="H47" s="1800" t="n">
        <v>-0.1</v>
      </c>
      <c r="I47" s="560" t="inlineStr">
        <is>
          <t>Average</t>
        </is>
      </c>
      <c r="J47" s="1800" t="n">
        <v>0</v>
      </c>
      <c r="K47" s="560" t="inlineStr">
        <is>
          <t>Above-Average</t>
        </is>
      </c>
      <c r="L47" s="2009" t="n">
        <v>-0.05</v>
      </c>
      <c r="M47" s="560" t="inlineStr">
        <is>
          <t>Above-Average</t>
        </is>
      </c>
      <c r="N47" s="1800" t="n">
        <v>-0.05</v>
      </c>
      <c r="O47" s="618" t="inlineStr">
        <is>
          <t>Good</t>
        </is>
      </c>
      <c r="P47" s="1800" t="n">
        <v>0</v>
      </c>
    </row>
    <row r="48">
      <c r="C48" s="563" t="inlineStr">
        <is>
          <t>Occupancy</t>
        </is>
      </c>
      <c r="D48" s="575" t="n">
        <v>1</v>
      </c>
      <c r="E48" s="566" t="n">
        <v>1</v>
      </c>
      <c r="F48" s="2011" t="n"/>
      <c r="G48" s="566" t="n">
        <v>1</v>
      </c>
      <c r="H48" s="2011" t="n"/>
      <c r="I48" s="566" t="n">
        <v>1</v>
      </c>
      <c r="J48" s="2011" t="n"/>
      <c r="K48" s="566" t="n">
        <v>1</v>
      </c>
      <c r="L48" s="2012" t="n"/>
      <c r="M48" s="566" t="n">
        <v>1</v>
      </c>
      <c r="N48" s="2011" t="n"/>
      <c r="O48" s="620" t="n">
        <v>1</v>
      </c>
      <c r="P48" s="2011" t="n"/>
    </row>
    <row r="49" ht="30" customHeight="1" s="1439">
      <c r="C49" s="563" t="inlineStr">
        <is>
          <t>Tenant Risk</t>
        </is>
      </c>
      <c r="D49" s="566" t="inlineStr">
        <is>
          <t>National Daycare Franchise</t>
        </is>
      </c>
      <c r="E49" s="566" t="inlineStr">
        <is>
          <t>Parker Performaing Arts</t>
        </is>
      </c>
      <c r="F49" s="2011" t="n"/>
      <c r="G49" s="566" t="inlineStr">
        <is>
          <t>Goddard School</t>
        </is>
      </c>
      <c r="H49" s="2011" t="n"/>
      <c r="I49" s="566" t="inlineStr">
        <is>
          <t>Local daycare tenant</t>
        </is>
      </c>
      <c r="J49" s="2011" t="n"/>
      <c r="K49" s="575" t="inlineStr">
        <is>
          <t>Learning Experence 
(Local Franchise)</t>
        </is>
      </c>
      <c r="L49" s="2012" t="n"/>
      <c r="M49" s="575" t="inlineStr">
        <is>
          <t>Learning Experence 
(Local Franchise)</t>
        </is>
      </c>
      <c r="N49" s="2011" t="n"/>
      <c r="O49" s="620" t="inlineStr">
        <is>
          <t>Low - Franchise Daycare</t>
        </is>
      </c>
      <c r="P49" s="2011" t="n"/>
    </row>
    <row r="50" ht="12.6" customHeight="1" s="1439">
      <c r="C50" s="563" t="inlineStr">
        <is>
          <t>Overall Cap Rate</t>
        </is>
      </c>
      <c r="D50" s="578" t="inlineStr">
        <is>
          <t>N/A</t>
        </is>
      </c>
      <c r="E50" s="579" t="inlineStr">
        <is>
          <t>N/A</t>
        </is>
      </c>
      <c r="F50" s="2011" t="n"/>
      <c r="G50" s="579" t="inlineStr">
        <is>
          <t>N/A</t>
        </is>
      </c>
      <c r="H50" s="2011" t="n"/>
      <c r="I50" s="579" t="inlineStr">
        <is>
          <t>N/A</t>
        </is>
      </c>
      <c r="J50" s="2011" t="n"/>
      <c r="K50" s="579" t="n">
        <v>0.07149999999999999</v>
      </c>
      <c r="L50" s="2012" t="n"/>
      <c r="M50" s="579" t="n">
        <v>0.0675</v>
      </c>
      <c r="N50" s="2011" t="n"/>
      <c r="O50" s="626" t="n">
        <v>0.0635</v>
      </c>
      <c r="P50" s="2011" t="n"/>
    </row>
    <row r="51" hidden="1" ht="12.6" customHeight="1" s="1439">
      <c r="C51" s="563" t="inlineStr">
        <is>
          <t>Years Remaining</t>
        </is>
      </c>
      <c r="D51" s="578" t="n">
        <v>15</v>
      </c>
      <c r="E51" s="2013" t="n">
        <v>15</v>
      </c>
      <c r="F51" s="2011" t="n"/>
      <c r="G51" s="2013" t="n">
        <v>6</v>
      </c>
      <c r="H51" s="2011" t="n"/>
      <c r="I51" s="2013" t="inlineStr">
        <is>
          <t>N/A</t>
        </is>
      </c>
      <c r="J51" s="2011" t="n"/>
      <c r="K51" s="2013" t="inlineStr">
        <is>
          <t>N/A</t>
        </is>
      </c>
      <c r="L51" s="2012" t="n"/>
      <c r="M51" s="2013" t="inlineStr">
        <is>
          <t>N/A</t>
        </is>
      </c>
      <c r="N51" s="2011" t="n"/>
      <c r="O51" s="2014" t="n">
        <v>15</v>
      </c>
      <c r="P51" s="2011" t="n"/>
    </row>
    <row r="52" hidden="1" ht="12.6" customHeight="1" s="1439">
      <c r="C52" s="563" t="inlineStr">
        <is>
          <t>Renewal Options</t>
        </is>
      </c>
      <c r="D52" s="578" t="n">
        <v>2</v>
      </c>
      <c r="E52" s="2013" t="n">
        <v>3</v>
      </c>
      <c r="F52" s="2011" t="n"/>
      <c r="G52" s="2013" t="n">
        <v>3</v>
      </c>
      <c r="H52" s="2011" t="n"/>
      <c r="I52" s="2013" t="inlineStr">
        <is>
          <t>N/A</t>
        </is>
      </c>
      <c r="J52" s="2011" t="n"/>
      <c r="K52" s="2013" t="inlineStr">
        <is>
          <t>N/A</t>
        </is>
      </c>
      <c r="L52" s="2012" t="n"/>
      <c r="M52" s="2013" t="inlineStr">
        <is>
          <t>N/A</t>
        </is>
      </c>
      <c r="N52" s="2011" t="n"/>
      <c r="O52" s="2014" t="n">
        <v>3</v>
      </c>
      <c r="P52" s="2011" t="n"/>
    </row>
    <row r="53">
      <c r="C53" s="570" t="inlineStr">
        <is>
          <t>Functional Utility</t>
        </is>
      </c>
      <c r="D53" s="559" t="inlineStr">
        <is>
          <t>Average</t>
        </is>
      </c>
      <c r="E53" s="581" t="inlineStr">
        <is>
          <t>Below-Average</t>
        </is>
      </c>
      <c r="F53" s="1807" t="n">
        <v>0</v>
      </c>
      <c r="G53" s="560" t="inlineStr">
        <is>
          <t>Average</t>
        </is>
      </c>
      <c r="H53" s="1807" t="n">
        <v>-0.05</v>
      </c>
      <c r="I53" s="560" t="inlineStr">
        <is>
          <t>Average</t>
        </is>
      </c>
      <c r="J53" s="1807" t="n">
        <v>-0.05</v>
      </c>
      <c r="K53" s="581" t="inlineStr">
        <is>
          <t>Average</t>
        </is>
      </c>
      <c r="L53" s="2015" t="n">
        <v>-0.05</v>
      </c>
      <c r="M53" s="560" t="inlineStr">
        <is>
          <t>Average</t>
        </is>
      </c>
      <c r="N53" s="1807" t="n">
        <v>-0.05</v>
      </c>
      <c r="O53" s="618" t="inlineStr">
        <is>
          <t>Good</t>
        </is>
      </c>
      <c r="P53" s="1807" t="n">
        <v>-0.1</v>
      </c>
    </row>
    <row r="54" ht="30" customHeight="1" s="1439">
      <c r="C54" s="563" t="inlineStr">
        <is>
          <t>Building Layout</t>
        </is>
      </c>
      <c r="D54" s="566" t="inlineStr">
        <is>
          <t>Single-level, good</t>
        </is>
      </c>
      <c r="E54" s="566" t="inlineStr">
        <is>
          <t>Two-stories, good</t>
        </is>
      </c>
      <c r="F54" s="2011" t="n"/>
      <c r="G54" s="566" t="inlineStr">
        <is>
          <t>Single-level, good</t>
        </is>
      </c>
      <c r="H54" s="2011" t="n"/>
      <c r="I54" s="575" t="inlineStr">
        <is>
          <t>Single-story
Residential Conversion</t>
        </is>
      </c>
      <c r="J54" s="2011" t="n"/>
      <c r="K54" s="575" t="inlineStr">
        <is>
          <t>Single-story
Residential Conversion</t>
        </is>
      </c>
      <c r="L54" s="2012" t="n"/>
      <c r="M54" s="575" t="inlineStr">
        <is>
          <t>Single-story
Residential Conversion</t>
        </is>
      </c>
      <c r="N54" s="2011" t="n"/>
      <c r="O54" s="620" t="inlineStr">
        <is>
          <t>Single-level, good</t>
        </is>
      </c>
      <c r="P54" s="2011" t="n"/>
    </row>
    <row r="55" ht="45" customHeight="1" s="1439">
      <c r="C55" s="563" t="inlineStr">
        <is>
          <t>Building Amenities</t>
        </is>
      </c>
      <c r="D55" s="584" t="inlineStr">
        <is>
          <t>Perimiter classrooms, office, laundry, kitchen</t>
        </is>
      </c>
      <c r="E55" s="584" t="inlineStr">
        <is>
          <t>Calssrooms, gym, offices, cafateria, auditorium.</t>
        </is>
      </c>
      <c r="F55" s="2011" t="n"/>
      <c r="G55" s="584" t="inlineStr">
        <is>
          <t>Perimiter classrooms, office, laundry</t>
        </is>
      </c>
      <c r="H55" s="2011" t="n"/>
      <c r="I55" s="584" t="inlineStr">
        <is>
          <t>Classrooms, office, kitchen</t>
        </is>
      </c>
      <c r="J55" s="2011" t="n"/>
      <c r="K55" s="584" t="inlineStr">
        <is>
          <t>Classrooms, office, kitchen</t>
        </is>
      </c>
      <c r="L55" s="2012" t="n"/>
      <c r="M55" s="584" t="inlineStr">
        <is>
          <t>Classrooms, office, kitchen</t>
        </is>
      </c>
      <c r="N55" s="2011" t="n"/>
      <c r="O55" s="624" t="inlineStr">
        <is>
          <t>Commercial kitchen, office, meeting room, teacher's lounge.</t>
        </is>
      </c>
      <c r="P55" s="2011" t="n"/>
    </row>
    <row r="56">
      <c r="C56" s="563" t="inlineStr">
        <is>
          <t>Above/Below Grade Space</t>
        </is>
      </c>
      <c r="D56" s="584" t="inlineStr">
        <is>
          <t>All above</t>
        </is>
      </c>
      <c r="E56" s="584" t="inlineStr">
        <is>
          <t>All above</t>
        </is>
      </c>
      <c r="F56" s="2011" t="n"/>
      <c r="G56" s="584" t="inlineStr">
        <is>
          <t>All above</t>
        </is>
      </c>
      <c r="H56" s="2011" t="n"/>
      <c r="I56" s="584" t="inlineStr">
        <is>
          <t>All above</t>
        </is>
      </c>
      <c r="J56" s="2011" t="n"/>
      <c r="K56" s="584" t="inlineStr">
        <is>
          <t>All above</t>
        </is>
      </c>
      <c r="L56" s="2012" t="n"/>
      <c r="M56" s="584" t="inlineStr">
        <is>
          <t>All above</t>
        </is>
      </c>
      <c r="N56" s="2011" t="n"/>
      <c r="O56" s="628" t="inlineStr">
        <is>
          <t>All above</t>
        </is>
      </c>
      <c r="P56" s="2011" t="n"/>
    </row>
    <row r="57" ht="30" customHeight="1" s="1439">
      <c r="C57" s="563" t="inlineStr">
        <is>
          <t>Site Improvements, Other</t>
        </is>
      </c>
      <c r="D57" s="584" t="inlineStr">
        <is>
          <t>Multiple playgrounds</t>
        </is>
      </c>
      <c r="E57" s="584" t="inlineStr">
        <is>
          <t>Multiple playgrounds</t>
        </is>
      </c>
      <c r="F57" s="2011" t="n"/>
      <c r="G57" s="584" t="inlineStr">
        <is>
          <t>Multiple playgrounds</t>
        </is>
      </c>
      <c r="H57" s="2011" t="n"/>
      <c r="I57" s="584" t="inlineStr">
        <is>
          <t>Multiple playgrounds</t>
        </is>
      </c>
      <c r="J57" s="2016" t="n"/>
      <c r="K57" s="584" t="inlineStr">
        <is>
          <t>Multiple playgrounds</t>
        </is>
      </c>
      <c r="L57" s="2012" t="n"/>
      <c r="M57" s="584" t="inlineStr">
        <is>
          <t>Multiple playgrounds</t>
        </is>
      </c>
      <c r="N57" s="2016" t="n"/>
      <c r="O57" s="628" t="inlineStr">
        <is>
          <t xml:space="preserve">Multiple playgrounds, large outdoor activity areas. </t>
        </is>
      </c>
      <c r="P57" s="2011" t="n"/>
    </row>
    <row r="58" ht="12.6" customHeight="1" s="1439">
      <c r="C58" s="586" t="inlineStr">
        <is>
          <t>Total Non Quantified Adj.</t>
        </is>
      </c>
      <c r="D58" s="587" t="n"/>
      <c r="E58" s="588" t="n"/>
      <c r="F58" s="2017">
        <f>SUM(F32:F41,F46:F47,F53)</f>
        <v/>
      </c>
      <c r="G58" s="588" t="n"/>
      <c r="H58" s="2017">
        <f>SUM(H32,H39,H40,H41,H46,H47,H53)</f>
        <v/>
      </c>
      <c r="I58" s="590" t="n"/>
      <c r="J58" s="2018">
        <f>SUM(J32,J39,J40,J41,J46,J47,J53)</f>
        <v/>
      </c>
      <c r="K58" s="592" t="n"/>
      <c r="L58" s="2019">
        <f>SUM(L32,L39,L40,L41,L46,L47,L53)</f>
        <v/>
      </c>
      <c r="M58" s="590" t="n"/>
      <c r="N58" s="2018">
        <f>SUM(N32,N39,N40,N41,N46,N47,N53)</f>
        <v/>
      </c>
      <c r="O58" s="570" t="n"/>
      <c r="P58" s="2020">
        <f>SUM(P32,P39,P40,P41,P46,P47,P53)</f>
        <v/>
      </c>
    </row>
    <row r="59" ht="12.6" customHeight="1" s="1439">
      <c r="C59" s="594" t="inlineStr">
        <is>
          <t>Indication for Subject:</t>
        </is>
      </c>
      <c r="D59" s="595" t="n"/>
      <c r="E59" s="596" t="n"/>
      <c r="F59" s="1818">
        <f>IF(LEFT(CELL("format",F58),1)="P",F30*(1+F58),IF(LEFT(CELL("format",F58),1)="C",F30+F58))</f>
        <v/>
      </c>
      <c r="G59" s="596" t="n"/>
      <c r="H59" s="1818">
        <f>IF(LEFT(CELL("format",H58),1)="P",H30*(1+H58),IF(LEFT(CELL("format",H58),1)="C",H30+H58))</f>
        <v/>
      </c>
      <c r="I59" s="596" t="n"/>
      <c r="J59" s="2021">
        <f>IF(LEFT(CELL("format",J58),1)="P",J30*(1+J58),IF(LEFT(CELL("format",J58),1)="C",J30+J58))</f>
        <v/>
      </c>
      <c r="K59" s="596" t="n"/>
      <c r="L59" s="2022">
        <f>IF(LEFT(CELL("format",L58),1)="P",L30*(1+L58),IF(LEFT(CELL("format",L58),1)="C",L30+L58))</f>
        <v/>
      </c>
      <c r="M59" s="596" t="n"/>
      <c r="N59" s="2021">
        <f>IF(LEFT(CELL("format",N58),1)="P",N30*(1+N58),IF(LEFT(CELL("format",N58),1)="C",N30+N58))</f>
        <v/>
      </c>
      <c r="O59" s="630" t="n"/>
      <c r="P59" s="2023">
        <f>IF(LEFT(CELL("format",P58),1)="P",P30*(1+P58),IF(LEFT(CELL("format",P58),1)="C",P30+P58))</f>
        <v/>
      </c>
    </row>
    <row r="60">
      <c r="E60" s="358">
        <f>(E39-$D$39)/$D$39</f>
        <v/>
      </c>
      <c r="G60" s="358">
        <f>(G39-$D$39)/$D$39</f>
        <v/>
      </c>
      <c r="I60" s="358">
        <f>(I39-$D$39)/$D$39</f>
        <v/>
      </c>
      <c r="K60" s="358">
        <f>(K39-$D$39)/$D$39</f>
        <v/>
      </c>
      <c r="M60" s="358">
        <f>(M39-$D$39)/$D$39</f>
        <v/>
      </c>
    </row>
    <row r="61">
      <c r="E61" s="2024" t="n">
        <v>195</v>
      </c>
    </row>
    <row r="62">
      <c r="D62" t="inlineStr">
        <is>
          <t>Rounded Value</t>
        </is>
      </c>
      <c r="E62" s="2025">
        <f>MROUND(E61*D39,5000)</f>
        <v/>
      </c>
      <c r="F62" s="1971" t="n"/>
    </row>
    <row r="63">
      <c r="D63" t="inlineStr">
        <is>
          <t>Value PSF</t>
        </is>
      </c>
      <c r="E63" s="2024">
        <f>E62/D39</f>
        <v/>
      </c>
    </row>
    <row r="64">
      <c r="D64" t="inlineStr">
        <is>
          <t>Income</t>
        </is>
      </c>
      <c r="E64" s="2026">
        <f>'IA Values'!H13</f>
        <v/>
      </c>
    </row>
    <row r="67">
      <c r="E67" t="n">
        <v>262.27</v>
      </c>
    </row>
    <row r="68">
      <c r="E68" t="n">
        <v>247.3</v>
      </c>
      <c r="F68" s="2027">
        <f>(E67-E68)/E68</f>
        <v/>
      </c>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39" min="1" max="1"/>
    <col width="45.42578125" bestFit="1" customWidth="1" style="1439" min="2" max="2"/>
    <col width="53" customWidth="1" style="1439" min="3" max="3"/>
    <col width="14" customWidth="1" style="1439" min="4" max="4"/>
    <col width="11.5703125" bestFit="1" customWidth="1" style="1439" min="6" max="6"/>
    <col width="9.7109375" bestFit="1" customWidth="1" style="1439" min="7" max="7"/>
    <col width="12.5703125" bestFit="1" customWidth="1" style="1439" min="8" max="8"/>
    <col width="11.5703125" bestFit="1" customWidth="1" style="1439" min="9" max="9"/>
  </cols>
  <sheetData>
    <row r="2" ht="15.75" customHeight="1" s="1439">
      <c r="B2" s="1597" t="inlineStr">
        <is>
          <t xml:space="preserve">LEASE ABSTRACT </t>
        </is>
      </c>
    </row>
    <row r="3" ht="12.75" customHeight="1" s="1439">
      <c r="B3" s="1043" t="inlineStr">
        <is>
          <t>Lessor</t>
        </is>
      </c>
      <c r="C3" s="1351" t="inlineStr">
        <is>
          <t>Yafa Realty Investments, LLC</t>
        </is>
      </c>
      <c r="G3" s="1355" t="inlineStr">
        <is>
          <t>Annual Rent Calc. Table</t>
        </is>
      </c>
      <c r="H3" s="1356" t="n"/>
    </row>
    <row r="4" ht="12.75" customHeight="1" s="1439">
      <c r="B4" s="1043" t="inlineStr">
        <is>
          <t>Lessee</t>
        </is>
      </c>
      <c r="C4" s="1352" t="inlineStr">
        <is>
          <t xml:space="preserve">Walker Component Group, Inc. </t>
        </is>
      </c>
      <c r="G4" s="725" t="inlineStr">
        <is>
          <t>Month</t>
        </is>
      </c>
      <c r="H4" s="1357" t="inlineStr">
        <is>
          <t>Monthly Rent</t>
        </is>
      </c>
    </row>
    <row r="5" ht="12.75" customHeight="1" s="1439">
      <c r="B5" s="1043" t="inlineStr">
        <is>
          <t>Building Size (SF)</t>
        </is>
      </c>
      <c r="C5" s="1353" t="n">
        <v>33750</v>
      </c>
      <c r="G5" s="1358" t="inlineStr">
        <is>
          <t>January</t>
        </is>
      </c>
      <c r="H5" s="2028" t="n">
        <v>16120</v>
      </c>
    </row>
    <row r="6" ht="12.75" customHeight="1" s="1439">
      <c r="B6" s="1043" t="inlineStr">
        <is>
          <t>Lease Sign Date</t>
        </is>
      </c>
      <c r="C6" s="1354" t="n">
        <v>42689</v>
      </c>
      <c r="G6" s="1358" t="inlineStr">
        <is>
          <t>February</t>
        </is>
      </c>
      <c r="H6" s="2028" t="n">
        <v>16120</v>
      </c>
    </row>
    <row r="7" ht="12.75" customHeight="1" s="1439">
      <c r="B7" s="1043" t="inlineStr">
        <is>
          <t>Lease Commencement Date</t>
        </is>
      </c>
      <c r="C7" s="1354" t="n">
        <v>42689</v>
      </c>
      <c r="G7" s="1358" t="inlineStr">
        <is>
          <t>March</t>
        </is>
      </c>
      <c r="H7" s="2028" t="n">
        <v>16120</v>
      </c>
      <c r="K7" s="358" t="n"/>
    </row>
    <row r="8" ht="12.75" customHeight="1" s="1439">
      <c r="B8" s="1043" t="inlineStr">
        <is>
          <t>Lease Expiration Date</t>
        </is>
      </c>
      <c r="C8" s="1354" t="n">
        <v>46752</v>
      </c>
      <c r="G8" s="1358" t="inlineStr">
        <is>
          <t>April</t>
        </is>
      </c>
      <c r="H8" s="2028" t="n">
        <v>16120</v>
      </c>
    </row>
    <row r="9">
      <c r="B9" s="1043" t="inlineStr">
        <is>
          <t>Base Lease Term (Months)</t>
        </is>
      </c>
      <c r="C9" s="1044">
        <f>+(C8-C7)/365*12</f>
        <v/>
      </c>
      <c r="G9" s="1358" t="inlineStr">
        <is>
          <t>May</t>
        </is>
      </c>
      <c r="H9" s="2028" t="n">
        <v>16120</v>
      </c>
      <c r="K9" s="358" t="n"/>
    </row>
    <row r="10" ht="20.25" customHeight="1" s="1439">
      <c r="B10" s="1043" t="inlineStr">
        <is>
          <t>12 Months Contract Rental Income (Jan-Dec 2020)</t>
        </is>
      </c>
      <c r="C10" s="2029">
        <f>H17</f>
        <v/>
      </c>
      <c r="G10" s="1358" t="inlineStr">
        <is>
          <t>June</t>
        </is>
      </c>
      <c r="H10" s="2028" t="n">
        <v>16120</v>
      </c>
    </row>
    <row r="11" ht="12.75" customHeight="1" s="1439">
      <c r="B11" s="1043" t="inlineStr">
        <is>
          <t>12 Months Contract Rental Income (Jan-Dec 2020)</t>
        </is>
      </c>
      <c r="C11" s="2030">
        <f>C10/C5</f>
        <v/>
      </c>
      <c r="G11" s="1358" t="inlineStr">
        <is>
          <t>July</t>
        </is>
      </c>
      <c r="H11" s="2028" t="n">
        <v>16120</v>
      </c>
    </row>
    <row r="12" ht="12.75" customHeight="1" s="1439">
      <c r="B12" s="1043" t="inlineStr">
        <is>
          <t>Base Rents</t>
        </is>
      </c>
      <c r="C12" s="1043" t="n"/>
      <c r="D12" t="inlineStr">
        <is>
          <t>Annual Rent (Lease)</t>
        </is>
      </c>
      <c r="G12" s="1358" t="inlineStr">
        <is>
          <t>August</t>
        </is>
      </c>
      <c r="H12" s="2028" t="n">
        <v>20230</v>
      </c>
    </row>
    <row r="13">
      <c r="B13" s="1047" t="inlineStr">
        <is>
          <t>Year 1 (11/16-10/17)</t>
        </is>
      </c>
      <c r="C13" s="2030">
        <f>D13/$C$5</f>
        <v/>
      </c>
      <c r="D13" s="1690" t="n">
        <v>194062.5</v>
      </c>
      <c r="G13" s="1358" t="inlineStr">
        <is>
          <t>September</t>
        </is>
      </c>
      <c r="H13" s="2028" t="n">
        <v>20230</v>
      </c>
    </row>
    <row r="14">
      <c r="B14" s="1047" t="inlineStr">
        <is>
          <t>Year 2 (11/17-10/18)</t>
        </is>
      </c>
      <c r="C14" s="2030">
        <f>D14/$C$5</f>
        <v/>
      </c>
      <c r="D14" s="1690" t="n">
        <v>194062.5</v>
      </c>
      <c r="G14" s="1358" t="inlineStr">
        <is>
          <t>October</t>
        </is>
      </c>
      <c r="H14" s="2028" t="n">
        <v>20230</v>
      </c>
    </row>
    <row r="15">
      <c r="B15" s="1047" t="inlineStr">
        <is>
          <t>Year 3 (11/18-10/19)</t>
        </is>
      </c>
      <c r="C15" s="2030">
        <f>D15/$C$5</f>
        <v/>
      </c>
      <c r="D15" s="1690" t="n">
        <v>202500</v>
      </c>
      <c r="G15" s="1358" t="inlineStr">
        <is>
          <t>November</t>
        </is>
      </c>
      <c r="H15" s="2028" t="n">
        <v>20230</v>
      </c>
    </row>
    <row r="16">
      <c r="B16" s="1047" t="inlineStr">
        <is>
          <t>Year 4 (11/19-10/20)</t>
        </is>
      </c>
      <c r="C16" s="2030">
        <f>D16/$C$5</f>
        <v/>
      </c>
      <c r="D16" s="1690" t="n">
        <v>202500</v>
      </c>
      <c r="G16" s="1360" t="inlineStr">
        <is>
          <t>December</t>
        </is>
      </c>
      <c r="H16" s="2031" t="n">
        <v>20230</v>
      </c>
    </row>
    <row r="17">
      <c r="B17" s="1047" t="inlineStr">
        <is>
          <t>Year 5 (11/20-10/21)</t>
        </is>
      </c>
      <c r="C17" s="2030">
        <f>D17/$C$5</f>
        <v/>
      </c>
      <c r="D17" s="1690" t="n">
        <v>210937.5</v>
      </c>
      <c r="G17" s="1362" t="inlineStr">
        <is>
          <t>Total</t>
        </is>
      </c>
      <c r="H17" s="2032">
        <f>SUM(H5:H16)</f>
        <v/>
      </c>
    </row>
    <row r="18">
      <c r="B18" s="1047" t="inlineStr">
        <is>
          <t>Frist Renewal Period</t>
        </is>
      </c>
      <c r="C18" s="2030" t="n"/>
      <c r="D18" s="1690" t="n"/>
      <c r="G18" s="1364" t="inlineStr">
        <is>
          <t>PSF</t>
        </is>
      </c>
      <c r="H18" s="2033">
        <f>H17/FE!C14</f>
        <v/>
      </c>
      <c r="I18" s="2025" t="n"/>
    </row>
    <row r="19">
      <c r="B19" s="1047" t="inlineStr">
        <is>
          <t>Year 6</t>
        </is>
      </c>
      <c r="C19" s="2030">
        <f>D19/$C$5</f>
        <v/>
      </c>
      <c r="D19" s="1690" t="n">
        <v>210937.5</v>
      </c>
      <c r="H19" s="2025" t="n"/>
      <c r="I19" s="2025" t="n"/>
    </row>
    <row r="20">
      <c r="B20" s="1047" t="inlineStr">
        <is>
          <t>Year 7</t>
        </is>
      </c>
      <c r="C20" s="2030">
        <f>D20/$C$5</f>
        <v/>
      </c>
      <c r="D20" s="1690" t="n">
        <v>219375</v>
      </c>
      <c r="H20" s="2025" t="n"/>
      <c r="I20" s="2025" t="n"/>
    </row>
    <row r="21">
      <c r="B21" s="1047" t="inlineStr">
        <is>
          <t>Year 8</t>
        </is>
      </c>
      <c r="C21" s="2030">
        <f>D21/$C$5</f>
        <v/>
      </c>
      <c r="D21" s="1690" t="n">
        <v>226125</v>
      </c>
      <c r="H21" s="2025" t="n"/>
      <c r="I21" s="2025" t="n"/>
    </row>
    <row r="22">
      <c r="B22" s="1047" t="inlineStr">
        <is>
          <t>Year 9</t>
        </is>
      </c>
      <c r="C22" s="2030">
        <f>D22/$C$5</f>
        <v/>
      </c>
      <c r="D22" s="1690" t="n">
        <v>232875</v>
      </c>
      <c r="H22" s="2025" t="n"/>
      <c r="I22" s="2025" t="n"/>
    </row>
    <row r="23">
      <c r="B23" s="1047" t="inlineStr">
        <is>
          <t>Year 10</t>
        </is>
      </c>
      <c r="C23" s="2030">
        <f>D23/$C$5</f>
        <v/>
      </c>
      <c r="D23" s="1690" t="n">
        <v>239625</v>
      </c>
      <c r="H23" s="2025" t="n"/>
      <c r="I23" s="2025" t="n"/>
    </row>
    <row r="24">
      <c r="B24" s="1047" t="inlineStr">
        <is>
          <t>Year 11</t>
        </is>
      </c>
      <c r="C24" s="2030">
        <f>D24/$C$5</f>
        <v/>
      </c>
      <c r="D24" s="1690" t="n">
        <v>242988</v>
      </c>
      <c r="H24" s="2025" t="n"/>
      <c r="I24" s="2025" t="n"/>
    </row>
    <row r="25" hidden="1" ht="12" customHeight="1" s="1439">
      <c r="B25" s="1047" t="n"/>
      <c r="C25" s="2030" t="n"/>
      <c r="H25" s="2025" t="n"/>
      <c r="I25" s="2025" t="n"/>
    </row>
    <row r="26" hidden="1" ht="12" customHeight="1" s="1439">
      <c r="B26" s="1047" t="n"/>
      <c r="C26" s="2030" t="n"/>
      <c r="H26" s="2025" t="n"/>
      <c r="I26" s="2025" t="n"/>
    </row>
    <row r="27" hidden="1" ht="12" customHeight="1" s="1439">
      <c r="B27" s="1047" t="n"/>
      <c r="C27" s="2030" t="n"/>
      <c r="H27" s="2025" t="n"/>
      <c r="I27" s="2025" t="n"/>
    </row>
    <row r="28" hidden="1" ht="12" customHeight="1" s="1439">
      <c r="B28" s="1047" t="n"/>
      <c r="C28" s="2030" t="n"/>
      <c r="H28" s="2025" t="n"/>
      <c r="I28" s="2025" t="n"/>
    </row>
    <row r="29" ht="15" customHeight="1" s="1439">
      <c r="B29" s="1048" t="inlineStr">
        <is>
          <t>Expense Structure</t>
        </is>
      </c>
      <c r="C29" s="1366" t="inlineStr">
        <is>
          <t>NNN</t>
        </is>
      </c>
      <c r="H29" s="2025" t="n"/>
      <c r="I29" s="2025" t="n"/>
      <c r="J29" s="2027" t="n"/>
    </row>
    <row r="30" ht="15" customHeight="1" s="1439">
      <c r="B30" s="1043" t="inlineStr">
        <is>
          <t>Landlord Expense Responsibilities</t>
        </is>
      </c>
      <c r="C30" s="1351" t="inlineStr">
        <is>
          <t>Roof replacement/repair, structural damage</t>
        </is>
      </c>
      <c r="H30" s="2025" t="n"/>
      <c r="I30" s="2025" t="n"/>
      <c r="J30" s="2027" t="n"/>
    </row>
    <row r="31" ht="52.5" customHeight="1" s="1439">
      <c r="B31" s="1049" t="inlineStr">
        <is>
          <t>Tenant Expense Responsibilities</t>
        </is>
      </c>
      <c r="C31" s="1367" t="inlineStr">
        <is>
          <t xml:space="preserve">Tenant is responsible for all expenses directly, including taxes, insurance, CAM/repairs &amp; maintenance, utilities and other expenses.  </t>
        </is>
      </c>
      <c r="H31" s="2025" t="n"/>
      <c r="I31" s="2024" t="n"/>
      <c r="J31" s="1971" t="n"/>
    </row>
    <row r="32" ht="37.5" customHeight="1" s="1439">
      <c r="B32" s="1043" t="inlineStr">
        <is>
          <t>Comments</t>
        </is>
      </c>
      <c r="C32" s="1351" t="inlineStr">
        <is>
          <t xml:space="preserve">Initial 5-year term with two 5-year renewal options. First renewal option started as of the valuation date. </t>
        </is>
      </c>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inlineStr">
        <is>
          <t xml:space="preserve">Triple net agreement, sale-leaseback. </t>
        </is>
      </c>
    </row>
    <row r="37" ht="24" customHeight="1" s="1439">
      <c r="B37" s="1050" t="inlineStr">
        <is>
          <t>Source</t>
        </is>
      </c>
      <c r="C37" s="1368" t="inlineStr">
        <is>
          <t>Lease Agreement, owner, inspection, assessor data</t>
        </is>
      </c>
    </row>
    <row r="41">
      <c r="C41" s="2034" t="n"/>
    </row>
    <row r="42">
      <c r="C42" s="2034" t="n"/>
    </row>
    <row r="43">
      <c r="C43" s="2034" t="n"/>
    </row>
    <row r="44">
      <c r="C44" s="2034" t="n"/>
    </row>
    <row r="45">
      <c r="C45" s="2034" t="n"/>
    </row>
    <row r="46">
      <c r="C46" s="2034" t="n"/>
    </row>
    <row r="47">
      <c r="C47" s="2034" t="n"/>
    </row>
    <row r="48">
      <c r="C48" s="2034" t="n"/>
    </row>
    <row r="49">
      <c r="C49" s="2034" t="n"/>
    </row>
    <row r="50">
      <c r="C50" s="2034" t="n"/>
    </row>
    <row r="51">
      <c r="C51" s="2034" t="n"/>
    </row>
    <row r="52">
      <c r="C52" s="2034" t="n"/>
    </row>
    <row r="53">
      <c r="C53" s="2034"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topLeftCell="A9" workbookViewId="0">
      <selection activeCell="S29" sqref="S29:T29"/>
    </sheetView>
  </sheetViews>
  <sheetFormatPr baseColWidth="8" defaultRowHeight="15"/>
  <cols>
    <col width="10.7109375" customWidth="1" style="1439" min="1" max="1"/>
    <col width="13.28515625" customWidth="1" style="1439" min="2" max="2"/>
    <col width="12.5703125" customWidth="1" style="1439" min="3" max="3"/>
    <col width="9.85546875" customWidth="1" style="1439" min="4" max="4"/>
    <col width="20.7109375" customWidth="1" style="1439" min="5" max="5"/>
    <col width="7.42578125" customWidth="1" style="1439" min="6" max="6"/>
    <col width="20.7109375" customWidth="1" style="1439" min="7" max="7"/>
    <col width="7.42578125" customWidth="1" style="1439" min="8" max="8"/>
    <col width="20.7109375" customWidth="1" style="1439" min="9" max="9"/>
    <col width="7.5703125" customWidth="1" style="1439" min="10" max="10"/>
    <col width="20.7109375" customWidth="1" style="1439" min="11" max="11"/>
    <col width="8" customWidth="1" style="1439" min="12" max="12"/>
    <col hidden="1" width="21" customWidth="1" style="1439" min="13" max="13"/>
    <col hidden="1" width="10.28515625" customWidth="1" style="1439" min="14" max="14"/>
  </cols>
  <sheetData>
    <row r="2" ht="15.75" customFormat="1" customHeight="1" s="4">
      <c r="A2" s="1611" t="inlineStr">
        <is>
          <t>COMPARABLE LEASE ADJUSTMENT GRID</t>
        </is>
      </c>
      <c r="B2" s="1468" t="n"/>
      <c r="C2" s="1468" t="n"/>
      <c r="D2" s="1468" t="n"/>
      <c r="E2" s="1468" t="n"/>
      <c r="F2" s="1468" t="n"/>
      <c r="G2" s="1468" t="n"/>
      <c r="H2" s="1468" t="n"/>
      <c r="I2" s="1468" t="n"/>
      <c r="J2" s="1468" t="n"/>
      <c r="K2" s="1468" t="n"/>
      <c r="L2" s="1468" t="n"/>
      <c r="M2" s="1468" t="n"/>
      <c r="N2" s="1612" t="n"/>
    </row>
    <row r="3" ht="15" customHeight="1" s="1439">
      <c r="A3" s="1623" t="inlineStr">
        <is>
          <t>Characteristics</t>
        </is>
      </c>
      <c r="C3" s="1618" t="inlineStr">
        <is>
          <t>Subject</t>
        </is>
      </c>
      <c r="E3" s="1618" t="inlineStr">
        <is>
          <t>Lease 1</t>
        </is>
      </c>
      <c r="G3" s="1618" t="inlineStr">
        <is>
          <t>Lease 2</t>
        </is>
      </c>
      <c r="I3" s="1618" t="inlineStr">
        <is>
          <t>Lease 3</t>
        </is>
      </c>
      <c r="K3" s="1618" t="inlineStr">
        <is>
          <t>Lease 4</t>
        </is>
      </c>
      <c r="M3" s="1620" t="inlineStr">
        <is>
          <t>Rent 5</t>
        </is>
      </c>
      <c r="N3" s="1565" t="n"/>
    </row>
    <row r="4" ht="15" customHeight="1" s="1439">
      <c r="A4" s="1605" t="inlineStr">
        <is>
          <t>Address</t>
        </is>
      </c>
      <c r="B4" s="1565" t="n"/>
      <c r="C4" s="1603">
        <f>'Property Info'!B16</f>
        <v/>
      </c>
      <c r="D4" s="1565" t="n"/>
      <c r="E4" s="1603" t="inlineStr">
        <is>
          <t>5676 N Pecos Street</t>
        </is>
      </c>
      <c r="F4" s="1565" t="n"/>
      <c r="G4" s="1603" t="inlineStr">
        <is>
          <t>5100 Fox Street</t>
        </is>
      </c>
      <c r="H4" s="1565" t="n"/>
      <c r="I4" s="1603" t="inlineStr">
        <is>
          <t>5151 Bannock Street</t>
        </is>
      </c>
      <c r="J4" s="1565" t="n"/>
      <c r="K4" s="1603" t="inlineStr">
        <is>
          <t>4715 Colorado Blvd.</t>
        </is>
      </c>
      <c r="L4" s="1565" t="n"/>
      <c r="M4" s="1619" t="inlineStr">
        <is>
          <t>5882 South Youngfield Court</t>
        </is>
      </c>
      <c r="N4" s="1565" t="n"/>
    </row>
    <row r="5" ht="12.75" customHeight="1" s="1439">
      <c r="A5" s="1601" t="inlineStr">
        <is>
          <t>City</t>
        </is>
      </c>
      <c r="B5" s="1565" t="n"/>
      <c r="C5" s="1603">
        <f>'Property Info'!B17</f>
        <v/>
      </c>
      <c r="D5" s="1565" t="n"/>
      <c r="E5" s="1603" t="inlineStr">
        <is>
          <t>Denver, CO</t>
        </is>
      </c>
      <c r="F5" s="1565" t="n"/>
      <c r="G5" s="1603" t="inlineStr">
        <is>
          <t>Denver, CO</t>
        </is>
      </c>
      <c r="H5" s="1565" t="n"/>
      <c r="I5" s="1603" t="inlineStr">
        <is>
          <t>Denver, CO</t>
        </is>
      </c>
      <c r="J5" s="1565" t="n"/>
      <c r="K5" s="1603" t="inlineStr">
        <is>
          <t>Denver, CO</t>
        </is>
      </c>
      <c r="L5" s="1565" t="n"/>
      <c r="M5" s="1619" t="inlineStr">
        <is>
          <t>Littleton, CO</t>
        </is>
      </c>
      <c r="N5" s="1565" t="n"/>
    </row>
    <row r="6" hidden="1" ht="12.75" customHeight="1" s="1439">
      <c r="A6" s="1605" t="inlineStr">
        <is>
          <t>Distance from Subject</t>
        </is>
      </c>
      <c r="B6" s="1565" t="n"/>
      <c r="C6" s="1603" t="inlineStr">
        <is>
          <t>N/A</t>
        </is>
      </c>
      <c r="D6" s="1565" t="n"/>
      <c r="E6" s="1603" t="inlineStr">
        <is>
          <t>1 mile</t>
        </is>
      </c>
      <c r="F6" s="1565" t="n"/>
      <c r="G6" s="1603" t="inlineStr">
        <is>
          <t>1 mile</t>
        </is>
      </c>
      <c r="H6" s="1565" t="n"/>
      <c r="I6" s="1603" t="inlineStr">
        <is>
          <t>1 mile</t>
        </is>
      </c>
      <c r="J6" s="1565" t="n"/>
      <c r="K6" s="1603" t="inlineStr">
        <is>
          <t>1/4 mile</t>
        </is>
      </c>
      <c r="L6" s="1565" t="n"/>
      <c r="M6" s="1619" t="inlineStr">
        <is>
          <t>1 mile</t>
        </is>
      </c>
      <c r="N6" s="1565" t="n"/>
    </row>
    <row r="7" hidden="1" ht="40.5" customHeight="1" s="1439">
      <c r="A7" s="797" t="inlineStr">
        <is>
          <t>Data Source</t>
        </is>
      </c>
      <c r="B7" s="790" t="n"/>
      <c r="C7" s="1603">
        <f>'Detailed Sales Grid'!D12</f>
        <v/>
      </c>
      <c r="D7" s="1565" t="n"/>
      <c r="E7" s="1603" t="inlineStr">
        <is>
          <t>CoStar, Assessor, OM</t>
        </is>
      </c>
      <c r="F7" s="1565" t="n"/>
      <c r="G7" s="1603" t="inlineStr">
        <is>
          <t>CoStar, Assessor, OM</t>
        </is>
      </c>
      <c r="H7" s="1565" t="n"/>
      <c r="I7" s="1603" t="inlineStr">
        <is>
          <t>CoStar, Assessor, OM</t>
        </is>
      </c>
      <c r="J7" s="1565" t="n"/>
      <c r="K7" s="1603" t="inlineStr">
        <is>
          <t>CoStar, Broker, Listing</t>
        </is>
      </c>
      <c r="L7" s="1565" t="n"/>
      <c r="M7" s="1619" t="inlineStr">
        <is>
          <t>CoStar, Assessor</t>
        </is>
      </c>
      <c r="N7" s="1565" t="n"/>
    </row>
    <row r="8" hidden="1" ht="12.75" customHeight="1" s="1439">
      <c r="A8" s="1601" t="inlineStr">
        <is>
          <t>Proximity to Subject</t>
        </is>
      </c>
      <c r="B8" s="1565" t="n"/>
      <c r="C8" s="1603" t="inlineStr">
        <is>
          <t>N/A</t>
        </is>
      </c>
      <c r="D8" s="1565" t="n"/>
      <c r="E8" s="1603" t="inlineStr">
        <is>
          <t>1.5 miles</t>
        </is>
      </c>
      <c r="F8" s="1565" t="n"/>
      <c r="G8" s="1603" t="inlineStr">
        <is>
          <t>1.5 miles</t>
        </is>
      </c>
      <c r="H8" s="1565" t="n"/>
      <c r="I8" s="1603" t="inlineStr">
        <is>
          <t>1.5 miles</t>
        </is>
      </c>
      <c r="J8" s="1565" t="n"/>
      <c r="K8" s="1603" t="inlineStr">
        <is>
          <t>5.0 miles</t>
        </is>
      </c>
      <c r="L8" s="1565" t="n"/>
      <c r="M8" s="1603" t="inlineStr">
        <is>
          <t>3.0 miles</t>
        </is>
      </c>
      <c r="N8" s="1565" t="n"/>
    </row>
    <row r="9" ht="12.75" customHeight="1" s="1439">
      <c r="A9" s="1605" t="inlineStr">
        <is>
          <t xml:space="preserve">Building Size </t>
        </is>
      </c>
      <c r="B9" s="1565" t="n"/>
      <c r="C9" s="1602">
        <f>'Property Info'!B4</f>
        <v/>
      </c>
      <c r="D9" s="1565" t="n"/>
      <c r="E9" s="1602" t="n">
        <v>29050</v>
      </c>
      <c r="F9" s="1565" t="n"/>
      <c r="G9" s="1602" t="n">
        <v>40811</v>
      </c>
      <c r="H9" s="1565" t="n"/>
      <c r="I9" s="1602" t="n">
        <v>20000</v>
      </c>
      <c r="J9" s="1565" t="n"/>
      <c r="K9" s="1602" t="n">
        <v>37044</v>
      </c>
      <c r="L9" s="1565" t="n"/>
      <c r="M9" s="1627" t="n">
        <v>7786</v>
      </c>
      <c r="N9" s="1565" t="n"/>
    </row>
    <row r="10" hidden="1" ht="12.75" customHeight="1" s="1439">
      <c r="A10" s="1605" t="inlineStr">
        <is>
          <t>Vacancy</t>
        </is>
      </c>
      <c r="B10" s="1565" t="n"/>
      <c r="C10" s="789" t="n">
        <v>0</v>
      </c>
      <c r="D10" s="490">
        <f>C10/C9</f>
        <v/>
      </c>
      <c r="E10" s="791" t="n">
        <v>0</v>
      </c>
      <c r="F10" s="491" t="n">
        <v>0</v>
      </c>
      <c r="G10" s="791" t="n">
        <v>0</v>
      </c>
      <c r="H10" s="491" t="n">
        <v>0</v>
      </c>
      <c r="I10" s="791" t="n">
        <v>0</v>
      </c>
      <c r="J10" s="491" t="n">
        <v>0</v>
      </c>
      <c r="K10" s="791" t="n">
        <v>0</v>
      </c>
      <c r="L10" s="491" t="n">
        <v>0</v>
      </c>
      <c r="M10" s="791" t="n">
        <v>0</v>
      </c>
      <c r="N10" s="491" t="n">
        <v>0</v>
      </c>
    </row>
    <row r="11" hidden="1" ht="15" customHeight="1" s="1439">
      <c r="A11" s="1632" t="inlineStr">
        <is>
          <t>Parking Ratio</t>
        </is>
      </c>
      <c r="B11" s="1565" t="n"/>
      <c r="C11" s="791" t="n">
        <v>27</v>
      </c>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39">
      <c r="A12" s="1613" t="inlineStr">
        <is>
          <t>Representative Lease</t>
        </is>
      </c>
      <c r="C12" s="1624" t="n"/>
      <c r="E12" s="1624" t="n"/>
      <c r="F12" s="1624" t="n"/>
      <c r="G12" s="1624" t="n"/>
      <c r="H12" s="1624" t="n"/>
      <c r="I12" s="1624" t="n"/>
      <c r="J12" s="1624" t="n"/>
      <c r="K12" s="1624" t="n"/>
      <c r="L12" s="1624" t="n"/>
      <c r="M12" s="792" t="n"/>
      <c r="N12" s="798" t="n"/>
    </row>
    <row r="13" ht="12.75" customHeight="1" s="1439">
      <c r="A13" s="2035" t="inlineStr">
        <is>
          <t>Actual or Asking Lease Rate</t>
        </is>
      </c>
      <c r="B13" s="1565" t="n"/>
      <c r="C13" s="2036" t="inlineStr">
        <is>
          <t>N/A</t>
        </is>
      </c>
      <c r="D13" s="1565" t="n"/>
      <c r="E13" s="2037" t="inlineStr">
        <is>
          <t>Actual</t>
        </is>
      </c>
      <c r="F13" s="1565" t="n"/>
      <c r="G13" s="2037" t="inlineStr">
        <is>
          <t>Actual</t>
        </is>
      </c>
      <c r="H13" s="1565" t="n"/>
      <c r="I13" s="2037" t="inlineStr">
        <is>
          <t>Actual</t>
        </is>
      </c>
      <c r="J13" s="1565" t="n"/>
      <c r="K13" s="2037" t="inlineStr">
        <is>
          <t>Actual</t>
        </is>
      </c>
      <c r="L13" s="1565" t="n"/>
      <c r="M13" s="2038" t="inlineStr">
        <is>
          <t>Actual</t>
        </is>
      </c>
      <c r="N13" s="1565" t="n"/>
    </row>
    <row r="14" ht="33.75" customHeight="1" s="1439">
      <c r="A14" s="2035" t="inlineStr">
        <is>
          <t>Tenant</t>
        </is>
      </c>
      <c r="B14" s="1565" t="n"/>
      <c r="C14" s="2036">
        <f>LA!C4</f>
        <v/>
      </c>
      <c r="D14" s="1565" t="n"/>
      <c r="E14" s="2037" t="inlineStr">
        <is>
          <t>Four Star Drywall</t>
        </is>
      </c>
      <c r="F14" s="1565" t="n"/>
      <c r="G14" s="2037" t="inlineStr">
        <is>
          <t>Marcone Supply</t>
        </is>
      </c>
      <c r="H14" s="1565" t="n"/>
      <c r="I14" s="2037" t="inlineStr">
        <is>
          <t>Local Industrial User</t>
        </is>
      </c>
      <c r="J14" s="1565" t="n"/>
      <c r="K14" s="2037" t="inlineStr">
        <is>
          <t>Brow 1, LLC</t>
        </is>
      </c>
      <c r="L14" s="1565" t="n"/>
      <c r="M14" s="2038" t="inlineStr">
        <is>
          <t>Maypoint Learning Center</t>
        </is>
      </c>
      <c r="N14" s="1565" t="n"/>
    </row>
    <row r="15">
      <c r="A15" s="2035" t="inlineStr">
        <is>
          <t>SF Area Leased</t>
        </is>
      </c>
      <c r="B15" s="1565" t="n"/>
      <c r="C15" s="1626">
        <f>'Property Info'!B4</f>
        <v/>
      </c>
      <c r="D15" s="1565" t="n"/>
      <c r="E15" s="1602">
        <f>E9</f>
        <v/>
      </c>
      <c r="F15" s="1565" t="n"/>
      <c r="G15" s="1602" t="n">
        <v>22248</v>
      </c>
      <c r="H15" s="1565" t="n"/>
      <c r="I15" s="1602" t="n">
        <v>20000</v>
      </c>
      <c r="J15" s="1565" t="n"/>
      <c r="K15" s="1602" t="n">
        <v>37044</v>
      </c>
      <c r="L15" s="1565" t="n"/>
      <c r="M15" s="1627">
        <f>M9</f>
        <v/>
      </c>
      <c r="N15" s="1565" t="n"/>
    </row>
    <row r="16">
      <c r="A16" s="2035" t="inlineStr">
        <is>
          <t>Commencement</t>
        </is>
      </c>
      <c r="B16" s="1565" t="n"/>
      <c r="C16" s="2039" t="n">
        <v>44515</v>
      </c>
      <c r="D16" s="1565" t="n"/>
      <c r="E16" s="2039" t="n">
        <v>43781</v>
      </c>
      <c r="F16" s="1565" t="n"/>
      <c r="G16" s="2039" t="n">
        <v>43731</v>
      </c>
      <c r="H16" s="1565" t="n"/>
      <c r="I16" s="2039" t="n">
        <v>43617</v>
      </c>
      <c r="J16" s="1565" t="n"/>
      <c r="K16" s="2039" t="n">
        <v>43601</v>
      </c>
      <c r="L16" s="1565" t="n"/>
      <c r="M16" s="2040" t="n">
        <v>43490</v>
      </c>
      <c r="N16" s="1565" t="n"/>
    </row>
    <row r="17">
      <c r="A17" s="2035" t="inlineStr">
        <is>
          <t>Term</t>
        </is>
      </c>
      <c r="B17" s="1565" t="n"/>
      <c r="C17" s="2036" t="inlineStr">
        <is>
          <t>6 Years</t>
        </is>
      </c>
      <c r="D17" s="1565" t="n"/>
      <c r="E17" s="2037" t="inlineStr">
        <is>
          <t>3 Years</t>
        </is>
      </c>
      <c r="F17" s="1565" t="n"/>
      <c r="G17" s="2037" t="inlineStr">
        <is>
          <t>5 Years</t>
        </is>
      </c>
      <c r="H17" s="1565" t="n"/>
      <c r="I17" s="2037" t="inlineStr">
        <is>
          <t>3 Years</t>
        </is>
      </c>
      <c r="J17" s="1565" t="n"/>
      <c r="K17" s="2037" t="inlineStr">
        <is>
          <t>3 Years</t>
        </is>
      </c>
      <c r="L17" s="1565" t="n"/>
      <c r="M17" s="2038" t="inlineStr">
        <is>
          <t>5 Years</t>
        </is>
      </c>
      <c r="N17" s="1565" t="n"/>
    </row>
    <row r="18">
      <c r="A18" s="2035" t="inlineStr">
        <is>
          <t>TI Allowance</t>
        </is>
      </c>
      <c r="B18" s="1565" t="n"/>
      <c r="C18" s="2036" t="inlineStr">
        <is>
          <t>N/A</t>
        </is>
      </c>
      <c r="D18" s="1565" t="n"/>
      <c r="E18" s="2037" t="inlineStr">
        <is>
          <t>N/R</t>
        </is>
      </c>
      <c r="F18" s="1565" t="n"/>
      <c r="G18" s="2037" t="inlineStr">
        <is>
          <t>N/R</t>
        </is>
      </c>
      <c r="H18" s="1565" t="n"/>
      <c r="I18" s="2037" t="inlineStr">
        <is>
          <t>N/R</t>
        </is>
      </c>
      <c r="J18" s="1565" t="n"/>
      <c r="K18" s="2037" t="inlineStr">
        <is>
          <t>N/R</t>
        </is>
      </c>
      <c r="L18" s="1565" t="n"/>
      <c r="M18" s="2038" t="inlineStr">
        <is>
          <t>N/R</t>
        </is>
      </c>
      <c r="N18" s="1565" t="n"/>
    </row>
    <row r="19">
      <c r="A19" s="2035" t="inlineStr">
        <is>
          <t>Lease Rate Expense Structure</t>
        </is>
      </c>
      <c r="B19" s="1565" t="n"/>
      <c r="C19" s="2036" t="inlineStr">
        <is>
          <t>NNN</t>
        </is>
      </c>
      <c r="D19" s="1565" t="n"/>
      <c r="E19" s="2037" t="inlineStr">
        <is>
          <t>NNN</t>
        </is>
      </c>
      <c r="F19" s="1565" t="n"/>
      <c r="G19" s="2037" t="inlineStr">
        <is>
          <t>NNN</t>
        </is>
      </c>
      <c r="H19" s="1565" t="n"/>
      <c r="I19" s="2037" t="inlineStr">
        <is>
          <t>NNN</t>
        </is>
      </c>
      <c r="J19" s="1565" t="n"/>
      <c r="K19" s="2037" t="inlineStr">
        <is>
          <t>NNN</t>
        </is>
      </c>
      <c r="L19" s="1565" t="n"/>
      <c r="M19" s="2038" t="inlineStr">
        <is>
          <t>NNN</t>
        </is>
      </c>
      <c r="N19" s="1565" t="n"/>
    </row>
    <row r="20">
      <c r="A20" s="2035" t="inlineStr">
        <is>
          <t>Base Annual Rent</t>
        </is>
      </c>
      <c r="B20" s="1565" t="n"/>
      <c r="C20" s="2037">
        <f>LA!C11</f>
        <v/>
      </c>
      <c r="D20" s="1565" t="n"/>
      <c r="E20" s="2037" t="n">
        <v>11</v>
      </c>
      <c r="F20" s="1565" t="n"/>
      <c r="G20" s="2037" t="n">
        <v>7.95</v>
      </c>
      <c r="H20" s="1565" t="n"/>
      <c r="I20" s="2037" t="n">
        <v>12</v>
      </c>
      <c r="J20" s="1565" t="n"/>
      <c r="K20" s="2037" t="n">
        <v>9.5</v>
      </c>
      <c r="L20" s="1565" t="n"/>
      <c r="M20" s="2038" t="n">
        <v>22</v>
      </c>
      <c r="N20" s="1565" t="n"/>
    </row>
    <row r="21">
      <c r="A21" s="2041" t="inlineStr">
        <is>
          <t>Expense Adjustments</t>
        </is>
      </c>
      <c r="B21" s="1610" t="n"/>
      <c r="C21" s="2037" t="inlineStr">
        <is>
          <t>N/A</t>
        </is>
      </c>
      <c r="D21" s="1565" t="n"/>
      <c r="E21" s="2037" t="n">
        <v>0</v>
      </c>
      <c r="F21" s="1565" t="n"/>
      <c r="G21" s="2037" t="n">
        <v>0</v>
      </c>
      <c r="H21" s="1565" t="n"/>
      <c r="I21" s="2037" t="n">
        <v>0</v>
      </c>
      <c r="J21" s="1565" t="n"/>
      <c r="K21" s="2042" t="n">
        <v>0</v>
      </c>
      <c r="L21" s="1610" t="n"/>
      <c r="M21" s="2043" t="n">
        <v>0</v>
      </c>
      <c r="N21" s="1610" t="n"/>
    </row>
    <row r="22" ht="15" customFormat="1" customHeight="1" s="5">
      <c r="A22" s="2044" t="inlineStr">
        <is>
          <t>Adjusted Rent (NNN)</t>
        </is>
      </c>
      <c r="B22" s="1600" t="n"/>
      <c r="C22" s="2045">
        <f>C20</f>
        <v/>
      </c>
      <c r="D22" s="1600" t="n"/>
      <c r="E22" s="2045">
        <f>E20+E21</f>
        <v/>
      </c>
      <c r="F22" s="1600" t="n"/>
      <c r="G22" s="2045">
        <f>G20+G21</f>
        <v/>
      </c>
      <c r="H22" s="1600" t="n"/>
      <c r="I22" s="2045">
        <f>I20+I21</f>
        <v/>
      </c>
      <c r="J22" s="1600" t="n"/>
      <c r="K22" s="2045">
        <f>K20+K21</f>
        <v/>
      </c>
      <c r="L22" s="1600" t="n"/>
      <c r="M22" s="2045">
        <f>M20+M21</f>
        <v/>
      </c>
      <c r="N22" s="1600" t="n"/>
    </row>
    <row r="23" customFormat="1" s="1614">
      <c r="A23" s="1613" t="inlineStr">
        <is>
          <t>Adjustments</t>
        </is>
      </c>
      <c r="C23" s="1615" t="inlineStr">
        <is>
          <t>Description</t>
        </is>
      </c>
      <c r="D23" s="1468" t="n"/>
      <c r="E23" s="1615" t="inlineStr">
        <is>
          <t>Description</t>
        </is>
      </c>
      <c r="F23" s="1615" t="inlineStr">
        <is>
          <t>Adj.</t>
        </is>
      </c>
      <c r="G23" s="1615" t="inlineStr">
        <is>
          <t>Description</t>
        </is>
      </c>
      <c r="H23" s="1615" t="inlineStr">
        <is>
          <t>Adj.</t>
        </is>
      </c>
      <c r="I23" s="1615" t="inlineStr">
        <is>
          <t>Description</t>
        </is>
      </c>
      <c r="J23" s="1615" t="inlineStr">
        <is>
          <t>Adj.</t>
        </is>
      </c>
      <c r="K23" s="1615" t="inlineStr">
        <is>
          <t>Description</t>
        </is>
      </c>
      <c r="L23" s="161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01" t="inlineStr">
        <is>
          <t>Market Trends</t>
        </is>
      </c>
      <c r="B24" s="1565" t="n"/>
      <c r="C24" s="1602" t="inlineStr">
        <is>
          <t>N/A</t>
        </is>
      </c>
      <c r="D24" s="1565" t="n"/>
      <c r="E24" s="2046">
        <f>E16</f>
        <v/>
      </c>
      <c r="F24" s="1345" t="n">
        <v>0</v>
      </c>
      <c r="G24" s="2046">
        <f>G16</f>
        <v/>
      </c>
      <c r="H24" s="1345" t="n">
        <v>0</v>
      </c>
      <c r="I24" s="2046">
        <f>I16</f>
        <v/>
      </c>
      <c r="J24" s="1345" t="n">
        <v>0</v>
      </c>
      <c r="K24" s="2046">
        <f>K16</f>
        <v/>
      </c>
      <c r="L24" s="1350" t="n">
        <v>0</v>
      </c>
      <c r="M24" s="2047">
        <f>M16</f>
        <v/>
      </c>
      <c r="N24" s="800" t="n">
        <v>0.1</v>
      </c>
    </row>
    <row r="25" ht="30" customHeight="1" s="1439">
      <c r="A25" s="1605" t="inlineStr">
        <is>
          <t>Economics/Tenancy</t>
        </is>
      </c>
      <c r="B25" s="1565" t="n"/>
      <c r="C25" s="1602" t="inlineStr">
        <is>
          <t>Industrial, Average Credit Risk</t>
        </is>
      </c>
      <c r="D25" s="1565" t="n"/>
      <c r="E25" s="2046" t="inlineStr">
        <is>
          <t>Industrial, Average Credit Risk</t>
        </is>
      </c>
      <c r="F25" s="1345" t="n">
        <v>0</v>
      </c>
      <c r="G25" s="2046" t="inlineStr">
        <is>
          <t>Industrial, Average Credit Risk</t>
        </is>
      </c>
      <c r="H25" s="1345" t="n">
        <v>0</v>
      </c>
      <c r="I25" s="2046" t="inlineStr">
        <is>
          <t>Industrial, Average Credit Risk</t>
        </is>
      </c>
      <c r="J25" s="1345" t="n">
        <v>0</v>
      </c>
      <c r="K25" s="2046" t="inlineStr">
        <is>
          <t>Industrial, Average Credit Risk</t>
        </is>
      </c>
      <c r="L25" s="1350" t="n">
        <v>0</v>
      </c>
      <c r="M25" s="2047" t="inlineStr">
        <is>
          <t>Local Tenant - Good Quality</t>
        </is>
      </c>
      <c r="N25" s="800" t="n">
        <v>0.1</v>
      </c>
    </row>
    <row r="26">
      <c r="A26" s="1601" t="inlineStr">
        <is>
          <t>Location</t>
        </is>
      </c>
      <c r="B26" s="1565" t="n"/>
      <c r="C26" s="1602">
        <f>Export030823!R2</f>
        <v/>
      </c>
      <c r="D26" s="156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39">
      <c r="A27" s="1601" t="inlineStr">
        <is>
          <t>Age/Condition</t>
        </is>
      </c>
      <c r="B27" s="1565" t="n"/>
      <c r="C27" s="1621">
        <f>Export030823!T2</f>
        <v/>
      </c>
      <c r="D27" s="156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01" t="inlineStr">
        <is>
          <t>Size (SF)</t>
        </is>
      </c>
      <c r="B28" s="1565" t="n"/>
      <c r="C28" s="1602">
        <f>C15</f>
        <v/>
      </c>
      <c r="D28" s="1565" t="n"/>
      <c r="E28" s="1346">
        <f>E15</f>
        <v/>
      </c>
      <c r="F28" s="1345" t="n">
        <v>0</v>
      </c>
      <c r="G28" s="1346">
        <f>G15</f>
        <v/>
      </c>
      <c r="H28" s="1345" t="n">
        <v>-0.05</v>
      </c>
      <c r="I28" s="1346">
        <f>I15</f>
        <v/>
      </c>
      <c r="J28" s="1345" t="n">
        <v>-0.05</v>
      </c>
      <c r="K28" s="1346">
        <f>K15</f>
        <v/>
      </c>
      <c r="L28" s="1350" t="n">
        <v>0</v>
      </c>
      <c r="M28" s="494">
        <f>M15</f>
        <v/>
      </c>
      <c r="N28" s="800" t="n">
        <v>-0.05</v>
      </c>
    </row>
    <row r="29" ht="24" customHeight="1" s="1439">
      <c r="A29" s="1601" t="inlineStr">
        <is>
          <t>Quality</t>
        </is>
      </c>
      <c r="B29" s="1565" t="n"/>
      <c r="C29" s="1621">
        <f>Export030823!U2</f>
        <v/>
      </c>
      <c r="D29" s="156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01" t="inlineStr">
        <is>
          <t>Land-To-Building Ratio</t>
        </is>
      </c>
      <c r="B30" s="1565" t="n"/>
      <c r="C30" s="1631">
        <f>Export030823!V2</f>
        <v/>
      </c>
      <c r="D30" s="156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09" t="inlineStr">
        <is>
          <t>Functional Utility</t>
        </is>
      </c>
      <c r="B31" s="1610" t="n"/>
      <c r="C31" s="1622">
        <f>Export030823!X2</f>
        <v/>
      </c>
      <c r="D31" s="156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39">
      <c r="A32" s="1598" t="inlineStr">
        <is>
          <t>Subtotal Net Adjustments</t>
        </is>
      </c>
      <c r="B32" s="1599" t="n"/>
      <c r="C32" s="1599" t="n"/>
      <c r="D32" s="1600" t="n"/>
      <c r="E32" s="2048" t="n"/>
      <c r="F32" s="499">
        <f>SUM(F24:F31)</f>
        <v/>
      </c>
      <c r="G32" s="2048" t="n"/>
      <c r="H32" s="499">
        <f>SUM(H24:H31)</f>
        <v/>
      </c>
      <c r="I32" s="2048" t="n"/>
      <c r="J32" s="499">
        <f>SUM(J24:J31)</f>
        <v/>
      </c>
      <c r="K32" s="2048" t="n"/>
      <c r="L32" s="499">
        <f>SUM(L24:L31)</f>
        <v/>
      </c>
      <c r="M32" s="2048" t="n"/>
      <c r="N32" s="499">
        <f>SUM(N24:N31)</f>
        <v/>
      </c>
    </row>
    <row r="33">
      <c r="A33" s="1598" t="inlineStr">
        <is>
          <t>Adjusted Lease Rate Per Square Foot</t>
        </is>
      </c>
      <c r="B33" s="1599" t="n"/>
      <c r="C33" s="1599" t="n"/>
      <c r="D33" s="1600" t="n"/>
      <c r="E33" s="2048" t="n"/>
      <c r="F33" s="2049">
        <f>+E22*(1+F32)</f>
        <v/>
      </c>
      <c r="G33" s="2048" t="n"/>
      <c r="H33" s="2049">
        <f>+G22*(1+H32)</f>
        <v/>
      </c>
      <c r="I33" s="2048" t="n"/>
      <c r="J33" s="2049">
        <f>+I22*(1+J32)</f>
        <v/>
      </c>
      <c r="K33" s="2048" t="n"/>
      <c r="L33" s="2049">
        <f>+K22*(1+L32)</f>
        <v/>
      </c>
      <c r="M33" s="2048" t="n"/>
      <c r="N33" s="2049">
        <f>+M22*(1+N32)</f>
        <v/>
      </c>
    </row>
    <row r="34">
      <c r="A34" s="6" t="n"/>
      <c r="B34" s="7" t="n"/>
      <c r="C34" s="7" t="n"/>
      <c r="D34" s="7" t="n"/>
      <c r="E34" s="2050" t="n"/>
      <c r="F34" s="2051" t="n"/>
      <c r="G34" s="2051" t="n"/>
      <c r="H34" s="2051" t="n"/>
      <c r="I34" s="2051" t="n"/>
      <c r="J34" s="2051" t="n"/>
      <c r="K34" s="2050" t="n"/>
      <c r="L34" s="2051" t="n"/>
      <c r="M34" s="2050" t="n"/>
      <c r="N34" s="2051" t="n"/>
    </row>
    <row r="35" hidden="1" ht="15" customHeight="1" s="1439">
      <c r="A35" s="6" t="n"/>
      <c r="B35" s="7" t="n"/>
      <c r="C35" s="7" t="n"/>
      <c r="D35" s="7" t="n"/>
      <c r="E35" s="2050" t="n"/>
      <c r="F35" s="2051" t="n"/>
      <c r="G35" s="2051" t="n"/>
      <c r="H35" s="2051" t="n"/>
      <c r="I35" s="2051" t="n"/>
      <c r="J35" s="2051" t="n"/>
      <c r="K35" s="2050" t="n"/>
      <c r="L35" s="2051" t="n"/>
      <c r="M35" s="2050" t="n"/>
      <c r="N35" s="2051" t="n"/>
    </row>
    <row r="36" hidden="1" s="1439">
      <c r="F36" s="2052">
        <f>F33</f>
        <v/>
      </c>
    </row>
    <row r="37" hidden="1" s="1439">
      <c r="F37" s="2052">
        <f>H33</f>
        <v/>
      </c>
    </row>
    <row r="38" hidden="1" s="1439">
      <c r="F38" s="2052">
        <f>J33</f>
        <v/>
      </c>
    </row>
    <row r="39" hidden="1" s="1439">
      <c r="F39" s="2052">
        <f>L33</f>
        <v/>
      </c>
    </row>
    <row r="40" hidden="1" s="143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G18:H18"/>
    <mergeCell ref="A27:B27"/>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E9:F9"/>
    <mergeCell ref="A18:B18"/>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39" min="3" max="3"/>
    <col width="8.7109375" customWidth="1" style="1439" min="4" max="4"/>
    <col width="28.7109375" customWidth="1" style="1439" min="5" max="5"/>
    <col width="9.42578125" bestFit="1" customWidth="1" style="1439" min="8" max="8"/>
    <col width="11.5703125" bestFit="1" customWidth="1" style="1439" min="15" max="15"/>
    <col width="11.140625" customWidth="1" style="1439" min="16" max="16"/>
    <col width="11.42578125" customWidth="1" style="1439" min="17" max="17"/>
    <col hidden="1" width="13" customWidth="1" style="1439" min="18" max="18"/>
  </cols>
  <sheetData>
    <row r="3">
      <c r="C3" s="1552" t="inlineStr">
        <is>
          <t xml:space="preserve"> SUMMARY OF IMPROVED SALES</t>
        </is>
      </c>
    </row>
    <row r="4" ht="39" customHeight="1" s="1439">
      <c r="C4" s="1640" t="inlineStr">
        <is>
          <t>No.</t>
        </is>
      </c>
      <c r="D4" s="164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39">
      <c r="C5" s="309">
        <f>ROW()-4</f>
        <v/>
      </c>
      <c r="D5" s="309" t="inlineStr">
        <is>
          <t>Sale</t>
        </is>
      </c>
      <c r="E5" s="310" t="inlineStr">
        <is>
          <t xml:space="preserve">Industrial </t>
        </is>
      </c>
      <c r="F5" s="2053" t="n">
        <v>42705</v>
      </c>
      <c r="G5" s="2054" t="inlineStr">
        <is>
          <t>Fee Simple</t>
        </is>
      </c>
      <c r="H5" s="1634" t="n">
        <v>2007</v>
      </c>
      <c r="I5" s="313" t="n">
        <v>25540</v>
      </c>
      <c r="J5" s="314" t="n">
        <v>214163</v>
      </c>
      <c r="K5" s="1638" t="n">
        <v>25540</v>
      </c>
      <c r="L5" s="315">
        <f>K5/J5</f>
        <v/>
      </c>
      <c r="M5" s="316" t="n">
        <v>0.14</v>
      </c>
      <c r="N5" s="317" t="inlineStr">
        <is>
          <t>20'</t>
        </is>
      </c>
      <c r="O5" s="318" t="inlineStr">
        <is>
          <t>Vacant at TOS</t>
        </is>
      </c>
      <c r="P5" s="2055" t="n">
        <v>1800000</v>
      </c>
      <c r="Q5" s="2056">
        <f>P5/I5</f>
        <v/>
      </c>
      <c r="R5" s="295" t="inlineStr">
        <is>
          <t>N/A</t>
        </is>
      </c>
    </row>
    <row r="6" ht="12" customHeight="1" s="1439">
      <c r="C6" s="309" t="n"/>
      <c r="D6" s="309" t="n"/>
      <c r="E6" s="310" t="inlineStr">
        <is>
          <t>61 Chimuza Road</t>
        </is>
      </c>
      <c r="F6" s="2057" t="n"/>
      <c r="G6" s="2054" t="n"/>
      <c r="I6" s="322" t="n"/>
      <c r="J6" s="323">
        <f>J5/43560</f>
        <v/>
      </c>
      <c r="L6" s="315" t="n"/>
      <c r="M6" s="316" t="n"/>
      <c r="N6" s="317" t="n"/>
      <c r="O6" s="318" t="n"/>
      <c r="P6" s="2058" t="n"/>
      <c r="Q6" s="2056" t="n"/>
      <c r="R6" s="295" t="n"/>
    </row>
    <row r="7" ht="12" customHeight="1" s="1439">
      <c r="C7" s="309" t="n"/>
      <c r="D7" s="309" t="n"/>
      <c r="E7" s="310" t="inlineStr">
        <is>
          <t>Rock Springs, Wyoming</t>
        </is>
      </c>
      <c r="F7" s="2053" t="n"/>
      <c r="G7" s="2059" t="n"/>
      <c r="H7" s="1634" t="n"/>
      <c r="I7" s="313" t="n"/>
      <c r="J7" s="323" t="n"/>
      <c r="K7" s="1638" t="n"/>
      <c r="L7" s="315" t="n"/>
      <c r="M7" s="316" t="n"/>
      <c r="N7" s="317" t="n"/>
      <c r="O7" s="318" t="n"/>
      <c r="P7" s="2058" t="n"/>
      <c r="Q7" s="2056" t="n"/>
      <c r="R7" s="295" t="n"/>
    </row>
    <row r="8" ht="12" customHeight="1" s="1439">
      <c r="C8" s="309" t="n"/>
      <c r="D8" s="309" t="n"/>
      <c r="E8" s="310" t="n"/>
      <c r="F8" s="2060" t="n"/>
      <c r="G8" s="2061" t="n"/>
      <c r="H8" s="330" t="inlineStr">
        <is>
          <t> </t>
        </is>
      </c>
      <c r="I8" s="314" t="inlineStr">
        <is>
          <t> </t>
        </is>
      </c>
      <c r="J8" s="331" t="n"/>
      <c r="K8" s="332" t="inlineStr">
        <is>
          <t> </t>
        </is>
      </c>
      <c r="L8" s="333" t="n"/>
      <c r="M8" s="334" t="n"/>
      <c r="N8" s="335" t="n"/>
      <c r="O8" s="336" t="inlineStr">
        <is>
          <t> </t>
        </is>
      </c>
      <c r="P8" s="2058" t="n"/>
      <c r="Q8" s="2056" t="n"/>
      <c r="R8" s="295" t="inlineStr">
        <is>
          <t> </t>
        </is>
      </c>
    </row>
    <row r="9" ht="12" customHeight="1" s="1439">
      <c r="C9" s="309" t="n">
        <v>2</v>
      </c>
      <c r="D9" s="309" t="inlineStr">
        <is>
          <t>Sale</t>
        </is>
      </c>
      <c r="E9" s="310" t="inlineStr">
        <is>
          <t xml:space="preserve">Industrial </t>
        </is>
      </c>
      <c r="F9" s="2053" t="n">
        <v>42583</v>
      </c>
      <c r="G9" s="2059" t="inlineStr">
        <is>
          <t>Fee Simple</t>
        </is>
      </c>
      <c r="H9" s="1634" t="n">
        <v>2005</v>
      </c>
      <c r="I9" s="313" t="n">
        <v>13100</v>
      </c>
      <c r="J9" s="314" t="n">
        <v>138956</v>
      </c>
      <c r="K9" s="1638" t="n">
        <v>13100</v>
      </c>
      <c r="L9" s="315">
        <f>K9/J9</f>
        <v/>
      </c>
      <c r="M9" s="316" t="n">
        <v>0.21</v>
      </c>
      <c r="N9" s="317" t="inlineStr">
        <is>
          <t>20'</t>
        </is>
      </c>
      <c r="O9" s="318" t="inlineStr">
        <is>
          <t>Vacant at TOS</t>
        </is>
      </c>
      <c r="P9" s="2055" t="n">
        <v>1350000</v>
      </c>
      <c r="Q9" s="2056">
        <f>P9/I9</f>
        <v/>
      </c>
      <c r="R9" s="295" t="inlineStr">
        <is>
          <t>N/A</t>
        </is>
      </c>
    </row>
    <row r="10" ht="12" customHeight="1" s="1439">
      <c r="C10" s="309" t="n"/>
      <c r="D10" s="309" t="n"/>
      <c r="E10" s="310" t="inlineStr">
        <is>
          <t>1751 Blairtown Road</t>
        </is>
      </c>
      <c r="F10" s="2053" t="n"/>
      <c r="G10" s="2059" t="n"/>
      <c r="H10" s="1634" t="n"/>
      <c r="I10" s="313" t="n"/>
      <c r="J10" s="323">
        <f>J9/43560</f>
        <v/>
      </c>
      <c r="K10" s="1638" t="n"/>
      <c r="L10" s="315" t="n"/>
      <c r="M10" s="316" t="n"/>
      <c r="N10" s="317" t="n"/>
      <c r="O10" s="318" t="n"/>
      <c r="P10" s="2055" t="n"/>
      <c r="Q10" s="2056" t="n"/>
      <c r="R10" s="295" t="n"/>
    </row>
    <row r="11" ht="12" customHeight="1" s="1439">
      <c r="C11" s="309" t="n"/>
      <c r="D11" s="309" t="n"/>
      <c r="E11" s="310" t="inlineStr">
        <is>
          <t>Rock Springs, Wyoming</t>
        </is>
      </c>
      <c r="F11" s="2053" t="n"/>
      <c r="G11" s="2059" t="n"/>
      <c r="H11" s="1634" t="n"/>
      <c r="I11" s="313" t="n"/>
      <c r="J11" s="323" t="n"/>
      <c r="K11" s="1638" t="n"/>
      <c r="L11" s="315" t="n"/>
      <c r="M11" s="316" t="n"/>
      <c r="N11" s="317" t="n"/>
      <c r="O11" s="318" t="n"/>
      <c r="P11" s="2055" t="n"/>
      <c r="Q11" s="2056" t="n"/>
      <c r="R11" s="295" t="n"/>
    </row>
    <row r="12" ht="12" customHeight="1" s="1439">
      <c r="C12" s="309" t="n"/>
      <c r="D12" s="309" t="n"/>
      <c r="E12" s="310" t="n"/>
      <c r="F12" s="2060" t="n"/>
      <c r="G12" s="2060" t="n"/>
      <c r="H12" s="330" t="inlineStr">
        <is>
          <t> </t>
        </is>
      </c>
      <c r="I12" s="332" t="inlineStr">
        <is>
          <t> </t>
        </is>
      </c>
      <c r="J12" s="314" t="n"/>
      <c r="K12" s="332" t="inlineStr">
        <is>
          <t> </t>
        </is>
      </c>
      <c r="L12" s="333" t="n"/>
      <c r="M12" s="337" t="n"/>
      <c r="N12" s="337" t="n"/>
      <c r="O12" s="336" t="inlineStr">
        <is>
          <t> </t>
        </is>
      </c>
      <c r="P12" s="2062" t="n"/>
      <c r="Q12" s="2056" t="n"/>
      <c r="R12" s="295" t="inlineStr">
        <is>
          <t> </t>
        </is>
      </c>
    </row>
    <row r="13" ht="12" customHeight="1" s="1439">
      <c r="C13" s="309" t="n">
        <v>3</v>
      </c>
      <c r="D13" s="309" t="inlineStr">
        <is>
          <t>Sale</t>
        </is>
      </c>
      <c r="E13" s="310" t="inlineStr">
        <is>
          <t xml:space="preserve">Industrial </t>
        </is>
      </c>
      <c r="F13" s="2053" t="n">
        <v>42461</v>
      </c>
      <c r="G13" s="2059" t="inlineStr">
        <is>
          <t>Fee Simple</t>
        </is>
      </c>
      <c r="H13" s="1634" t="n">
        <v>1981</v>
      </c>
      <c r="I13" s="313" t="n">
        <v>8000</v>
      </c>
      <c r="J13" s="314" t="n">
        <v>50006</v>
      </c>
      <c r="K13" s="1638" t="n">
        <v>8000</v>
      </c>
      <c r="L13" s="315">
        <f>K13/J13</f>
        <v/>
      </c>
      <c r="M13" s="316" t="n">
        <v>0.1</v>
      </c>
      <c r="N13" s="317" t="inlineStr">
        <is>
          <t>16'</t>
        </is>
      </c>
      <c r="O13" s="318" t="inlineStr">
        <is>
          <t>Vacant at TOS</t>
        </is>
      </c>
      <c r="P13" s="2055" t="n">
        <v>530000</v>
      </c>
      <c r="Q13" s="2056">
        <f>P13/I13</f>
        <v/>
      </c>
      <c r="R13" s="295" t="n">
        <v>0.074</v>
      </c>
    </row>
    <row r="14" ht="12" customHeight="1" s="1439">
      <c r="C14" s="309" t="n"/>
      <c r="D14" s="309" t="n"/>
      <c r="E14" s="310" t="inlineStr">
        <is>
          <t>6 Bowker Road</t>
        </is>
      </c>
      <c r="F14" s="2053" t="n"/>
      <c r="G14" s="2059" t="n"/>
      <c r="H14" s="1634" t="n"/>
      <c r="I14" s="313" t="n"/>
      <c r="J14" s="323">
        <f>J13/43560</f>
        <v/>
      </c>
      <c r="K14" s="1638" t="n"/>
      <c r="L14" s="315" t="n"/>
      <c r="M14" s="316" t="n"/>
      <c r="N14" s="317" t="n"/>
      <c r="O14" s="318" t="n"/>
      <c r="P14" s="2055" t="n"/>
      <c r="Q14" s="2056" t="n"/>
      <c r="R14" s="295" t="n"/>
    </row>
    <row r="15" ht="12" customHeight="1" s="1439">
      <c r="C15" s="309" t="n"/>
      <c r="D15" s="309" t="n"/>
      <c r="E15" s="310" t="inlineStr">
        <is>
          <t>Rock Springs, Wyoming</t>
        </is>
      </c>
      <c r="F15" s="2053" t="n"/>
      <c r="G15" s="2059" t="n"/>
      <c r="H15" s="1634" t="n"/>
      <c r="I15" s="313" t="n"/>
      <c r="J15" s="323" t="n"/>
      <c r="K15" s="1638" t="n"/>
      <c r="L15" s="315" t="n"/>
      <c r="M15" s="316" t="n"/>
      <c r="N15" s="317" t="n"/>
      <c r="O15" s="318" t="n"/>
      <c r="P15" s="2055" t="n"/>
      <c r="Q15" s="2056" t="n"/>
      <c r="R15" s="295" t="n"/>
    </row>
    <row r="16" ht="12" customHeight="1" s="1439">
      <c r="C16" s="309" t="n"/>
      <c r="D16" s="309" t="n"/>
      <c r="E16" s="310" t="n"/>
      <c r="F16" s="2060" t="n"/>
      <c r="G16" s="2060" t="n"/>
      <c r="H16" s="330" t="inlineStr">
        <is>
          <t> </t>
        </is>
      </c>
      <c r="I16" s="332" t="inlineStr">
        <is>
          <t> </t>
        </is>
      </c>
      <c r="J16" s="314" t="n"/>
      <c r="K16" s="332" t="inlineStr">
        <is>
          <t> </t>
        </is>
      </c>
      <c r="L16" s="333" t="n"/>
      <c r="M16" s="337" t="n"/>
      <c r="N16" s="337" t="n"/>
      <c r="O16" s="336" t="inlineStr">
        <is>
          <t> </t>
        </is>
      </c>
      <c r="P16" s="2062" t="n"/>
      <c r="Q16" s="2056" t="n"/>
      <c r="R16" s="295" t="inlineStr">
        <is>
          <t> </t>
        </is>
      </c>
    </row>
    <row r="17" ht="12" customHeight="1" s="1439">
      <c r="C17" s="309" t="n">
        <v>4</v>
      </c>
      <c r="D17" s="309" t="inlineStr">
        <is>
          <t>Sale</t>
        </is>
      </c>
      <c r="E17" s="310" t="inlineStr">
        <is>
          <t>Industrial</t>
        </is>
      </c>
      <c r="F17" s="2053" t="n">
        <v>42430</v>
      </c>
      <c r="G17" s="2059" t="inlineStr">
        <is>
          <t>Fee Simple</t>
        </is>
      </c>
      <c r="H17" s="1634" t="n">
        <v>1979</v>
      </c>
      <c r="I17" s="313" t="n">
        <v>5300</v>
      </c>
      <c r="J17" s="314" t="n">
        <v>87555</v>
      </c>
      <c r="K17" s="1638" t="n">
        <v>5300</v>
      </c>
      <c r="L17" s="315">
        <f>K17/J17</f>
        <v/>
      </c>
      <c r="M17" s="316" t="n">
        <v>0.15</v>
      </c>
      <c r="N17" s="317" t="inlineStr">
        <is>
          <t>16'</t>
        </is>
      </c>
      <c r="O17" s="318" t="inlineStr">
        <is>
          <t>Vacant at TOS</t>
        </is>
      </c>
      <c r="P17" s="2055" t="n">
        <v>417000</v>
      </c>
      <c r="Q17" s="2056">
        <f>P17/I17</f>
        <v/>
      </c>
      <c r="R17" s="295" t="n">
        <v>0.065</v>
      </c>
    </row>
    <row r="18" ht="12" customHeight="1" s="1439">
      <c r="C18" s="309" t="n"/>
      <c r="D18" s="309" t="n"/>
      <c r="E18" s="310" t="inlineStr">
        <is>
          <t>1931 Yellowstone Road</t>
        </is>
      </c>
      <c r="F18" s="2053" t="n"/>
      <c r="G18" s="2059" t="n"/>
      <c r="H18" s="1634" t="n"/>
      <c r="I18" s="313" t="n"/>
      <c r="J18" s="323">
        <f>J17/43560</f>
        <v/>
      </c>
      <c r="K18" s="1638" t="n"/>
      <c r="L18" s="315" t="n"/>
      <c r="M18" s="316" t="n"/>
      <c r="N18" s="317" t="n"/>
      <c r="O18" s="318" t="n"/>
      <c r="P18" s="2055" t="n"/>
      <c r="Q18" s="2056" t="n"/>
      <c r="R18" s="295" t="n"/>
    </row>
    <row r="19" ht="12" customHeight="1" s="1439">
      <c r="C19" s="309" t="n"/>
      <c r="D19" s="309" t="n"/>
      <c r="E19" s="310" t="inlineStr">
        <is>
          <t>Rock Springs, Wyoming</t>
        </is>
      </c>
      <c r="F19" s="2053" t="n"/>
      <c r="G19" s="2059" t="n"/>
      <c r="H19" s="1634" t="n"/>
      <c r="I19" s="313" t="n"/>
      <c r="J19" s="323" t="n"/>
      <c r="K19" s="1638" t="n"/>
      <c r="L19" s="315" t="n"/>
      <c r="M19" s="316" t="n"/>
      <c r="N19" s="317" t="n"/>
      <c r="O19" s="318" t="n"/>
      <c r="P19" s="2055" t="n"/>
      <c r="Q19" s="2056" t="n"/>
      <c r="R19" s="295" t="n"/>
    </row>
    <row r="20" ht="12" customHeight="1" s="1439">
      <c r="C20" s="309" t="n"/>
      <c r="D20" s="309" t="n"/>
      <c r="E20" s="310" t="n"/>
      <c r="F20" s="2053" t="n"/>
      <c r="G20" s="2059" t="n"/>
      <c r="H20" s="1634" t="n"/>
      <c r="I20" s="313" t="n"/>
      <c r="J20" s="323" t="n"/>
      <c r="K20" s="1638" t="n"/>
      <c r="L20" s="315" t="n"/>
      <c r="M20" s="316" t="n"/>
      <c r="N20" s="317" t="n"/>
      <c r="O20" s="318" t="n"/>
      <c r="P20" s="2055" t="n"/>
      <c r="Q20" s="2056" t="n"/>
      <c r="R20" s="295" t="n"/>
    </row>
    <row r="21" ht="12" customHeight="1" s="1439">
      <c r="C21" s="309" t="n">
        <v>5</v>
      </c>
      <c r="D21" s="309" t="inlineStr">
        <is>
          <t>Sale</t>
        </is>
      </c>
      <c r="E21" s="310" t="inlineStr">
        <is>
          <t xml:space="preserve">Industrial </t>
        </is>
      </c>
      <c r="F21" s="2053" t="n">
        <v>42401</v>
      </c>
      <c r="G21" s="2059" t="inlineStr">
        <is>
          <t>Fee Simple</t>
        </is>
      </c>
      <c r="H21" s="1634" t="n">
        <v>1978</v>
      </c>
      <c r="I21" s="313" t="n">
        <v>7500</v>
      </c>
      <c r="J21" s="314" t="n">
        <v>29620</v>
      </c>
      <c r="K21" s="1638" t="n">
        <v>7500</v>
      </c>
      <c r="L21" s="315">
        <f>K21/J21</f>
        <v/>
      </c>
      <c r="M21" s="316" t="n">
        <v>0.15</v>
      </c>
      <c r="N21" s="317" t="inlineStr">
        <is>
          <t>18'</t>
        </is>
      </c>
      <c r="O21" s="318" t="inlineStr">
        <is>
          <t>Vacant at TOS</t>
        </is>
      </c>
      <c r="P21" s="2055" t="n">
        <v>400000</v>
      </c>
      <c r="Q21" s="2056">
        <f>P21/I21</f>
        <v/>
      </c>
      <c r="R21" s="295" t="n">
        <v>0.055</v>
      </c>
    </row>
    <row r="22" ht="12" customHeight="1" s="1439">
      <c r="C22" s="309" t="n"/>
      <c r="D22" s="309" t="n"/>
      <c r="E22" s="310" t="inlineStr">
        <is>
          <t>60 Signal Road</t>
        </is>
      </c>
      <c r="F22" s="2053" t="n"/>
      <c r="G22" s="2059" t="n"/>
      <c r="H22" s="1634" t="n"/>
      <c r="I22" s="313" t="n"/>
      <c r="J22" s="323">
        <f>J21/43560</f>
        <v/>
      </c>
      <c r="K22" s="1638" t="n"/>
      <c r="L22" s="315" t="n"/>
      <c r="M22" s="316" t="n"/>
      <c r="N22" s="317" t="n"/>
      <c r="O22" s="318" t="n"/>
      <c r="P22" s="2055" t="n"/>
      <c r="Q22" s="2056" t="n"/>
      <c r="R22" s="295" t="n"/>
    </row>
    <row r="23" ht="12" customHeight="1" s="1439">
      <c r="C23" s="309" t="n"/>
      <c r="D23" s="309" t="n"/>
      <c r="E23" s="310" t="inlineStr">
        <is>
          <t>Rock Springs, Wyoming</t>
        </is>
      </c>
      <c r="F23" s="2053" t="n"/>
      <c r="G23" s="2059" t="n"/>
      <c r="H23" s="1634" t="n"/>
      <c r="I23" s="313" t="n"/>
      <c r="J23" s="323" t="n"/>
      <c r="K23" s="1638" t="n"/>
      <c r="L23" s="315" t="n"/>
      <c r="M23" s="316" t="n"/>
      <c r="N23" s="317" t="n"/>
      <c r="O23" s="318" t="n"/>
      <c r="P23" s="2055" t="n"/>
      <c r="Q23" s="2056" t="n"/>
      <c r="R23" s="295" t="n"/>
    </row>
    <row r="24" ht="12" customHeight="1" s="1439">
      <c r="C24" s="309" t="n"/>
      <c r="D24" s="309" t="n"/>
      <c r="E24" s="310" t="n"/>
      <c r="F24" s="2053" t="n"/>
      <c r="G24" s="2059" t="n"/>
      <c r="H24" s="1634" t="n"/>
      <c r="I24" s="313" t="n"/>
      <c r="J24" s="323" t="n"/>
      <c r="K24" s="1638" t="n"/>
      <c r="L24" s="315" t="n"/>
      <c r="M24" s="316" t="n"/>
      <c r="N24" s="317" t="n"/>
      <c r="O24" s="318" t="n"/>
      <c r="P24" s="2055" t="n"/>
      <c r="Q24" s="2056" t="n"/>
      <c r="R24" s="295" t="n"/>
    </row>
    <row r="25" ht="12.75" customHeight="1" s="1439">
      <c r="C25" s="194" t="inlineStr">
        <is>
          <t>Subj.</t>
        </is>
      </c>
      <c r="D25" s="194" t="n"/>
      <c r="E25" s="284">
        <f>'Property Info'!B15</f>
        <v/>
      </c>
      <c r="F25" s="2063" t="n"/>
      <c r="G25" s="194" t="n"/>
      <c r="H25" s="1636">
        <f>'Property Info'!B8</f>
        <v/>
      </c>
      <c r="I25" s="1635">
        <f>'Property Info'!B4</f>
        <v/>
      </c>
      <c r="J25" s="286">
        <f>'Property Info'!B11</f>
        <v/>
      </c>
      <c r="K25" s="1637">
        <f>'Property Info'!B5</f>
        <v/>
      </c>
      <c r="L25" s="287">
        <f>'Property Info'!B13</f>
        <v/>
      </c>
      <c r="M25" s="288">
        <f>'Property Info'!B14</f>
        <v/>
      </c>
      <c r="N25" s="289" t="inlineStr"/>
      <c r="O25" s="288">
        <f>'Property Info'!B19</f>
        <v/>
      </c>
      <c r="P25" s="2064" t="n"/>
      <c r="Q25" s="2065" t="n"/>
      <c r="R25" s="197" t="n"/>
    </row>
    <row r="26" ht="12.75" customHeight="1" s="1439">
      <c r="C26" s="198" t="n"/>
      <c r="D26" s="198" t="n"/>
      <c r="E26" s="290">
        <f>'Property Info'!B16</f>
        <v/>
      </c>
      <c r="F26" s="291" t="n"/>
      <c r="G26" s="291" t="n"/>
      <c r="J26" s="292">
        <f>'Property Info'!B12</f>
        <v/>
      </c>
      <c r="L26" s="291" t="n"/>
      <c r="M26" s="291" t="n"/>
      <c r="N26" s="291" t="n"/>
      <c r="O26" s="291" t="n"/>
      <c r="P26" s="198" t="n"/>
      <c r="Q26" s="198" t="n"/>
      <c r="R26" s="198" t="n"/>
    </row>
    <row r="27" ht="12.75" customHeight="1" s="1439">
      <c r="C27" s="199" t="n"/>
      <c r="D27" s="199" t="n"/>
      <c r="E27" s="293">
        <f>'Property Info'!B17</f>
        <v/>
      </c>
      <c r="F27" s="294" t="n"/>
      <c r="G27" s="294" t="n"/>
      <c r="H27" s="1458" t="n"/>
      <c r="I27" s="1458" t="n"/>
      <c r="J27" s="294" t="n"/>
      <c r="K27" s="1458"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39" min="3" max="3"/>
    <col hidden="1" width="13" customWidth="1" style="1439" min="4" max="12"/>
    <col hidden="1" width="13" customWidth="1" style="1439" min="19" max="24"/>
    <col hidden="1" width="9.140625" customWidth="1" style="1439" min="27" max="27"/>
  </cols>
  <sheetData>
    <row r="2">
      <c r="C2" s="1639" t="inlineStr">
        <is>
          <t>HISTORICAL OPERATING ANALYSIS</t>
        </is>
      </c>
    </row>
    <row r="3">
      <c r="C3" s="1383" t="n"/>
      <c r="D3" s="1384" t="n"/>
      <c r="E3" s="1384" t="n"/>
      <c r="F3" s="1384" t="n"/>
      <c r="G3" s="1384" t="n"/>
      <c r="H3" s="1384" t="n"/>
      <c r="I3" s="1384" t="n"/>
      <c r="J3" s="1385" t="n"/>
      <c r="K3" s="1385" t="n"/>
      <c r="L3" s="1384" t="n"/>
      <c r="M3" s="1385" t="n"/>
      <c r="N3" s="1385" t="n"/>
      <c r="O3" s="1384" t="n"/>
      <c r="P3" s="2066" t="n"/>
      <c r="Q3" s="1385" t="n"/>
      <c r="R3" s="1387" t="n"/>
      <c r="S3" s="17" t="n"/>
      <c r="T3" s="17" t="n"/>
      <c r="U3" s="16" t="n"/>
      <c r="V3" s="17" t="n"/>
      <c r="W3" s="18" t="n"/>
      <c r="X3" s="19" t="n"/>
      <c r="AA3" s="67">
        <f>LA!C5</f>
        <v/>
      </c>
    </row>
    <row r="4">
      <c r="C4" s="1388" t="n"/>
      <c r="D4" s="1389" t="n">
        <v>2013</v>
      </c>
      <c r="E4" s="1389" t="n"/>
      <c r="F4" s="1390" t="n"/>
      <c r="G4" s="1389" t="n">
        <v>2014</v>
      </c>
      <c r="H4" s="1389" t="n"/>
      <c r="I4" s="1390" t="n"/>
      <c r="J4" s="1389" t="n">
        <v>2015</v>
      </c>
      <c r="K4" s="1389" t="n"/>
      <c r="L4" s="1391" t="n"/>
      <c r="M4" s="1389" t="n">
        <v>2016</v>
      </c>
      <c r="N4" s="1389" t="n"/>
      <c r="O4" s="1391" t="n"/>
      <c r="P4" s="1389" t="n">
        <v>2017</v>
      </c>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40" t="n"/>
    </row>
    <row r="6">
      <c r="C6" s="24" t="inlineStr">
        <is>
          <t>Rental Income</t>
        </is>
      </c>
      <c r="D6" s="2067">
        <f>SUMIF(Category,$B6,AMTY1)</f>
        <v/>
      </c>
      <c r="E6" s="2068">
        <f>D6/NRA</f>
        <v/>
      </c>
      <c r="F6" s="27" t="n"/>
      <c r="G6" s="2067">
        <f>SUMIF(Category,$B6,AMTY2)</f>
        <v/>
      </c>
      <c r="H6" s="1880">
        <f>G6/NRA</f>
        <v/>
      </c>
      <c r="I6" s="27" t="n"/>
      <c r="J6" s="2067">
        <f>SUMIF(Category,$B6,AMTY3)</f>
        <v/>
      </c>
      <c r="K6" s="1880">
        <f>J6/NRA</f>
        <v/>
      </c>
      <c r="L6" s="27" t="n"/>
      <c r="M6" s="2067" t="n">
        <v>122101.44</v>
      </c>
      <c r="N6" s="2069">
        <f>M6/$AA$3</f>
        <v/>
      </c>
      <c r="O6" s="2067" t="n"/>
      <c r="P6" s="2067" t="n">
        <v>185866.52</v>
      </c>
      <c r="Q6" s="2069">
        <f>P6/$AA$3</f>
        <v/>
      </c>
      <c r="R6" s="27" t="n"/>
      <c r="S6" s="2067">
        <f>SUMIF(Category,$B6,AmtBdgt)</f>
        <v/>
      </c>
      <c r="T6" s="1880">
        <f>S6/NRA</f>
        <v/>
      </c>
      <c r="U6" s="27" t="n"/>
      <c r="V6" s="2070">
        <f>[3]ProForma!C3</f>
        <v/>
      </c>
      <c r="W6" s="2071">
        <f>V6/NRA</f>
        <v/>
      </c>
      <c r="X6" s="2072" t="n"/>
    </row>
    <row r="7">
      <c r="C7" s="24" t="inlineStr">
        <is>
          <t>Operating Expense Recoveries</t>
        </is>
      </c>
      <c r="D7" s="32">
        <f>SUMIF(Category,$B7,AMTY1)</f>
        <v/>
      </c>
      <c r="E7" s="2068">
        <f>D7/NRA</f>
        <v/>
      </c>
      <c r="F7" s="27" t="n"/>
      <c r="G7" s="32">
        <f>SUMIF(Category,$B7,AMTY2)</f>
        <v/>
      </c>
      <c r="H7" s="1880">
        <f>G7/NRA</f>
        <v/>
      </c>
      <c r="I7" s="27" t="n"/>
      <c r="J7" s="32">
        <f>SUMIF(Category,$B7,AMTY3)</f>
        <v/>
      </c>
      <c r="K7" s="1880">
        <f>J7/NRA</f>
        <v/>
      </c>
      <c r="L7" s="27" t="n"/>
      <c r="M7" s="2067" t="n">
        <v>80407.75999999999</v>
      </c>
      <c r="N7" s="2069">
        <f>M7/$AA$3</f>
        <v/>
      </c>
      <c r="O7" s="2067" t="n"/>
      <c r="P7" s="2067" t="n">
        <v>101239</v>
      </c>
      <c r="Q7" s="2069">
        <f>P7/$AA$3</f>
        <v/>
      </c>
      <c r="R7" s="27" t="n"/>
      <c r="S7" s="32">
        <f>SUMIF(Category,$B7,AmtBdgt)</f>
        <v/>
      </c>
      <c r="T7" s="1880">
        <f>S7/NRA</f>
        <v/>
      </c>
      <c r="U7" s="27" t="n"/>
      <c r="V7" s="33">
        <f>[3]ProForma!C4</f>
        <v/>
      </c>
      <c r="W7" s="2071">
        <f>V7/NRA</f>
        <v/>
      </c>
      <c r="X7" s="34" t="n"/>
    </row>
    <row r="8" hidden="1" s="1439">
      <c r="C8" s="24" t="inlineStr">
        <is>
          <t>Parking</t>
        </is>
      </c>
      <c r="D8" s="32">
        <f>SUMIF(Category,$B8,AMTY1)</f>
        <v/>
      </c>
      <c r="E8" s="2068">
        <f>D8/NRA</f>
        <v/>
      </c>
      <c r="F8" s="27" t="n"/>
      <c r="G8" s="32">
        <f>SUMIF(Category,$B8,AMTY2)</f>
        <v/>
      </c>
      <c r="H8" s="1880">
        <f>G8/NRA</f>
        <v/>
      </c>
      <c r="I8" s="27" t="n"/>
      <c r="J8" s="32">
        <f>SUMIF(Category,$B8,AMTY3)</f>
        <v/>
      </c>
      <c r="K8" s="1880">
        <f>J8/NRA</f>
        <v/>
      </c>
      <c r="L8" s="27" t="n"/>
      <c r="M8" s="32">
        <f>SUMIF(Category,$B8,AMTY4)</f>
        <v/>
      </c>
      <c r="N8" s="1880">
        <f>M8/$AA$3</f>
        <v/>
      </c>
      <c r="O8" s="27" t="n"/>
      <c r="P8" s="32">
        <f>SUMIF(Category,$B8,AMTY5)</f>
        <v/>
      </c>
      <c r="Q8" s="1880">
        <f>P8/$AA$3</f>
        <v/>
      </c>
      <c r="R8" s="27" t="n"/>
      <c r="S8" s="32">
        <f>SUMIF(Category,$B8,AmtBdgt)</f>
        <v/>
      </c>
      <c r="T8" s="1880">
        <f>S8/NRA</f>
        <v/>
      </c>
      <c r="U8" s="27" t="n"/>
      <c r="V8" s="33">
        <f>W8*NRA</f>
        <v/>
      </c>
      <c r="W8" s="2073" t="n">
        <v>0</v>
      </c>
      <c r="X8" s="34" t="n"/>
    </row>
    <row r="9" hidden="1" s="1439">
      <c r="C9" s="24" t="inlineStr">
        <is>
          <t>Late Charges</t>
        </is>
      </c>
      <c r="D9" s="32">
        <f>SUMIF(Category,$B9,AMTY1)</f>
        <v/>
      </c>
      <c r="E9" s="2068">
        <f>D9/NRA</f>
        <v/>
      </c>
      <c r="F9" s="27" t="n"/>
      <c r="G9" s="32">
        <f>SUMIF(Category,$B9,AMTY2)</f>
        <v/>
      </c>
      <c r="H9" s="1880">
        <f>G9/NRA</f>
        <v/>
      </c>
      <c r="I9" s="27" t="n"/>
      <c r="J9" s="32">
        <f>SUMIF(Category,$B9,AMTY3)</f>
        <v/>
      </c>
      <c r="K9" s="1880">
        <f>J9/NRA</f>
        <v/>
      </c>
      <c r="L9" s="27" t="n"/>
      <c r="M9" s="32">
        <f>SUMIF(Category,$B9,AMTY4)</f>
        <v/>
      </c>
      <c r="N9" s="1880">
        <f>M9/$AA$3</f>
        <v/>
      </c>
      <c r="O9" s="27" t="n"/>
      <c r="P9" s="32">
        <f>SUMIF(Category,$B9,AMTY5)</f>
        <v/>
      </c>
      <c r="Q9" s="1880">
        <f>P9/$AA$3</f>
        <v/>
      </c>
      <c r="R9" s="27" t="n"/>
      <c r="S9" s="32">
        <f>SUMIF(Category,$B9,AmtBdgt)</f>
        <v/>
      </c>
      <c r="T9" s="1880">
        <f>S9/NRA</f>
        <v/>
      </c>
      <c r="U9" s="27" t="n"/>
      <c r="V9" s="33">
        <f>W9*NRA</f>
        <v/>
      </c>
      <c r="W9" s="2073" t="n">
        <v>0</v>
      </c>
      <c r="X9" s="34" t="n"/>
    </row>
    <row r="10" hidden="1" s="1439">
      <c r="C10" s="24" t="inlineStr">
        <is>
          <t>NSF Fee Income</t>
        </is>
      </c>
      <c r="D10" s="32">
        <f>SUMIF(Category,$B10,AMTY1)</f>
        <v/>
      </c>
      <c r="E10" s="2068">
        <f>D10/NRA</f>
        <v/>
      </c>
      <c r="F10" s="27" t="n"/>
      <c r="G10" s="32">
        <f>SUMIF(Category,$B10,AMTY2)</f>
        <v/>
      </c>
      <c r="H10" s="1880">
        <f>G10/NRA</f>
        <v/>
      </c>
      <c r="I10" s="27" t="n"/>
      <c r="J10" s="32">
        <f>SUMIF(Category,$B10,AMTY3)</f>
        <v/>
      </c>
      <c r="K10" s="1880">
        <f>J10/NRA</f>
        <v/>
      </c>
      <c r="L10" s="27" t="n"/>
      <c r="M10" s="32">
        <f>SUMIF(Category,$B10,AMTY4)</f>
        <v/>
      </c>
      <c r="N10" s="1880">
        <f>M10/$AA$3</f>
        <v/>
      </c>
      <c r="O10" s="27" t="n"/>
      <c r="P10" s="32">
        <f>SUMIF(Category,$B10,AMTY5)</f>
        <v/>
      </c>
      <c r="Q10" s="1880">
        <f>P10/$AA$3</f>
        <v/>
      </c>
      <c r="R10" s="27" t="n"/>
      <c r="S10" s="32">
        <f>SUMIF(Category,$B10,AmtBdgt)</f>
        <v/>
      </c>
      <c r="T10" s="1880">
        <f>S10/NRA</f>
        <v/>
      </c>
      <c r="U10" s="27" t="n"/>
      <c r="V10" s="33">
        <f>W10*NRA</f>
        <v/>
      </c>
      <c r="W10" s="2073" t="n">
        <v>0</v>
      </c>
      <c r="X10" s="34" t="n"/>
    </row>
    <row r="11" hidden="1" s="1439">
      <c r="C11" s="24" t="inlineStr">
        <is>
          <t>Keys, Lock, Lock Charge</t>
        </is>
      </c>
      <c r="D11" s="32">
        <f>SUMIF(Category,$B11,AMTY1)</f>
        <v/>
      </c>
      <c r="E11" s="2068">
        <f>D11/NRA</f>
        <v/>
      </c>
      <c r="F11" s="27" t="n"/>
      <c r="G11" s="32">
        <f>SUMIF(Category,$B11,AMTY2)</f>
        <v/>
      </c>
      <c r="H11" s="1880">
        <f>G11/NRA</f>
        <v/>
      </c>
      <c r="I11" s="27" t="n"/>
      <c r="J11" s="32">
        <f>SUMIF(Category,$B11,AMTY3)</f>
        <v/>
      </c>
      <c r="K11" s="1880">
        <f>J11/NRA</f>
        <v/>
      </c>
      <c r="L11" s="27" t="n"/>
      <c r="M11" s="32">
        <f>SUMIF(Category,$B11,AMTY4)</f>
        <v/>
      </c>
      <c r="N11" s="1880">
        <f>M11/$AA$3</f>
        <v/>
      </c>
      <c r="O11" s="27" t="n"/>
      <c r="P11" s="32">
        <f>SUMIF(Category,$B11,AMTY5)</f>
        <v/>
      </c>
      <c r="Q11" s="1880">
        <f>P11/$AA$3</f>
        <v/>
      </c>
      <c r="R11" s="27" t="n"/>
      <c r="S11" s="32">
        <f>SUMIF(Category,$B11,AmtBdgt)</f>
        <v/>
      </c>
      <c r="T11" s="1880">
        <f>S11/NRA</f>
        <v/>
      </c>
      <c r="U11" s="27" t="n"/>
      <c r="V11" s="33">
        <f>W11*NRA</f>
        <v/>
      </c>
      <c r="W11" s="2073" t="n">
        <v>0</v>
      </c>
      <c r="X11" s="34" t="n"/>
    </row>
    <row r="12" hidden="1" s="1439">
      <c r="C12" s="24" t="inlineStr">
        <is>
          <t>Lease Termination Fee Income</t>
        </is>
      </c>
      <c r="D12" s="32">
        <f>SUMIF(Category,$B12,AMTY1)</f>
        <v/>
      </c>
      <c r="E12" s="2068">
        <f>D12/NRA</f>
        <v/>
      </c>
      <c r="F12" s="27" t="n"/>
      <c r="G12" s="32">
        <f>SUMIF(Category,$B12,AMTY2)</f>
        <v/>
      </c>
      <c r="H12" s="1880">
        <f>G12/NRA</f>
        <v/>
      </c>
      <c r="I12" s="27" t="n"/>
      <c r="J12" s="32">
        <f>SUMIF(Category,$B12,AMTY3)</f>
        <v/>
      </c>
      <c r="K12" s="1880">
        <f>J12/NRA</f>
        <v/>
      </c>
      <c r="L12" s="27" t="n"/>
      <c r="M12" s="32">
        <f>SUMIF(Category,$B12,AMTY4)</f>
        <v/>
      </c>
      <c r="N12" s="1880">
        <f>M12/$AA$3</f>
        <v/>
      </c>
      <c r="O12" s="27" t="n"/>
      <c r="P12" s="32">
        <f>SUMIF(Category,$B12,AMTY5)</f>
        <v/>
      </c>
      <c r="Q12" s="1880">
        <f>P12/$AA$3</f>
        <v/>
      </c>
      <c r="R12" s="27" t="n"/>
      <c r="S12" s="32">
        <f>SUMIF(Category,$B12,AmtBdgt)</f>
        <v/>
      </c>
      <c r="T12" s="1880">
        <f>S12/NRA</f>
        <v/>
      </c>
      <c r="U12" s="27" t="n"/>
      <c r="V12" s="33">
        <f>W12*NRA</f>
        <v/>
      </c>
      <c r="W12" s="2073" t="n">
        <v>0</v>
      </c>
      <c r="X12" s="34" t="n"/>
    </row>
    <row r="13" hidden="1" s="1439">
      <c r="C13" s="24" t="inlineStr">
        <is>
          <t>Legal and Collection Fee Income</t>
        </is>
      </c>
      <c r="D13" s="32">
        <f>SUMIF(Category,$B13,AMTY1)</f>
        <v/>
      </c>
      <c r="E13" s="2068">
        <f>D13/NRA</f>
        <v/>
      </c>
      <c r="F13" s="27" t="n"/>
      <c r="G13" s="32">
        <f>SUMIF(Category,$B13,AMTY2)</f>
        <v/>
      </c>
      <c r="H13" s="1880">
        <f>G13/NRA</f>
        <v/>
      </c>
      <c r="I13" s="27" t="n"/>
      <c r="J13" s="32">
        <f>SUMIF(Category,$B13,AMTY3)</f>
        <v/>
      </c>
      <c r="K13" s="1880">
        <f>J13/NRA</f>
        <v/>
      </c>
      <c r="L13" s="27" t="n"/>
      <c r="M13" s="32">
        <f>SUMIF(Category,$B13,AMTY4)</f>
        <v/>
      </c>
      <c r="N13" s="1880">
        <f>M13/$AA$3</f>
        <v/>
      </c>
      <c r="O13" s="27" t="n"/>
      <c r="P13" s="32">
        <f>SUMIF(Category,$B13,AMTY5)</f>
        <v/>
      </c>
      <c r="Q13" s="1880">
        <f>P13/$AA$3</f>
        <v/>
      </c>
      <c r="R13" s="27" t="n"/>
      <c r="S13" s="32">
        <f>SUMIF(Category,$B13,AmtBdgt)</f>
        <v/>
      </c>
      <c r="T13" s="1880">
        <f>S13/NRA</f>
        <v/>
      </c>
      <c r="U13" s="27" t="n"/>
      <c r="V13" s="33">
        <f>W13*NRA</f>
        <v/>
      </c>
      <c r="W13" s="2073" t="n">
        <v>0</v>
      </c>
      <c r="X13" s="34" t="n"/>
    </row>
    <row r="14" hidden="1" s="1439">
      <c r="C14" s="24" t="inlineStr">
        <is>
          <t>Storage Space Rental</t>
        </is>
      </c>
      <c r="D14" s="32">
        <f>SUMIF(Category,$B14,AMTY1)</f>
        <v/>
      </c>
      <c r="E14" s="2068">
        <f>D14/NRA</f>
        <v/>
      </c>
      <c r="F14" s="27" t="n"/>
      <c r="G14" s="32">
        <f>SUMIF(Category,$B14,AMTY2)</f>
        <v/>
      </c>
      <c r="H14" s="1880">
        <f>G14/NRA</f>
        <v/>
      </c>
      <c r="I14" s="27" t="n"/>
      <c r="J14" s="32">
        <f>SUMIF(Category,$B14,AMTY3)</f>
        <v/>
      </c>
      <c r="K14" s="1880">
        <f>J14/NRA</f>
        <v/>
      </c>
      <c r="L14" s="27" t="n"/>
      <c r="M14" s="32">
        <f>SUMIF(Category,$B14,AMTY4)</f>
        <v/>
      </c>
      <c r="N14" s="1880">
        <f>M14/$AA$3</f>
        <v/>
      </c>
      <c r="O14" s="27" t="n"/>
      <c r="P14" s="32">
        <f>SUMIF(Category,$B14,AMTY5)</f>
        <v/>
      </c>
      <c r="Q14" s="1880">
        <f>P14/$AA$3</f>
        <v/>
      </c>
      <c r="R14" s="27" t="n"/>
      <c r="S14" s="32">
        <f>SUMIF(Category,$B14,AmtBdgt)</f>
        <v/>
      </c>
      <c r="T14" s="1880">
        <f>S14/NRA</f>
        <v/>
      </c>
      <c r="U14" s="27" t="n"/>
      <c r="V14" s="33">
        <f>W14*NRA</f>
        <v/>
      </c>
      <c r="W14" s="2073" t="n">
        <v>0</v>
      </c>
      <c r="X14" s="34" t="n"/>
    </row>
    <row r="15" hidden="1" s="1439">
      <c r="C15" s="24" t="inlineStr">
        <is>
          <t>Miscellaneous</t>
        </is>
      </c>
      <c r="D15" s="32">
        <f>SUMIF(Category,$B15,AMTY1)</f>
        <v/>
      </c>
      <c r="E15" s="2068">
        <f>D15/NRA</f>
        <v/>
      </c>
      <c r="F15" s="27" t="n"/>
      <c r="G15" s="32">
        <f>SUMIF(Category,$B15,AMTY2)</f>
        <v/>
      </c>
      <c r="H15" s="1880">
        <f>G15/NRA</f>
        <v/>
      </c>
      <c r="I15" s="27" t="n"/>
      <c r="J15" s="32">
        <f>SUMIF(Category,$B15,AMTY3)</f>
        <v/>
      </c>
      <c r="K15" s="1880">
        <f>J15/NRA</f>
        <v/>
      </c>
      <c r="L15" s="27" t="n"/>
      <c r="M15" s="32">
        <f>SUMIF(Category,$B15,AMTY4)</f>
        <v/>
      </c>
      <c r="N15" s="1880">
        <f>M15/$AA$3</f>
        <v/>
      </c>
      <c r="O15" s="27" t="n"/>
      <c r="P15" s="32">
        <f>SUMIF(Category,$B15,AMTY5)</f>
        <v/>
      </c>
      <c r="Q15" s="1880">
        <f>P15/$AA$3</f>
        <v/>
      </c>
      <c r="R15" s="27" t="n"/>
      <c r="S15" s="32">
        <f>SUMIF(Category,$B15,AmtBdgt)</f>
        <v/>
      </c>
      <c r="T15" s="1880">
        <f>S15/NRA</f>
        <v/>
      </c>
      <c r="U15" s="27" t="n"/>
      <c r="V15" s="33">
        <f>[3]ProForma!C7</f>
        <v/>
      </c>
      <c r="W15" s="2071">
        <f>V15/NRA</f>
        <v/>
      </c>
      <c r="X15" s="34" t="n"/>
    </row>
    <row r="16" hidden="1" s="1439">
      <c r="C16" s="3" t="inlineStr">
        <is>
          <t>Total Potential Gross Income</t>
        </is>
      </c>
      <c r="D16" s="2074">
        <f>SUM(D6:D15)</f>
        <v/>
      </c>
      <c r="E16" s="2075">
        <f>D16/NRA</f>
        <v/>
      </c>
      <c r="F16" s="38" t="n"/>
      <c r="G16" s="2074">
        <f>SUM(G6:G15)</f>
        <v/>
      </c>
      <c r="H16" s="1884">
        <f>G16/NRA</f>
        <v/>
      </c>
      <c r="I16" s="38" t="n"/>
      <c r="J16" s="2074">
        <f>SUM(J6:J15)</f>
        <v/>
      </c>
      <c r="K16" s="1884">
        <f>J16/NRA</f>
        <v/>
      </c>
      <c r="L16" s="38" t="n"/>
      <c r="M16" s="2074">
        <f>SUM(M6:M15)</f>
        <v/>
      </c>
      <c r="N16" s="1880">
        <f>M16/$AA$3</f>
        <v/>
      </c>
      <c r="O16" s="38" t="n"/>
      <c r="P16" s="2074">
        <f>SUM(P6:P15)</f>
        <v/>
      </c>
      <c r="Q16" s="1880">
        <f>P16/$AA$3</f>
        <v/>
      </c>
      <c r="R16" s="38" t="n"/>
      <c r="S16" s="2074">
        <f>SUM(S6:S15)</f>
        <v/>
      </c>
      <c r="T16" s="1884">
        <f>S16/NRA</f>
        <v/>
      </c>
      <c r="U16" s="38" t="n"/>
      <c r="V16" s="2074">
        <f>SUM(V6:V15)</f>
        <v/>
      </c>
      <c r="W16" s="1884">
        <f>V16/NRA</f>
        <v/>
      </c>
      <c r="X16" s="2076" t="n"/>
    </row>
    <row r="17" hidden="1" s="1439">
      <c r="C17" s="3" t="n"/>
      <c r="D17" s="2067" t="n"/>
      <c r="E17" s="2068" t="n"/>
      <c r="F17" s="27" t="n"/>
      <c r="G17" s="2067" t="n"/>
      <c r="H17" s="1880" t="n"/>
      <c r="I17" s="27" t="n"/>
      <c r="J17" s="2067" t="n"/>
      <c r="K17" s="1880" t="n"/>
      <c r="L17" s="27" t="n"/>
      <c r="M17" s="2067" t="n"/>
      <c r="N17" s="1880">
        <f>M17/$AA$3</f>
        <v/>
      </c>
      <c r="O17" s="27" t="n"/>
      <c r="P17" s="2067" t="n"/>
      <c r="Q17" s="1880">
        <f>P17/$AA$3</f>
        <v/>
      </c>
      <c r="R17" s="27" t="n"/>
      <c r="S17" s="2067" t="n"/>
      <c r="T17" s="1880" t="n"/>
      <c r="U17" s="27" t="n"/>
      <c r="V17" s="2077" t="n"/>
      <c r="W17" s="1880" t="n"/>
      <c r="X17" s="2072" t="n"/>
    </row>
    <row r="18" hidden="1" s="1439">
      <c r="C18" s="24" t="inlineStr">
        <is>
          <t>Physical Vacancy</t>
        </is>
      </c>
      <c r="D18" s="32">
        <f>SUMIF(Category,$B18,AMTY1)</f>
        <v/>
      </c>
      <c r="E18" s="2068">
        <f>D18/NRA</f>
        <v/>
      </c>
      <c r="F18" s="27" t="n"/>
      <c r="G18" s="32">
        <f>SUMIF(Category,$B18,AMTY2)</f>
        <v/>
      </c>
      <c r="H18" s="1880">
        <f>G18/NRA</f>
        <v/>
      </c>
      <c r="I18" s="27" t="n"/>
      <c r="J18" s="32">
        <f>SUMIF(Category,$B18,AMTY3)</f>
        <v/>
      </c>
      <c r="K18" s="1880">
        <f>J18/NRA</f>
        <v/>
      </c>
      <c r="L18" s="27" t="n"/>
      <c r="M18" s="32">
        <f>SUMIF(Category,$B18,AMTY4)</f>
        <v/>
      </c>
      <c r="N18" s="1880">
        <f>M18/$AA$3</f>
        <v/>
      </c>
      <c r="O18" s="27" t="n"/>
      <c r="P18" s="32">
        <f>SUMIF(Category,$B18,AMTY5)</f>
        <v/>
      </c>
      <c r="Q18" s="1880">
        <f>P18/$AA$3</f>
        <v/>
      </c>
      <c r="R18" s="27" t="n"/>
      <c r="S18" s="32">
        <f>SUMIF(Category,$B18,AmtBdgt)</f>
        <v/>
      </c>
      <c r="T18" s="1880">
        <f>S18/NRA</f>
        <v/>
      </c>
      <c r="U18" s="27" t="n"/>
      <c r="V18" s="33" t="n"/>
      <c r="W18" s="2071" t="n"/>
      <c r="X18" s="2072" t="n"/>
    </row>
    <row r="19" hidden="1" s="1439">
      <c r="C19" s="24" t="inlineStr">
        <is>
          <t>Bad Debt / Collection Loss</t>
        </is>
      </c>
      <c r="D19" s="32">
        <f>SUMIF(Category,$B19,AMTY1)</f>
        <v/>
      </c>
      <c r="E19" s="2068">
        <f>D19/NRA</f>
        <v/>
      </c>
      <c r="F19" s="27" t="n"/>
      <c r="G19" s="32">
        <f>SUMIF(Category,$B19,AMTY2)</f>
        <v/>
      </c>
      <c r="H19" s="1880">
        <f>G19/NRA</f>
        <v/>
      </c>
      <c r="I19" s="27" t="n"/>
      <c r="J19" s="32">
        <f>SUMIF(Category,$B19,AMTY3)</f>
        <v/>
      </c>
      <c r="K19" s="1880">
        <f>J19/NRA</f>
        <v/>
      </c>
      <c r="L19" s="27" t="n"/>
      <c r="M19" s="32">
        <f>SUMIF(Category,$B19,AMTY4)</f>
        <v/>
      </c>
      <c r="N19" s="1880">
        <f>M19/$AA$3</f>
        <v/>
      </c>
      <c r="O19" s="27" t="n"/>
      <c r="P19" s="32">
        <f>SUMIF(Category,$B19,AMTY5)</f>
        <v/>
      </c>
      <c r="Q19" s="1880">
        <f>P19/$AA$3</f>
        <v/>
      </c>
      <c r="R19" s="27" t="n"/>
      <c r="S19" s="32">
        <f>SUMIF(Category,$B19,AmtBdgt)</f>
        <v/>
      </c>
      <c r="T19" s="1880">
        <f>S19/NRA</f>
        <v/>
      </c>
      <c r="U19" s="27" t="n"/>
      <c r="V19" s="33" t="n"/>
      <c r="W19" s="2071" t="n"/>
      <c r="X19" s="2072" t="n"/>
    </row>
    <row r="20" hidden="1" s="1439">
      <c r="C20" s="24" t="inlineStr">
        <is>
          <t>Concessions</t>
        </is>
      </c>
      <c r="D20" s="32">
        <f>SUMIF(Category,$B20,AMTY1)</f>
        <v/>
      </c>
      <c r="E20" s="2068">
        <f>D20/NRA</f>
        <v/>
      </c>
      <c r="F20" s="27" t="n"/>
      <c r="G20" s="32">
        <f>SUMIF(Category,$B20,AMTY2)</f>
        <v/>
      </c>
      <c r="H20" s="1880">
        <f>G20/NRA</f>
        <v/>
      </c>
      <c r="I20" s="27" t="n"/>
      <c r="J20" s="32">
        <f>SUMIF(Category,$B20,AMTY3)</f>
        <v/>
      </c>
      <c r="K20" s="1880">
        <f>J20/NRA</f>
        <v/>
      </c>
      <c r="L20" s="27" t="n"/>
      <c r="M20" s="32">
        <f>SUMIF(Category,$B20,AMTY4)</f>
        <v/>
      </c>
      <c r="N20" s="1880">
        <f>M20/$AA$3</f>
        <v/>
      </c>
      <c r="O20" s="27" t="n"/>
      <c r="P20" s="32">
        <f>SUMIF(Category,$B20,AMTY5)</f>
        <v/>
      </c>
      <c r="Q20" s="1880">
        <f>P20/$AA$3</f>
        <v/>
      </c>
      <c r="R20" s="27" t="n"/>
      <c r="S20" s="32">
        <f>SUMIF(Category,$B20,AmtBdgt)</f>
        <v/>
      </c>
      <c r="T20" s="1880">
        <f>S20/NRA</f>
        <v/>
      </c>
      <c r="U20" s="27" t="n"/>
      <c r="V20" s="32" t="n"/>
      <c r="W20" s="1880" t="n"/>
      <c r="X20" s="2072" t="n"/>
    </row>
    <row r="21" hidden="1" s="1439">
      <c r="C21" s="42" t="inlineStr">
        <is>
          <t>Vacancy &amp; Collection Loss</t>
        </is>
      </c>
      <c r="D21" s="32">
        <f>-[3]OpActuals!B13</f>
        <v/>
      </c>
      <c r="E21" s="2068">
        <f>D21/NRA</f>
        <v/>
      </c>
      <c r="F21" s="27" t="n"/>
      <c r="G21" s="32">
        <f>-[3]OpActuals!C13</f>
        <v/>
      </c>
      <c r="H21" s="1880">
        <f>G21/NRA</f>
        <v/>
      </c>
      <c r="I21" s="27" t="n"/>
      <c r="J21" s="32">
        <f>-[3]OpActuals!D13</f>
        <v/>
      </c>
      <c r="K21" s="1880">
        <f>J21/NRA</f>
        <v/>
      </c>
      <c r="L21" s="27" t="n"/>
      <c r="M21" s="32">
        <f>-[3]OpActuals!E13</f>
        <v/>
      </c>
      <c r="N21" s="1880">
        <f>M21/$AA$3</f>
        <v/>
      </c>
      <c r="O21" s="27" t="n"/>
      <c r="P21" s="32">
        <f>-[3]OpActuals!G13</f>
        <v/>
      </c>
      <c r="Q21" s="1880">
        <f>P21/$AA$3</f>
        <v/>
      </c>
      <c r="R21" s="27" t="n"/>
      <c r="S21" s="32">
        <f>-[3]OpActuals!H13</f>
        <v/>
      </c>
      <c r="T21" s="1880">
        <f>S21/NRA</f>
        <v/>
      </c>
      <c r="U21" s="27" t="n"/>
      <c r="V21" s="32" t="n"/>
      <c r="W21" s="1880" t="n"/>
      <c r="X21" s="43" t="n"/>
    </row>
    <row r="22">
      <c r="C22" s="85" t="inlineStr">
        <is>
          <t>EFFECTIVE GROSS INCOME</t>
        </is>
      </c>
      <c r="D22" s="2078">
        <f>D16+D21</f>
        <v/>
      </c>
      <c r="E22" s="2079">
        <f>D22/NRA</f>
        <v/>
      </c>
      <c r="F22" s="146" t="n"/>
      <c r="G22" s="2078">
        <f>G16+G21</f>
        <v/>
      </c>
      <c r="H22" s="2080">
        <f>G22/NRA</f>
        <v/>
      </c>
      <c r="I22" s="146" t="n"/>
      <c r="J22" s="2078">
        <f>J16+J21</f>
        <v/>
      </c>
      <c r="K22" s="2080">
        <f>J22/NRA</f>
        <v/>
      </c>
      <c r="L22" s="146" t="n"/>
      <c r="M22" s="2078">
        <f>SUM(M6:M7)</f>
        <v/>
      </c>
      <c r="N22" s="2081">
        <f>M22/$AA$3</f>
        <v/>
      </c>
      <c r="O22" s="2078" t="n"/>
      <c r="P22" s="2078">
        <f>SUM(P6:P7)</f>
        <v/>
      </c>
      <c r="Q22" s="2081">
        <f>P22/$AA$3</f>
        <v/>
      </c>
      <c r="R22" s="146" t="n"/>
      <c r="S22" s="2074">
        <f>S16+S21</f>
        <v/>
      </c>
      <c r="T22" s="1884">
        <f>S22/NRA</f>
        <v/>
      </c>
      <c r="U22" s="38" t="n"/>
      <c r="V22" s="2074">
        <f>[3]ProForma!C11</f>
        <v/>
      </c>
      <c r="W22" s="1884">
        <f>V22/NRA</f>
        <v/>
      </c>
      <c r="X22" s="2076" t="n"/>
    </row>
    <row r="23">
      <c r="C23" s="1392" t="inlineStr">
        <is>
          <t>Fixed Expenses</t>
        </is>
      </c>
      <c r="D23" s="2082" t="n"/>
      <c r="E23" s="2083" t="n"/>
      <c r="F23" s="1395" t="n"/>
      <c r="G23" s="2082" t="n"/>
      <c r="H23" s="2084" t="n"/>
      <c r="I23" s="1395" t="n"/>
      <c r="J23" s="2082" t="n"/>
      <c r="K23" s="2084" t="n"/>
      <c r="L23" s="1395" t="n"/>
      <c r="M23" s="2082" t="n"/>
      <c r="N23" s="2084" t="n"/>
      <c r="O23" s="1395" t="n"/>
      <c r="P23" s="2082" t="n"/>
      <c r="Q23" s="2084" t="n"/>
      <c r="R23" s="1395" t="n"/>
      <c r="S23" s="2085" t="n"/>
      <c r="T23" s="2086" t="n"/>
      <c r="U23" s="45" t="n"/>
      <c r="V23" s="2085" t="n"/>
      <c r="W23" s="2086" t="inlineStr">
        <is>
          <t> </t>
        </is>
      </c>
      <c r="X23" s="47" t="n"/>
    </row>
    <row r="24">
      <c r="C24" s="24" t="inlineStr">
        <is>
          <t>Real Estate Taxes</t>
        </is>
      </c>
      <c r="D24" s="32">
        <f>SUMIF(Category,$B24,AMTY1)</f>
        <v/>
      </c>
      <c r="E24" s="2068">
        <f>D24/NRA</f>
        <v/>
      </c>
      <c r="F24" s="23" t="n"/>
      <c r="G24" s="2087">
        <f>SUMIF(Category,$B24,AMTY2)</f>
        <v/>
      </c>
      <c r="H24" s="1880">
        <f>G24/NRA</f>
        <v/>
      </c>
      <c r="I24" s="23" t="n"/>
      <c r="J24" s="2087">
        <f>SUMIF(Category,$B24,AMTY3)</f>
        <v/>
      </c>
      <c r="K24" s="1880">
        <f>J24/NRA</f>
        <v/>
      </c>
      <c r="L24" s="23" t="n"/>
      <c r="M24" s="2067" t="n">
        <v>58886</v>
      </c>
      <c r="N24" s="2069">
        <f>M24/$AA$3</f>
        <v/>
      </c>
      <c r="O24" s="2067" t="n"/>
      <c r="P24" s="2067" t="n">
        <v>60666.21</v>
      </c>
      <c r="Q24" s="2069">
        <f>P24/$AA$3</f>
        <v/>
      </c>
      <c r="R24" s="23" t="n"/>
      <c r="S24" s="2087">
        <f>SUMIF(Category,$B24,AmtBdgt)</f>
        <v/>
      </c>
      <c r="T24" s="1880">
        <f>S24/NRA</f>
        <v/>
      </c>
      <c r="U24" s="23" t="n"/>
      <c r="V24" s="33">
        <f>W24*NRA</f>
        <v/>
      </c>
      <c r="W24" s="2073" t="n">
        <v>0</v>
      </c>
      <c r="X24" s="43" t="n"/>
    </row>
    <row r="25">
      <c r="C25" s="24" t="inlineStr">
        <is>
          <t>Property Insurance</t>
        </is>
      </c>
      <c r="D25" s="2087">
        <f>SUMIF(Category,$B25,AMTY1)</f>
        <v/>
      </c>
      <c r="E25" s="2088">
        <f>D25/NRA</f>
        <v/>
      </c>
      <c r="F25" s="23" t="n"/>
      <c r="G25" s="2087">
        <f>SUMIF(Category,$B25,AMTY2)</f>
        <v/>
      </c>
      <c r="H25" s="1880">
        <f>G25/NRA</f>
        <v/>
      </c>
      <c r="I25" s="23" t="n"/>
      <c r="J25" s="2087">
        <f>SUMIF(Category,$B25,AMTY3)</f>
        <v/>
      </c>
      <c r="K25" s="1880">
        <f>J25/NRA</f>
        <v/>
      </c>
      <c r="L25" s="23" t="n"/>
      <c r="M25" s="2067" t="n">
        <v>6547.2</v>
      </c>
      <c r="N25" s="2069">
        <f>M25/$AA$3</f>
        <v/>
      </c>
      <c r="O25" s="2067" t="n"/>
      <c r="P25" s="2067" t="n">
        <v>7893.9</v>
      </c>
      <c r="Q25" s="2069">
        <f>P25/$AA$3</f>
        <v/>
      </c>
      <c r="R25" s="23" t="n"/>
      <c r="S25" s="2087">
        <f>SUMIF(Category,$B25,AmtBdgt)</f>
        <v/>
      </c>
      <c r="T25" s="1880">
        <f>S25/NRA</f>
        <v/>
      </c>
      <c r="U25" s="23" t="n"/>
      <c r="V25" s="33">
        <f>W25*NRA</f>
        <v/>
      </c>
      <c r="W25" s="2073" t="n">
        <v>0</v>
      </c>
      <c r="X25" s="43" t="n"/>
    </row>
    <row r="26">
      <c r="C26" s="1392" t="inlineStr">
        <is>
          <t>Variable Expenses</t>
        </is>
      </c>
      <c r="D26" s="2089" t="n"/>
      <c r="E26" s="2083" t="n"/>
      <c r="F26" s="1395" t="n"/>
      <c r="G26" s="2089" t="n"/>
      <c r="H26" s="2084" t="n"/>
      <c r="I26" s="1395" t="n"/>
      <c r="J26" s="2089" t="n"/>
      <c r="K26" s="2084" t="n"/>
      <c r="L26" s="1395" t="n"/>
      <c r="M26" s="2089" t="n"/>
      <c r="N26" s="2084" t="n"/>
      <c r="O26" s="1395" t="n"/>
      <c r="P26" s="2089" t="n"/>
      <c r="Q26" s="2084" t="n"/>
      <c r="R26" s="1395" t="n"/>
      <c r="S26" s="2090" t="n"/>
      <c r="T26" s="2086" t="n"/>
      <c r="U26" s="45" t="n"/>
      <c r="V26" s="52" t="n"/>
      <c r="W26" s="2091" t="n"/>
      <c r="X26" s="54" t="n"/>
    </row>
    <row r="27">
      <c r="C27" s="24" t="inlineStr">
        <is>
          <t>Utilities</t>
        </is>
      </c>
      <c r="D27" s="2092">
        <f>SUMIF(Category,$B27,AMTY1)</f>
        <v/>
      </c>
      <c r="E27" s="2068">
        <f>D27/NRA</f>
        <v/>
      </c>
      <c r="F27" s="23" t="n"/>
      <c r="G27" s="2067">
        <f>SUMIF(Category,$B27,AMTY2)</f>
        <v/>
      </c>
      <c r="H27" s="1880">
        <f>G27/NRA</f>
        <v/>
      </c>
      <c r="I27" s="23" t="n"/>
      <c r="J27" s="2067">
        <f>SUMIF(Category,$B27,AMTY3)</f>
        <v/>
      </c>
      <c r="K27" s="1880">
        <f>J27/NRA</f>
        <v/>
      </c>
      <c r="L27" s="23" t="n"/>
      <c r="M27" s="2067" t="n">
        <v>3705.88</v>
      </c>
      <c r="N27" s="2069">
        <f>M27/$AA$3</f>
        <v/>
      </c>
      <c r="O27" s="2067" t="n"/>
      <c r="P27" s="2067" t="n">
        <v>3936</v>
      </c>
      <c r="Q27" s="2069">
        <f>P27/$AA$3</f>
        <v/>
      </c>
      <c r="R27" s="23" t="n"/>
      <c r="S27" s="2067">
        <f>SUMIF(Category,$B27,AmtBdgt)</f>
        <v/>
      </c>
      <c r="T27" s="1880">
        <f>S27/NRA</f>
        <v/>
      </c>
      <c r="U27" s="23" t="n"/>
      <c r="V27" s="33">
        <f>W27*NRA</f>
        <v/>
      </c>
      <c r="W27" s="2071">
        <f>[3]SummaryExpenseTbl!M32</f>
        <v/>
      </c>
      <c r="X27" s="43" t="n"/>
    </row>
    <row r="28">
      <c r="C28" s="24" t="inlineStr">
        <is>
          <t>CAM Repairs &amp; Maintenance</t>
        </is>
      </c>
      <c r="D28" s="2092">
        <f>SUMIF(Category,$B28,AMTY1)</f>
        <v/>
      </c>
      <c r="E28" s="2068">
        <f>D28/NRA</f>
        <v/>
      </c>
      <c r="F28" s="23" t="n"/>
      <c r="G28" s="2067">
        <f>SUMIF(Category,$B28,AMTY2)</f>
        <v/>
      </c>
      <c r="H28" s="1880">
        <f>G28/NRA</f>
        <v/>
      </c>
      <c r="I28" s="23" t="n"/>
      <c r="J28" s="2067">
        <f>SUMIF(Category,$B28,AMTY3)</f>
        <v/>
      </c>
      <c r="K28" s="1880">
        <f>J28/NRA</f>
        <v/>
      </c>
      <c r="L28" s="23" t="n"/>
      <c r="M28" s="2067" t="n">
        <v>89936</v>
      </c>
      <c r="N28" s="2069">
        <f>M28/$AA$3</f>
        <v/>
      </c>
      <c r="O28" s="2067" t="n"/>
      <c r="P28" s="2067" t="n">
        <v>10029</v>
      </c>
      <c r="Q28" s="2069">
        <f>P28/$AA$3</f>
        <v/>
      </c>
      <c r="R28" s="23" t="n"/>
      <c r="S28" s="2067">
        <f>SUMIF(Category,$B28,AmtBdgt)</f>
        <v/>
      </c>
      <c r="T28" s="1880">
        <f>S28/NRA</f>
        <v/>
      </c>
      <c r="U28" s="23" t="n"/>
      <c r="V28" s="33">
        <f>W28*NRA</f>
        <v/>
      </c>
      <c r="W28" s="2073" t="n">
        <v>0</v>
      </c>
      <c r="X28" s="34" t="n"/>
    </row>
    <row r="29">
      <c r="C29" s="24" t="inlineStr">
        <is>
          <t>Administrative and General</t>
        </is>
      </c>
      <c r="D29" s="2092">
        <f>SUMIF(Category,$B29,AMTY1)</f>
        <v/>
      </c>
      <c r="E29" s="2068">
        <f>D29/NRA</f>
        <v/>
      </c>
      <c r="F29" s="23" t="n"/>
      <c r="G29" s="2067">
        <f>SUMIF(Category,$B29,AMTY2)</f>
        <v/>
      </c>
      <c r="H29" s="1880">
        <f>G29/NRA</f>
        <v/>
      </c>
      <c r="I29" s="23" t="n"/>
      <c r="J29" s="2067">
        <f>SUMIF(Category,$B29,AMTY3)</f>
        <v/>
      </c>
      <c r="K29" s="1880">
        <f>J29/NRA</f>
        <v/>
      </c>
      <c r="L29" s="23" t="n"/>
      <c r="M29" s="2067" t="n">
        <v>14390</v>
      </c>
      <c r="N29" s="2069">
        <f>M29/$AA$3</f>
        <v/>
      </c>
      <c r="O29" s="2067" t="n"/>
      <c r="P29" s="2067" t="n">
        <v>1852</v>
      </c>
      <c r="Q29" s="2069">
        <f>P29/$AA$3</f>
        <v/>
      </c>
      <c r="R29" s="23" t="n"/>
      <c r="S29" s="2067">
        <f>SUMIF(Category,$B29,AmtBdgt)</f>
        <v/>
      </c>
      <c r="T29" s="1880">
        <f>S29/NRA</f>
        <v/>
      </c>
      <c r="U29" s="23" t="n"/>
      <c r="V29" s="33">
        <f>W29*NRA</f>
        <v/>
      </c>
      <c r="W29" s="2073" t="n">
        <v>0</v>
      </c>
      <c r="X29" s="2093" t="n"/>
    </row>
    <row r="30">
      <c r="C30" s="24" t="inlineStr">
        <is>
          <t>Management</t>
        </is>
      </c>
      <c r="D30" s="2092">
        <f>SUMIF(Category,$B30,AMTY1)</f>
        <v/>
      </c>
      <c r="E30" s="2068">
        <f>D30/NRA</f>
        <v/>
      </c>
      <c r="F30" s="23" t="n"/>
      <c r="G30" s="2067">
        <f>SUMIF(Category,$B30,AMTY2)</f>
        <v/>
      </c>
      <c r="H30" s="1880">
        <f>G30/NRA</f>
        <v/>
      </c>
      <c r="I30" s="23" t="n"/>
      <c r="J30" s="2067">
        <f>SUMIF(Category,$B30,AMTY3)</f>
        <v/>
      </c>
      <c r="K30" s="1880">
        <f>J30/NRA</f>
        <v/>
      </c>
      <c r="L30" s="23" t="n"/>
      <c r="M30" s="2067" t="n">
        <v>5399.91</v>
      </c>
      <c r="N30" s="2069">
        <f>M30/$AA$3</f>
        <v/>
      </c>
      <c r="O30" s="2067" t="n"/>
      <c r="P30" s="2067" t="n">
        <v>10656.65</v>
      </c>
      <c r="Q30" s="2069">
        <f>P30/$AA$3</f>
        <v/>
      </c>
      <c r="R30" s="23" t="n"/>
      <c r="S30" s="2067">
        <f>SUMIF(Category,$B30,AmtBdgt)</f>
        <v/>
      </c>
      <c r="T30" s="1880">
        <f>S30/NRA</f>
        <v/>
      </c>
      <c r="U30" s="23" t="n"/>
      <c r="V30" s="33">
        <f>W30*NRA</f>
        <v/>
      </c>
      <c r="W30" s="2071">
        <f>[3]SummaryExpenseTbl!M38</f>
        <v/>
      </c>
      <c r="X30" s="43" t="n"/>
    </row>
    <row r="31" hidden="1" s="1439">
      <c r="C31" s="24" t="inlineStr">
        <is>
          <t>Replacement Reserves</t>
        </is>
      </c>
      <c r="D31" s="2094">
        <f>SUMIF(Category,$B31,AMTY1)</f>
        <v/>
      </c>
      <c r="E31" s="2068">
        <f>D31/NRA</f>
        <v/>
      </c>
      <c r="F31" s="23" t="n"/>
      <c r="G31" s="2094">
        <f>SUMIF(Category,$B31,AMTY2)</f>
        <v/>
      </c>
      <c r="H31" s="1880">
        <f>G31/NRA</f>
        <v/>
      </c>
      <c r="I31" s="23" t="n"/>
      <c r="J31" s="2094">
        <f>SUMIF(Category,$B31,AMTY3)</f>
        <v/>
      </c>
      <c r="K31" s="1880">
        <f>J31/NRA</f>
        <v/>
      </c>
      <c r="L31" s="23" t="n"/>
      <c r="M31" s="2067">
        <f>SUMIF(Category,$B31,AMTY4)</f>
        <v/>
      </c>
      <c r="N31" s="2069">
        <f>M31/$AA$3</f>
        <v/>
      </c>
      <c r="O31" s="2067" t="n"/>
      <c r="P31" s="2067">
        <f>SUMIF(Category,$B31,AMTY5)</f>
        <v/>
      </c>
      <c r="Q31" s="2069">
        <f>P31/$AA$3</f>
        <v/>
      </c>
      <c r="R31" s="23" t="n"/>
      <c r="S31" s="2067">
        <f>SUMIF(Category,$B31,AmtBdgt)</f>
        <v/>
      </c>
      <c r="T31" s="1880">
        <f>S31/NRA</f>
        <v/>
      </c>
      <c r="U31" s="23" t="n"/>
      <c r="V31" s="33">
        <f>W31*NRA</f>
        <v/>
      </c>
      <c r="W31" s="2071">
        <f>[3]SummaryExpenseTbl!M41</f>
        <v/>
      </c>
      <c r="X31" s="43" t="n"/>
    </row>
    <row r="32" hidden="1" s="1439">
      <c r="C32" s="24" t="n"/>
      <c r="D32" s="2095" t="n"/>
      <c r="E32" s="2068" t="n"/>
      <c r="F32" s="23" t="n"/>
      <c r="G32" s="2095" t="n"/>
      <c r="H32" s="1880" t="n"/>
      <c r="I32" s="23" t="n"/>
      <c r="J32" s="2095" t="n"/>
      <c r="K32" s="1880" t="n"/>
      <c r="L32" s="23" t="n"/>
      <c r="M32" s="2092" t="n"/>
      <c r="N32" s="1880" t="n"/>
      <c r="O32" s="23" t="n"/>
      <c r="P32" s="2092" t="n"/>
      <c r="Q32" s="1880" t="n"/>
      <c r="R32" s="23" t="n"/>
      <c r="S32" s="2092" t="n"/>
      <c r="T32" s="1880" t="n"/>
      <c r="U32" s="23" t="n"/>
      <c r="V32" s="2095" t="n"/>
      <c r="W32" s="1880" t="n"/>
      <c r="X32" s="2096" t="n"/>
    </row>
    <row r="33">
      <c r="C33" s="85" t="inlineStr">
        <is>
          <t>TOTAL EXPENSES</t>
        </is>
      </c>
      <c r="D33" s="2078">
        <f>SUM(D24:D25,D27:D31)</f>
        <v/>
      </c>
      <c r="E33" s="2079">
        <f>D33/NRA</f>
        <v/>
      </c>
      <c r="F33" s="2097" t="n"/>
      <c r="G33" s="2078">
        <f>SUM(G24:G25,G27:G31)</f>
        <v/>
      </c>
      <c r="H33" s="2080">
        <f>G33/NRA</f>
        <v/>
      </c>
      <c r="I33" s="2097" t="n"/>
      <c r="J33" s="2078">
        <f>SUM(J24:J25,J27:J31)</f>
        <v/>
      </c>
      <c r="K33" s="2080">
        <f>J33/NRA</f>
        <v/>
      </c>
      <c r="L33" s="2097" t="n"/>
      <c r="M33" s="2078">
        <f>SUM(M24:M25,M27:M30)</f>
        <v/>
      </c>
      <c r="N33" s="2081">
        <f>M33/$AA$3</f>
        <v/>
      </c>
      <c r="O33" s="2078" t="n"/>
      <c r="P33" s="2078">
        <f>SUM(P24:P25,P27:P30)</f>
        <v/>
      </c>
      <c r="Q33" s="2081">
        <f>P33/$AA$3</f>
        <v/>
      </c>
      <c r="R33" s="2097" t="n"/>
      <c r="S33" s="2074">
        <f>SUM(S24:S25,S27:S31)</f>
        <v/>
      </c>
      <c r="T33" s="1884">
        <f>S33/NRA</f>
        <v/>
      </c>
      <c r="U33" s="2098" t="n"/>
      <c r="V33" s="2074">
        <f>SUM(V24:V25,V27:V31)</f>
        <v/>
      </c>
      <c r="W33" s="1884">
        <f>V33/NRA</f>
        <v/>
      </c>
      <c r="X33" s="2076" t="n"/>
    </row>
    <row r="34">
      <c r="C34" s="42" t="n"/>
      <c r="D34" s="2099" t="n"/>
      <c r="E34" s="2075" t="n"/>
      <c r="F34" s="61" t="n"/>
      <c r="G34" s="2099" t="n"/>
      <c r="H34" s="1884" t="n"/>
      <c r="I34" s="61" t="n"/>
      <c r="J34" s="2099" t="n"/>
      <c r="K34" s="1884" t="n"/>
      <c r="L34" s="61" t="n"/>
      <c r="M34" s="2099" t="n"/>
      <c r="N34" s="1884" t="n"/>
      <c r="O34" s="61" t="n"/>
      <c r="P34" s="2099" t="n"/>
      <c r="Q34" s="1884" t="n"/>
      <c r="R34" s="61" t="n"/>
      <c r="S34" s="2099" t="n"/>
      <c r="T34" s="1884" t="n"/>
      <c r="U34" s="61" t="n"/>
      <c r="V34" s="2099" t="n"/>
      <c r="W34" s="1884" t="n"/>
      <c r="X34" s="2100" t="n"/>
    </row>
    <row r="35">
      <c r="C35" s="85" t="inlineStr">
        <is>
          <t>NET OPERATING INCOME (NOI)</t>
        </is>
      </c>
      <c r="D35" s="2078">
        <f>D22-D33</f>
        <v/>
      </c>
      <c r="E35" s="2079">
        <f>D35/NRA</f>
        <v/>
      </c>
      <c r="F35" s="88" t="n"/>
      <c r="G35" s="2078">
        <f>G22-G33</f>
        <v/>
      </c>
      <c r="H35" s="2080">
        <f>G35/NRA</f>
        <v/>
      </c>
      <c r="I35" s="88" t="n"/>
      <c r="J35" s="2078">
        <f>J22-J33</f>
        <v/>
      </c>
      <c r="K35" s="2080">
        <f>J35/NRA</f>
        <v/>
      </c>
      <c r="L35" s="88" t="n"/>
      <c r="M35" s="2078">
        <f>M22-M33</f>
        <v/>
      </c>
      <c r="N35" s="2081">
        <f>M35/$AA$3</f>
        <v/>
      </c>
      <c r="O35" s="2078" t="n"/>
      <c r="P35" s="2078">
        <f>P22-P33</f>
        <v/>
      </c>
      <c r="Q35" s="2081">
        <f>P35/$AA$3</f>
        <v/>
      </c>
      <c r="R35" s="88" t="n"/>
      <c r="S35" s="2101">
        <f>S22-S33</f>
        <v/>
      </c>
      <c r="T35" s="2102">
        <f>S35/NRA</f>
        <v/>
      </c>
      <c r="U35" s="64" t="n"/>
      <c r="V35" s="2101">
        <f>V22-V33</f>
        <v/>
      </c>
      <c r="W35" s="2102">
        <f>V35/NRA</f>
        <v/>
      </c>
      <c r="X35" s="2103"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39" min="4" max="4"/>
    <col hidden="1" width="10.7109375" customWidth="1" style="1439" min="5" max="5"/>
    <col width="14.28515625" bestFit="1" customWidth="1" style="1439" min="6" max="6"/>
    <col hidden="1" width="7.7109375" customWidth="1" style="1439" min="7" max="7"/>
    <col hidden="1" width="10.7109375" customWidth="1" style="1439" min="8" max="8"/>
    <col width="15.85546875" customWidth="1" style="1439" min="9" max="9"/>
    <col hidden="1" width="7.7109375" customWidth="1" style="1439" min="10" max="10"/>
    <col hidden="1" width="2.140625" customWidth="1" style="1439" min="11" max="11"/>
    <col width="14.140625" customWidth="1" style="1439" min="12" max="12"/>
    <col hidden="1" width="7.7109375" customWidth="1" style="1439" min="13" max="13"/>
    <col hidden="1" width="10.7109375" customWidth="1" style="1439" min="14" max="14"/>
    <col hidden="1" width="7.7109375" customWidth="1" style="1439" min="15" max="16"/>
    <col width="10.140625" bestFit="1" customWidth="1" style="143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39">
      <c r="D2" s="1552" t="inlineStr">
        <is>
          <t>COMPARABLE EXPENSES DATA</t>
        </is>
      </c>
    </row>
    <row r="3">
      <c r="D3" s="69" t="inlineStr">
        <is>
          <t>Comparable No.</t>
        </is>
      </c>
      <c r="E3" s="1640" t="n">
        <v>1</v>
      </c>
      <c r="H3" s="1640" t="n">
        <v>2</v>
      </c>
      <c r="K3" s="1640" t="n">
        <v>3</v>
      </c>
      <c r="N3" s="1640" t="n">
        <v>3</v>
      </c>
    </row>
    <row r="4" ht="12.75" customHeight="1" s="1439">
      <c r="D4" s="70" t="inlineStr">
        <is>
          <t>City</t>
        </is>
      </c>
      <c r="E4" s="80" t="inlineStr">
        <is>
          <t>Phoenix</t>
        </is>
      </c>
      <c r="F4" s="255" t="inlineStr">
        <is>
          <t>Highlands Ranch</t>
        </is>
      </c>
      <c r="G4" s="72" t="n"/>
      <c r="H4" s="80" t="inlineStr">
        <is>
          <t>Phoenix</t>
        </is>
      </c>
      <c r="I4" s="255" t="inlineStr">
        <is>
          <t>Denver</t>
        </is>
      </c>
      <c r="J4" s="71" t="n"/>
      <c r="K4" s="80" t="inlineStr">
        <is>
          <t>Phoenix</t>
        </is>
      </c>
      <c r="L4" s="255" t="inlineStr">
        <is>
          <t>Arvada</t>
        </is>
      </c>
      <c r="M4" s="71" t="n"/>
      <c r="N4" s="105" t="inlineStr">
        <is>
          <t>Denver</t>
        </is>
      </c>
      <c r="O4" s="71" t="n"/>
      <c r="P4" s="71" t="n"/>
    </row>
    <row r="5" ht="12.75" customHeight="1" s="1439" thickBot="1">
      <c r="D5" s="70" t="inlineStr">
        <is>
          <t>Year Built</t>
        </is>
      </c>
      <c r="E5" s="80" t="n">
        <v>2002</v>
      </c>
      <c r="F5" s="255" t="n">
        <v>2005</v>
      </c>
      <c r="G5" s="72" t="n"/>
      <c r="H5" s="80" t="n">
        <v>2005</v>
      </c>
      <c r="I5" s="255" t="inlineStr">
        <is>
          <t>1964, 1998</t>
        </is>
      </c>
      <c r="J5" s="71" t="n"/>
      <c r="K5" s="80" t="n">
        <v>2007</v>
      </c>
      <c r="L5" s="255" t="n">
        <v>2018</v>
      </c>
      <c r="M5" s="71" t="n"/>
      <c r="N5" s="105" t="n">
        <v>1999</v>
      </c>
      <c r="O5" s="71" t="n"/>
      <c r="P5" s="71" t="n"/>
      <c r="X5" s="113" t="n"/>
    </row>
    <row r="6" ht="12.75" customHeight="1" s="1439">
      <c r="D6" s="70" t="inlineStr">
        <is>
          <t>Rentable Area</t>
        </is>
      </c>
      <c r="E6" s="254" t="n">
        <v>78150</v>
      </c>
      <c r="F6" s="256" t="n">
        <v>10000</v>
      </c>
      <c r="G6" s="74" t="n"/>
      <c r="H6" s="254" t="n">
        <v>8181</v>
      </c>
      <c r="I6" s="256" t="n">
        <v>5627</v>
      </c>
      <c r="J6" s="73" t="n"/>
      <c r="K6" s="254" t="n">
        <v>15000</v>
      </c>
      <c r="L6" s="256" t="n">
        <v>10000</v>
      </c>
      <c r="M6" s="73" t="n"/>
      <c r="N6" s="106" t="n">
        <v>107760</v>
      </c>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3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04" t="n"/>
      <c r="U7" s="2104" t="n"/>
      <c r="V7" s="2104" t="n"/>
      <c r="W7" s="2105" t="n"/>
      <c r="X7" s="2106" t="n"/>
      <c r="Y7" s="2107" t="n"/>
      <c r="AA7" s="124" t="n"/>
      <c r="AB7" s="2108" t="n"/>
    </row>
    <row r="8" ht="12.75" customHeight="1" s="143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39">
      <c r="D9" s="261" t="inlineStr">
        <is>
          <t>Expenses</t>
        </is>
      </c>
      <c r="E9" s="251" t="n"/>
      <c r="F9" s="262" t="n"/>
      <c r="G9" s="75" t="n"/>
      <c r="H9" s="76" t="n"/>
      <c r="I9" s="2109" t="n"/>
      <c r="J9" s="250" t="n"/>
      <c r="K9" s="251" t="n"/>
      <c r="L9" s="262" t="n"/>
      <c r="M9" s="250" t="n"/>
      <c r="N9" s="77" t="n"/>
      <c r="O9" s="2068" t="n"/>
      <c r="P9" s="1553" t="n"/>
      <c r="T9" s="43" t="n"/>
      <c r="U9" s="43" t="n"/>
      <c r="V9" s="43" t="n"/>
      <c r="W9" s="126" t="n"/>
      <c r="X9" s="43" t="n"/>
      <c r="Y9" s="43" t="n"/>
      <c r="AA9" s="127" t="n"/>
      <c r="AB9" s="128" t="n"/>
    </row>
    <row r="10" ht="12.75" customHeight="1" s="1439">
      <c r="D10" s="166" t="inlineStr">
        <is>
          <t>Real Estate Taxes</t>
        </is>
      </c>
      <c r="E10" s="2110" t="n">
        <v>43077</v>
      </c>
      <c r="F10" s="2111" t="n">
        <v>4.5</v>
      </c>
      <c r="G10" s="75" t="n"/>
      <c r="H10" s="2112" t="n">
        <v>302806</v>
      </c>
      <c r="I10" s="2113" t="n">
        <v>6.78</v>
      </c>
      <c r="J10" s="253" t="n"/>
      <c r="K10" s="2110" t="n">
        <v>49012</v>
      </c>
      <c r="L10" s="2111" t="n">
        <v>2.75</v>
      </c>
      <c r="M10" s="250" t="n"/>
      <c r="N10" s="2114" t="n">
        <v>302806</v>
      </c>
      <c r="O10" s="2115">
        <f>N10/N6</f>
        <v/>
      </c>
      <c r="P10" s="93" t="n"/>
      <c r="Q10" s="1691">
        <f>AVERAGE(F10,I10,L10)</f>
        <v/>
      </c>
      <c r="T10" s="113">
        <f>F10</f>
        <v/>
      </c>
      <c r="U10" s="113">
        <f>I10</f>
        <v/>
      </c>
      <c r="V10" s="113">
        <f>L10</f>
        <v/>
      </c>
      <c r="W10" s="129">
        <f>IF(ISERROR(Q24),"",IF(Q24=0,"",Q24))</f>
        <v/>
      </c>
      <c r="X10" s="113">
        <f>MIN(T10:W10)</f>
        <v/>
      </c>
      <c r="Y10" s="113">
        <f>MAX(T10:W10)</f>
        <v/>
      </c>
      <c r="AA10" s="2116">
        <f>IF(X10=Y10,TEXT(X10,"$0.00;;-"),CONCATENATE(TEXT(X10,"$0.00;;-"),"–",TEXT(Y10,"$0.00;;-")))</f>
        <v/>
      </c>
      <c r="AB10" s="2117">
        <f>AVERAGE(T10:W10)</f>
        <v/>
      </c>
    </row>
    <row r="11" ht="12.75" customHeight="1" s="1439">
      <c r="D11" s="166" t="inlineStr">
        <is>
          <t>Insurance</t>
        </is>
      </c>
      <c r="E11" s="2110" t="n">
        <v>4426</v>
      </c>
      <c r="F11" s="2111" t="n">
        <v>0.72</v>
      </c>
      <c r="G11" s="75" t="n"/>
      <c r="H11" s="2112" t="n">
        <v>10776</v>
      </c>
      <c r="I11" s="2113" t="n">
        <v>1.5</v>
      </c>
      <c r="J11" s="253" t="n"/>
      <c r="K11" s="2110" t="n">
        <v>7129</v>
      </c>
      <c r="L11" s="2111" t="n">
        <v>1.35</v>
      </c>
      <c r="M11" s="250" t="n"/>
      <c r="N11" s="2114" t="n">
        <v>10776</v>
      </c>
      <c r="O11" s="2115">
        <f>N11/N6</f>
        <v/>
      </c>
      <c r="P11" s="93" t="n"/>
      <c r="Q11" s="1691">
        <f>AVERAGE(F11,I11,L11)</f>
        <v/>
      </c>
      <c r="T11" s="113">
        <f>F11</f>
        <v/>
      </c>
      <c r="U11" s="113">
        <f>I11</f>
        <v/>
      </c>
      <c r="V11" s="113">
        <f>L11</f>
        <v/>
      </c>
      <c r="W11" s="129">
        <f>IF(ISERROR(Q25),"",IF(Q25=0,"",Q25))</f>
        <v/>
      </c>
      <c r="X11" s="113">
        <f>MIN(T11:W11)</f>
        <v/>
      </c>
      <c r="Y11" s="113">
        <f>MAX(T11:W11)</f>
        <v/>
      </c>
      <c r="AA11" s="127">
        <f>IF(X11=Y11,TEXT(X11,"$0.00;;-"),CONCATENATE(TEXT(X11,"$0.00;;-"),"–",TEXT(Y11,"$0.00;;-")))</f>
        <v/>
      </c>
      <c r="AB11" s="2117">
        <f>AVERAGE(T11:W11)</f>
        <v/>
      </c>
    </row>
    <row r="12" ht="12.75" customHeight="1" s="1439">
      <c r="D12" s="166" t="inlineStr">
        <is>
          <t>Utilities</t>
        </is>
      </c>
      <c r="E12" s="2110" t="n">
        <v>0</v>
      </c>
      <c r="F12" s="2111" t="n">
        <v>1.5</v>
      </c>
      <c r="G12" s="75" t="n"/>
      <c r="H12" s="2112" t="n">
        <v>0</v>
      </c>
      <c r="I12" s="2113" t="n">
        <v>2.23</v>
      </c>
      <c r="J12" s="253" t="n"/>
      <c r="K12" s="2110" t="n">
        <v>2896</v>
      </c>
      <c r="L12" s="2111" t="n">
        <v>1.75</v>
      </c>
      <c r="M12" s="250" t="n"/>
      <c r="N12" s="2114" t="n">
        <v>0</v>
      </c>
      <c r="O12" s="2115">
        <f>N12/N6</f>
        <v/>
      </c>
      <c r="P12" s="93" t="n"/>
      <c r="T12" s="113">
        <f>F12</f>
        <v/>
      </c>
      <c r="U12" s="113">
        <f>I12</f>
        <v/>
      </c>
      <c r="V12" s="113">
        <f>L12</f>
        <v/>
      </c>
      <c r="W12" s="129">
        <f>IF(ISERROR(Q26),"",IF(Q26=0,"",Q26))</f>
        <v/>
      </c>
      <c r="X12" s="113">
        <f>MIN(T12:W12)</f>
        <v/>
      </c>
      <c r="Y12" s="113">
        <f>MAX(T12:W12)</f>
        <v/>
      </c>
      <c r="AA12" s="127">
        <f>IF(X12=Y12,TEXT(X12,"$0.00;;-"),CONCATENATE(TEXT(X12,"$0.00;;-"),"–",TEXT(Y12,"$0.00;;-")))</f>
        <v/>
      </c>
      <c r="AB12" s="2117">
        <f>AVERAGE(T12:W12)</f>
        <v/>
      </c>
    </row>
    <row r="13" ht="12.75" customHeight="1" s="1439">
      <c r="D13" s="166" t="inlineStr">
        <is>
          <t>CAM Repairs and Maintenace</t>
        </is>
      </c>
      <c r="E13" s="2110" t="n">
        <v>16761</v>
      </c>
      <c r="F13" s="2111" t="n">
        <v>2</v>
      </c>
      <c r="G13" s="75" t="n"/>
      <c r="H13" s="2112" t="n">
        <v>84053</v>
      </c>
      <c r="I13" s="2113" t="n">
        <v>1.5</v>
      </c>
      <c r="J13" s="253" t="n"/>
      <c r="K13" s="2110" t="n">
        <v>16040</v>
      </c>
      <c r="L13" s="2111" t="n">
        <v>1</v>
      </c>
      <c r="M13" s="250" t="n"/>
      <c r="N13" s="2114" t="n">
        <v>84053</v>
      </c>
      <c r="O13" s="2115">
        <f>N13/N6</f>
        <v/>
      </c>
      <c r="P13" s="93" t="n"/>
      <c r="T13" s="113">
        <f>F13</f>
        <v/>
      </c>
      <c r="U13" s="113">
        <f>I13</f>
        <v/>
      </c>
      <c r="V13" s="113">
        <f>L13</f>
        <v/>
      </c>
      <c r="W13" s="129">
        <f>IF(ISERROR(Q27),"",IF(Q27=0,"",Q27))</f>
        <v/>
      </c>
      <c r="X13" s="113">
        <f>MIN(T13:W13)</f>
        <v/>
      </c>
      <c r="Y13" s="113">
        <f>MAX(T13:W13)</f>
        <v/>
      </c>
      <c r="AA13" s="127">
        <f>IF(X13=Y13,TEXT(X13,"$0.00;;-"),CONCATENATE(TEXT(X13,"$0.00;;-"),"–",TEXT(Y13,"$0.00;;-")))</f>
        <v/>
      </c>
      <c r="AB13" s="2117">
        <f>AVERAGE(T13:W13)</f>
        <v/>
      </c>
    </row>
    <row r="14" hidden="1" ht="12.75" customHeight="1" s="1439">
      <c r="D14" s="166" t="inlineStr">
        <is>
          <t>Administrative and General</t>
        </is>
      </c>
      <c r="E14" s="2110" t="n">
        <v>0</v>
      </c>
      <c r="F14" s="2111">
        <f>E14/E6</f>
        <v/>
      </c>
      <c r="G14" s="75" t="n"/>
      <c r="H14" s="2112" t="n">
        <v>0</v>
      </c>
      <c r="I14" s="2113">
        <f>H14/H6</f>
        <v/>
      </c>
      <c r="J14" s="253" t="n"/>
      <c r="K14" s="2110" t="n">
        <v>0</v>
      </c>
      <c r="L14" s="2111">
        <f>K14/K6</f>
        <v/>
      </c>
      <c r="M14" s="250" t="n"/>
      <c r="N14" s="2114" t="n">
        <v>0</v>
      </c>
      <c r="O14" s="2115">
        <f>N14/N6</f>
        <v/>
      </c>
      <c r="P14" s="93" t="n"/>
      <c r="T14" s="113">
        <f>F14</f>
        <v/>
      </c>
      <c r="U14" s="113">
        <f>I14</f>
        <v/>
      </c>
      <c r="V14" s="113">
        <f>L14</f>
        <v/>
      </c>
      <c r="W14" s="129">
        <f>IF(ISERROR(Q28),"",IF(Q28=0,"",Q28))</f>
        <v/>
      </c>
      <c r="X14" s="113">
        <f>MIN(T14:W14)</f>
        <v/>
      </c>
      <c r="Y14" s="113">
        <f>MAX(T14:W14)</f>
        <v/>
      </c>
      <c r="AA14" s="127">
        <f>IF(X14=Y14,TEXT(X14,"$0.00;;-"),CONCATENATE(TEXT(X14,"$0.00;;-"),"–",TEXT(Y14,"$0.00;;-")))</f>
        <v/>
      </c>
      <c r="AB14" s="2117">
        <f>AVERAGE(T14:W14)</f>
        <v/>
      </c>
    </row>
    <row r="15" ht="12.75" customHeight="1" s="1439">
      <c r="D15" s="166" t="inlineStr">
        <is>
          <t>Management</t>
        </is>
      </c>
      <c r="E15" s="2110" t="n">
        <v>7103</v>
      </c>
      <c r="F15" s="2111" t="inlineStr">
        <is>
          <t>N/R</t>
        </is>
      </c>
      <c r="G15" s="75" t="n"/>
      <c r="H15" s="2112" t="n">
        <v>30173</v>
      </c>
      <c r="I15" s="2113" t="inlineStr">
        <is>
          <t>N/R</t>
        </is>
      </c>
      <c r="J15" s="253" t="n"/>
      <c r="K15" s="2110" t="n">
        <v>0</v>
      </c>
      <c r="L15" s="2111" t="inlineStr">
        <is>
          <t>N/R</t>
        </is>
      </c>
      <c r="M15" s="250" t="n"/>
      <c r="N15" s="2114" t="n">
        <v>30173</v>
      </c>
      <c r="O15" s="2115">
        <f>N15/N6</f>
        <v/>
      </c>
      <c r="P15" s="93" t="n"/>
      <c r="T15" s="113">
        <f>F15</f>
        <v/>
      </c>
      <c r="U15" s="113">
        <f>I15</f>
        <v/>
      </c>
      <c r="V15" s="113">
        <f>L15</f>
        <v/>
      </c>
      <c r="W15" s="129">
        <f>IF(ISERROR(Q29),"",IF(Q29=0,"",Q29))</f>
        <v/>
      </c>
      <c r="X15" s="113">
        <f>MIN(T15:W15)</f>
        <v/>
      </c>
      <c r="Y15" s="113">
        <f>MAX(T15:W15)</f>
        <v/>
      </c>
      <c r="AA15" s="127">
        <f>IF(X15=Y15,TEXT(X15,"$0.00;;-"),CONCATENATE(TEXT(X15,"$0.00;;-"),"–",TEXT(Y15,"$0.00;;-")))</f>
        <v/>
      </c>
      <c r="AB15" s="2117">
        <f>AVERAGE(T15:W15)</f>
        <v/>
      </c>
    </row>
    <row r="16" hidden="1" ht="12.75" customHeight="1" s="1439">
      <c r="D16" s="24" t="inlineStr">
        <is>
          <t>Replacement Reserves</t>
        </is>
      </c>
      <c r="E16" s="2112" t="n">
        <v>0</v>
      </c>
      <c r="F16" s="2068">
        <f>E16/E6</f>
        <v/>
      </c>
      <c r="G16" s="75" t="n"/>
      <c r="H16" s="2112" t="n">
        <v>0</v>
      </c>
      <c r="I16" s="2115">
        <f>H16/H6</f>
        <v/>
      </c>
      <c r="J16" s="93" t="n"/>
      <c r="K16" s="2112" t="n">
        <v>0</v>
      </c>
      <c r="L16" s="2068">
        <f>K16/K6</f>
        <v/>
      </c>
      <c r="M16" s="1553" t="n"/>
      <c r="N16" s="2114" t="n">
        <v>0</v>
      </c>
      <c r="O16" s="2115">
        <f>N16/N6</f>
        <v/>
      </c>
      <c r="P16" s="93" t="n"/>
      <c r="T16" s="113">
        <f>F16</f>
        <v/>
      </c>
      <c r="U16" s="113">
        <f>I16</f>
        <v/>
      </c>
      <c r="V16" s="113">
        <f>I16</f>
        <v/>
      </c>
      <c r="W16" s="129">
        <f>IF(ISERROR(Q30),"",IF(Q30=0,"",Q30))</f>
        <v/>
      </c>
      <c r="X16" s="113">
        <f>MIN(T16:W16)</f>
        <v/>
      </c>
      <c r="Y16" s="113">
        <f>MAX(T16:W16)</f>
        <v/>
      </c>
      <c r="AA16" s="127">
        <f>IF(X16=Y16,TEXT(X16,"$0.00;;-"),CONCATENATE(TEXT(X16,"$0.00;;-"),"–",TEXT(Y16,"$0.00;;-")))</f>
        <v/>
      </c>
      <c r="AB16" s="2117">
        <f>AVERAGE(T16:W16)</f>
        <v/>
      </c>
    </row>
    <row r="17" ht="12.75" customHeight="1" s="1439">
      <c r="D17" s="109" t="inlineStr">
        <is>
          <t>Total Expenses</t>
        </is>
      </c>
      <c r="E17" s="2118">
        <f>SUM(E10:E16)</f>
        <v/>
      </c>
      <c r="F17" s="2119">
        <f>SUM(F10:F15)</f>
        <v/>
      </c>
      <c r="G17" s="259" t="n"/>
      <c r="H17" s="2120">
        <f>SUM(H10:H16)</f>
        <v/>
      </c>
      <c r="I17" s="2119">
        <f>SUM(I10:I15)</f>
        <v/>
      </c>
      <c r="J17" s="111" t="n"/>
      <c r="K17" s="2118">
        <f>SUM(K10:K16)</f>
        <v/>
      </c>
      <c r="L17" s="2119">
        <f>SUM(L9:L15)</f>
        <v/>
      </c>
      <c r="M17" s="111" t="n"/>
      <c r="N17" s="2121">
        <f>SUM(N10:N16)</f>
        <v/>
      </c>
      <c r="O17" s="2102">
        <f>N17/N6</f>
        <v/>
      </c>
      <c r="P17" s="79" t="n"/>
      <c r="T17" s="113">
        <f>F17</f>
        <v/>
      </c>
      <c r="U17" s="113">
        <f>I17</f>
        <v/>
      </c>
      <c r="V17" s="113">
        <f>L17</f>
        <v/>
      </c>
      <c r="W17" s="129">
        <f>IF(ISERROR(Q31),"",IF(Q31=0,"",Q31))</f>
        <v/>
      </c>
      <c r="X17" s="113">
        <f>MIN(T17:W17)</f>
        <v/>
      </c>
      <c r="Y17" s="113">
        <f>MAX(T17:W17)</f>
        <v/>
      </c>
      <c r="AA17" s="127">
        <f>IF(X17=Y17,TEXT(X17,"$0.00;;-"),CONCATENATE(TEXT(X17,"$0.00;;-"),"–",TEXT(Y17,"$0.00;;-")))</f>
        <v/>
      </c>
      <c r="AB17" s="2117">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17">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17">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17">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17">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17">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17">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17">
        <f>AVERAGE(T24:W24)</f>
        <v/>
      </c>
    </row>
    <row r="25" ht="15.75" customHeight="1" s="1439" thickBot="1">
      <c r="T25" s="113">
        <f>IF(H39=0,"",H39)</f>
        <v/>
      </c>
      <c r="U25" s="113">
        <f>IF(K39=0,"",K39)</f>
        <v/>
      </c>
      <c r="V25" s="113">
        <f>IF(N39=0,"",N39)</f>
        <v/>
      </c>
      <c r="W25" s="129">
        <f>IF(Q39=0,"",Q39)</f>
        <v/>
      </c>
      <c r="X25" s="113">
        <f>MIN(T25:W25)</f>
        <v/>
      </c>
      <c r="Y25" s="113">
        <f>MAX(T25:W25)</f>
        <v/>
      </c>
      <c r="AA25" s="133">
        <f>IF(X25=Y25,TEXT(X25,"$0.00;;-"),CONCATENATE(TEXT(X25,"$0.00;;-"),"–",TEXT(Y25,"$0.00;;-")))</f>
        <v/>
      </c>
      <c r="AB25" s="2122">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3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23">
        <f>IF(X29=Y29,TEXT(X29,"$0.00;;-"),CONCATENATE(TEXT(X29,"$0.00;;-"),"–",TEXT(Y29,"$0.00;;-")))</f>
        <v/>
      </c>
      <c r="AB29" s="141">
        <f>IF(SUM(T29:W29)=0,0,ROUND(AVERAGE(T29:W29),2))</f>
        <v/>
      </c>
    </row>
    <row r="30" ht="15.75" customHeight="1" s="1439" thickBot="1">
      <c r="T30" s="135">
        <f>G44</f>
        <v/>
      </c>
      <c r="U30" s="135">
        <f>J44</f>
        <v/>
      </c>
      <c r="V30" s="135">
        <f>M44</f>
        <v/>
      </c>
      <c r="W30" s="135">
        <f>P44</f>
        <v/>
      </c>
      <c r="X30" s="135">
        <f>MIN(T30:W30)</f>
        <v/>
      </c>
      <c r="Y30" s="135">
        <f>MAX(T30:W30)</f>
        <v/>
      </c>
      <c r="AA30" s="2124">
        <f>IF(X30=Y30,TEXT(X30,"0%;-"),CONCATENATE(TEXT(X30,"0%;-"),"–",TEXT(Y30,"0%;-")))</f>
        <v/>
      </c>
      <c r="AB30" s="143">
        <f>IF(SUM(T30:W30)=0,0,ROUND(AVERAGE(T30:W30),3))</f>
        <v/>
      </c>
    </row>
    <row r="45">
      <c r="T45" s="135" t="n"/>
      <c r="U45" s="135" t="n"/>
      <c r="V45" s="135" t="n"/>
      <c r="W45" s="135" t="n"/>
      <c r="X45" s="135" t="n"/>
      <c r="Y45" s="135" t="n"/>
      <c r="AA45" s="2125" t="n"/>
      <c r="AB45" s="2126"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39" min="5" max="5"/>
    <col width="10.7109375" customWidth="1" style="1439" min="6" max="7"/>
    <col hidden="1" width="10.140625" customWidth="1" style="1439" min="8" max="8"/>
    <col hidden="1" width="13" customWidth="1" style="1439" min="9" max="9"/>
    <col width="9.85546875" bestFit="1" customWidth="1" style="1439" min="10" max="10"/>
    <col hidden="1" width="40" customWidth="1" style="1439" min="11" max="11"/>
    <col hidden="1" width="13" customWidth="1" style="1439" min="15" max="15"/>
  </cols>
  <sheetData>
    <row r="2" ht="15.75" customHeight="1" s="1439">
      <c r="E2" s="1641"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27">
        <f>CED!AA10</f>
        <v/>
      </c>
      <c r="G5" s="2128">
        <f>CED!AB10</f>
        <v/>
      </c>
      <c r="H5" s="2129">
        <f>HOA!M24</f>
        <v/>
      </c>
      <c r="I5" s="2129">
        <f>HOA!P24</f>
        <v/>
      </c>
      <c r="J5" s="2130" t="n">
        <v>38203</v>
      </c>
      <c r="K5" s="2131" t="inlineStr">
        <is>
          <t>Taxes were previously concluded in the tax section of this report.</t>
        </is>
      </c>
    </row>
    <row r="6">
      <c r="E6" s="96" t="n"/>
      <c r="H6" s="2132">
        <f>H5/$O$2</f>
        <v/>
      </c>
      <c r="I6" s="2132">
        <f>I5/$O$2</f>
        <v/>
      </c>
      <c r="J6" s="2133">
        <f>J5/$O$2</f>
        <v/>
      </c>
    </row>
    <row r="7" ht="8.1" customHeight="1" s="1439">
      <c r="E7" s="96" t="n"/>
      <c r="F7" s="2134" t="n"/>
      <c r="G7" s="2129" t="n"/>
      <c r="H7" s="2129" t="n"/>
      <c r="I7" s="2129" t="n"/>
      <c r="J7" s="2135" t="n"/>
    </row>
    <row r="8">
      <c r="E8" s="96" t="inlineStr">
        <is>
          <t>Insurance</t>
        </is>
      </c>
      <c r="F8" s="2127">
        <f>CED!AA11</f>
        <v/>
      </c>
      <c r="G8" s="2128">
        <f>CED!AB11</f>
        <v/>
      </c>
      <c r="H8" s="2129">
        <f>HOA!M25</f>
        <v/>
      </c>
      <c r="I8" s="2129">
        <f>HOA!P25</f>
        <v/>
      </c>
      <c r="J8" s="2130">
        <f>J9*C3</f>
        <v/>
      </c>
      <c r="K8" s="2131" t="inlineStr">
        <is>
          <t xml:space="preserve">We apply an insurance expece for the subject near the middle of the comparables. </t>
        </is>
      </c>
    </row>
    <row r="9">
      <c r="E9" s="96" t="n"/>
      <c r="H9" s="2132">
        <f>H8/$O$2</f>
        <v/>
      </c>
      <c r="I9" s="2132">
        <f>I8/$O$2</f>
        <v/>
      </c>
      <c r="J9" s="2133" t="n">
        <v>1.25</v>
      </c>
    </row>
    <row r="10" ht="13.5" customHeight="1" s="1439">
      <c r="E10" s="96" t="n"/>
      <c r="F10" s="2136" t="n"/>
      <c r="G10" s="2129" t="n"/>
      <c r="H10" s="2129" t="n"/>
      <c r="I10" s="2129" t="n"/>
      <c r="J10" s="2135" t="n"/>
    </row>
    <row r="11">
      <c r="E11" s="103" t="inlineStr">
        <is>
          <t>Utilities</t>
        </is>
      </c>
      <c r="F11" s="2127">
        <f>CED!AA12</f>
        <v/>
      </c>
      <c r="G11" s="2128">
        <f>CED!AB12</f>
        <v/>
      </c>
      <c r="H11" s="2129">
        <f>HOA!M27</f>
        <v/>
      </c>
      <c r="I11" s="2129">
        <f>HOA!P27</f>
        <v/>
      </c>
      <c r="J11" s="2130">
        <f>J12*C3</f>
        <v/>
      </c>
      <c r="K11" s="2137" t="inlineStr">
        <is>
          <t xml:space="preserve">Comparables indicate a range of utility expenses between $1.50 and $2.23 per square foot. We apply a utilities expense for the subject near the middle of the range of comparables. </t>
        </is>
      </c>
    </row>
    <row r="12">
      <c r="E12" s="103" t="n"/>
      <c r="H12" s="2132">
        <f>H11/$O$2</f>
        <v/>
      </c>
      <c r="I12" s="2132">
        <f>I11/$O$2</f>
        <v/>
      </c>
      <c r="J12" s="2133" t="n">
        <v>1.5</v>
      </c>
    </row>
    <row r="13" ht="11.25" customHeight="1" s="1439">
      <c r="E13" s="103" t="n"/>
      <c r="F13" s="101" t="n"/>
      <c r="G13" s="2138" t="n"/>
      <c r="H13" s="2138" t="n"/>
      <c r="I13" s="2138" t="n"/>
      <c r="J13" s="2135" t="n"/>
    </row>
    <row r="14">
      <c r="E14" s="103" t="inlineStr">
        <is>
          <t>CAM Repairs and Maintenance</t>
        </is>
      </c>
      <c r="F14" s="2127">
        <f>CED!AA13</f>
        <v/>
      </c>
      <c r="G14" s="2128">
        <f>CED!AB13</f>
        <v/>
      </c>
      <c r="H14" s="2139">
        <f>HOA!M28</f>
        <v/>
      </c>
      <c r="I14" s="2139">
        <f>HOA!P28</f>
        <v/>
      </c>
      <c r="J14" s="2130">
        <f>J15*C3</f>
        <v/>
      </c>
      <c r="K14" s="2137" t="inlineStr">
        <is>
          <t>We conclude to an expense near the average of the comparables.</t>
        </is>
      </c>
    </row>
    <row r="15">
      <c r="E15" s="103" t="n"/>
      <c r="H15" s="2140">
        <f>H14/$O$2</f>
        <v/>
      </c>
      <c r="I15" s="2140">
        <f>I14/$O$2</f>
        <v/>
      </c>
      <c r="J15" s="2133" t="n">
        <v>1.5</v>
      </c>
    </row>
    <row r="16" ht="10.5" customHeight="1" s="1439">
      <c r="E16" s="103" t="n"/>
      <c r="F16" s="101" t="n"/>
      <c r="G16" s="2138" t="n"/>
      <c r="H16" s="2141" t="n"/>
      <c r="I16" s="2141" t="n"/>
      <c r="J16" s="2135" t="n"/>
    </row>
    <row r="17">
      <c r="E17" s="103" t="inlineStr">
        <is>
          <t>Management</t>
        </is>
      </c>
      <c r="F17" s="2138" t="inlineStr">
        <is>
          <t>N/R</t>
        </is>
      </c>
      <c r="G17" s="2134" t="inlineStr">
        <is>
          <t>N/R</t>
        </is>
      </c>
      <c r="H17" s="2139">
        <f>HOA!M30</f>
        <v/>
      </c>
      <c r="I17" s="2139">
        <f>HOA!P30</f>
        <v/>
      </c>
      <c r="J17" s="2130">
        <f>PF!G9*0.03</f>
        <v/>
      </c>
      <c r="K17" s="2137" t="inlineStr">
        <is>
          <t>Typical management expenses for similar properties range from 2% to 5% of EGI.  We conclude to an expense near 3% of EGI, which is within the range of the comparables on a PSF basis.</t>
        </is>
      </c>
    </row>
    <row r="18">
      <c r="E18" s="103" t="n"/>
      <c r="H18" s="2140">
        <f>H17/$O$2</f>
        <v/>
      </c>
      <c r="I18" s="2140">
        <f>I17/$O$2</f>
        <v/>
      </c>
      <c r="J18" s="2133">
        <f>J17/C3</f>
        <v/>
      </c>
    </row>
    <row r="19" ht="10.5" customHeight="1" s="1439">
      <c r="E19" s="103" t="n"/>
      <c r="F19" s="101" t="n"/>
      <c r="G19" s="2138" t="n"/>
      <c r="H19" s="2141" t="n"/>
      <c r="I19" s="2141" t="n"/>
      <c r="J19" s="2135" t="n"/>
    </row>
    <row r="20" hidden="1" s="1439">
      <c r="E20" s="103" t="inlineStr">
        <is>
          <t>Replacement Reserves</t>
        </is>
      </c>
      <c r="H20" s="2138">
        <f>H21/NRA</f>
        <v/>
      </c>
      <c r="I20" s="2138">
        <f>I21/NRA</f>
        <v/>
      </c>
      <c r="J20" s="2142" t="n">
        <v>0</v>
      </c>
      <c r="K20" s="2143" t="n"/>
    </row>
    <row r="21" hidden="1" s="1439">
      <c r="E21" s="103" t="n"/>
      <c r="F21" s="2138" t="n">
        <v>0</v>
      </c>
      <c r="G21" s="2138" t="n">
        <v>0</v>
      </c>
      <c r="H21" s="2138" t="n">
        <v>0</v>
      </c>
      <c r="I21" s="2138" t="n">
        <v>0</v>
      </c>
      <c r="J21" s="2144">
        <f>J20/$O$2</f>
        <v/>
      </c>
    </row>
    <row r="22" hidden="1" s="1439">
      <c r="E22" s="103" t="n"/>
      <c r="F22" s="101" t="n"/>
      <c r="G22" s="2138" t="n"/>
      <c r="H22" s="2138" t="n"/>
      <c r="I22" s="2138" t="n"/>
      <c r="J22" s="2145" t="n"/>
    </row>
    <row r="23" ht="12.75" customHeight="1" s="1439">
      <c r="E23" s="153" t="inlineStr">
        <is>
          <t>Total Operating Expenses</t>
        </is>
      </c>
      <c r="F23" s="163" t="n"/>
      <c r="G23" s="2146" t="n"/>
      <c r="H23" s="2147">
        <f>SUM(H5,H8,H11,H14,H17,H20)</f>
        <v/>
      </c>
      <c r="I23" s="2147">
        <f>SUM(I5,I8,I11,I14,I17,I20)</f>
        <v/>
      </c>
      <c r="J23" s="2148">
        <f>SUM(J5,J8,J11,J14,J17)</f>
        <v/>
      </c>
      <c r="K23" s="2149" t="n"/>
    </row>
    <row r="24" ht="12.75" customHeight="1" s="1439">
      <c r="E24" s="158" t="inlineStr">
        <is>
          <t>Total Operating Expenses Per SF</t>
        </is>
      </c>
      <c r="F24" s="2150" t="n"/>
      <c r="G24" s="2151" t="n"/>
      <c r="H24" s="2152">
        <f>SUM(H6,H9,H12,H15,H18,H21)</f>
        <v/>
      </c>
      <c r="I24" s="2152">
        <f>SUM(I6,I9,I12,I15,I18,I21)</f>
        <v/>
      </c>
      <c r="J24" s="2153">
        <f>J23/C3</f>
        <v/>
      </c>
      <c r="K24" s="162" t="n"/>
    </row>
    <row r="28">
      <c r="H28" s="2027">
        <f>H17/HOA!M22</f>
        <v/>
      </c>
      <c r="I28" s="2027">
        <f>I17/HOA!P22</f>
        <v/>
      </c>
    </row>
    <row r="29">
      <c r="H29" s="151">
        <f>J23</f>
        <v/>
      </c>
    </row>
    <row r="30">
      <c r="H30" t="n">
        <v>0</v>
      </c>
    </row>
    <row r="31">
      <c r="H31" s="151">
        <f>SUM(H29:H30)</f>
        <v/>
      </c>
    </row>
    <row r="32">
      <c r="H32" t="n">
        <v>0</v>
      </c>
    </row>
    <row r="34">
      <c r="H34" s="151">
        <f>SUM(H31:H32)</f>
        <v/>
      </c>
      <c r="I34">
        <f>J17</f>
        <v/>
      </c>
      <c r="J34" s="152">
        <f>I34/H34</f>
        <v/>
      </c>
    </row>
  </sheetData>
  <mergeCells count="17">
    <mergeCell ref="G5:G6"/>
    <mergeCell ref="G17:G18"/>
    <mergeCell ref="F5:F6"/>
    <mergeCell ref="G8:G9"/>
    <mergeCell ref="K17:K19"/>
    <mergeCell ref="F8:F9"/>
    <mergeCell ref="F17:F18"/>
    <mergeCell ref="K11:K13"/>
    <mergeCell ref="K20:K22"/>
    <mergeCell ref="K8:K10"/>
    <mergeCell ref="K5:K7"/>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39" min="5" max="5"/>
    <col width="6.5703125" customWidth="1" style="1439" min="6" max="6"/>
    <col width="9.5703125" bestFit="1" customWidth="1" style="1439" min="7" max="7"/>
  </cols>
  <sheetData>
    <row r="2" ht="15.75" customHeight="1" s="1439">
      <c r="E2" s="1649" t="inlineStr">
        <is>
          <t>PRO FORMA OPERATIONS</t>
        </is>
      </c>
      <c r="F2" s="1650" t="n"/>
      <c r="G2" s="1650" t="n"/>
      <c r="H2" s="1650" t="n"/>
    </row>
    <row r="3" ht="15" customHeight="1" s="1439">
      <c r="E3" s="1" t="inlineStr">
        <is>
          <t>Income</t>
        </is>
      </c>
      <c r="F3" s="1" t="n"/>
      <c r="G3" s="167" t="inlineStr">
        <is>
          <t>$</t>
        </is>
      </c>
      <c r="H3" s="167" t="inlineStr">
        <is>
          <t>Per SF</t>
        </is>
      </c>
    </row>
    <row r="4" ht="12.75" customHeight="1" s="1439">
      <c r="E4" s="168" t="inlineStr">
        <is>
          <t>Gross Potential Rent</t>
        </is>
      </c>
      <c r="F4" s="169" t="n"/>
      <c r="G4" s="2154">
        <f>'Income Approach'!D37</f>
        <v/>
      </c>
      <c r="H4" s="2155">
        <f>G4/LA!C5</f>
        <v/>
      </c>
    </row>
    <row r="5" ht="12.75" customHeight="1" s="1439">
      <c r="E5" s="168" t="inlineStr">
        <is>
          <t>Expense Recoveries</t>
        </is>
      </c>
      <c r="F5" s="169" t="n"/>
      <c r="G5" s="2156" t="n">
        <v>0</v>
      </c>
      <c r="H5" s="2155">
        <f>G5/LA!C5</f>
        <v/>
      </c>
    </row>
    <row r="6" ht="12.75" customHeight="1" s="1439">
      <c r="E6" s="188" t="inlineStr">
        <is>
          <t>Total Potential Gross Income</t>
        </is>
      </c>
      <c r="F6" s="207" t="n"/>
      <c r="G6" s="2157">
        <f>SUM(G4:G5)</f>
        <v/>
      </c>
      <c r="H6" s="2158">
        <f>G6/LA!C5</f>
        <v/>
      </c>
    </row>
    <row r="7" ht="12.75" customHeight="1" s="1439">
      <c r="E7" s="168" t="inlineStr">
        <is>
          <t>Less Vacancy/Collection Loss</t>
        </is>
      </c>
      <c r="F7" s="171">
        <f>'Income Approach'!D22</f>
        <v/>
      </c>
      <c r="G7" s="2159">
        <f>-(F7*G6)</f>
        <v/>
      </c>
      <c r="H7" s="2155">
        <f>G7/LA!C5</f>
        <v/>
      </c>
    </row>
    <row r="8" hidden="1" ht="12.75" customHeight="1" s="1439">
      <c r="E8" s="168" t="inlineStr">
        <is>
          <t>Less Collection Loss</t>
        </is>
      </c>
      <c r="F8" s="171" t="n">
        <v>0</v>
      </c>
      <c r="G8" s="2159">
        <f>-(F8*G6)</f>
        <v/>
      </c>
      <c r="H8" s="2155">
        <f>G8/LA!C5</f>
        <v/>
      </c>
    </row>
    <row r="9" ht="12.75" customHeight="1" s="1439">
      <c r="E9" s="188" t="inlineStr">
        <is>
          <t>Effective Gross Income (EGI)</t>
        </is>
      </c>
      <c r="F9" s="207" t="n"/>
      <c r="G9" s="2157">
        <f>SUM(G6:G8)</f>
        <v/>
      </c>
      <c r="H9" s="2160">
        <f>G9/LA!C5</f>
        <v/>
      </c>
    </row>
    <row r="10" ht="15" customHeight="1" s="1439">
      <c r="E10" s="173" t="inlineStr">
        <is>
          <t xml:space="preserve">Expenses  </t>
        </is>
      </c>
      <c r="F10" s="174" t="n"/>
      <c r="G10" s="2161" t="n"/>
      <c r="H10" s="2162" t="n"/>
    </row>
    <row r="11" ht="12.75" customHeight="1" s="1439">
      <c r="E11" s="168" t="inlineStr">
        <is>
          <t>Real Estate Taxes</t>
        </is>
      </c>
      <c r="F11" s="177" t="n"/>
      <c r="G11" s="2159" t="n">
        <v>0</v>
      </c>
      <c r="H11" s="2163">
        <f>G11/LA!$C$5</f>
        <v/>
      </c>
    </row>
    <row r="12" ht="12.75" customHeight="1" s="1439">
      <c r="E12" s="168" t="inlineStr">
        <is>
          <t>Insurance</t>
        </is>
      </c>
      <c r="F12" s="177" t="n"/>
      <c r="G12" s="2159" t="n">
        <v>0</v>
      </c>
      <c r="H12" s="2163">
        <f>G12/LA!$C$5</f>
        <v/>
      </c>
    </row>
    <row r="13" ht="12.75" customHeight="1" s="1439">
      <c r="E13" s="168" t="inlineStr">
        <is>
          <t>Utilities</t>
        </is>
      </c>
      <c r="F13" s="177" t="n"/>
      <c r="G13" s="2159" t="n">
        <v>0</v>
      </c>
      <c r="H13" s="2163">
        <f>G13/LA!$C$5</f>
        <v/>
      </c>
    </row>
    <row r="14" ht="12.75" customHeight="1" s="1439">
      <c r="E14" s="168" t="inlineStr">
        <is>
          <t>CAM Repairs and Maintenance</t>
        </is>
      </c>
      <c r="F14" s="169" t="n"/>
      <c r="G14" s="2159" t="n">
        <v>0</v>
      </c>
      <c r="H14" s="2163">
        <f>G14/LA!$C$5</f>
        <v/>
      </c>
    </row>
    <row r="15" ht="12.75" customHeight="1" s="1439">
      <c r="E15" s="168" t="inlineStr">
        <is>
          <t>Management</t>
        </is>
      </c>
      <c r="F15" s="169" t="n"/>
      <c r="G15" s="2159" t="n">
        <v>0</v>
      </c>
      <c r="H15" s="2163">
        <f>G15/LA!$C$5</f>
        <v/>
      </c>
    </row>
    <row r="16" ht="12.75" customHeight="1" s="1439">
      <c r="E16" s="168" t="inlineStr">
        <is>
          <t>Replacement Reserves</t>
        </is>
      </c>
      <c r="F16" s="169" t="n"/>
      <c r="G16" s="2159">
        <f>H16*'Property Info'!B6</f>
        <v/>
      </c>
      <c r="H16" s="2163" t="n">
        <v>0.25</v>
      </c>
    </row>
    <row r="17" ht="12.75" customHeight="1" s="1439">
      <c r="E17" s="170" t="inlineStr">
        <is>
          <t>Total Expenses</t>
        </is>
      </c>
      <c r="F17" s="2164">
        <f>G17/G9</f>
        <v/>
      </c>
      <c r="G17" s="2165">
        <f>SUM(G11:G16)</f>
        <v/>
      </c>
      <c r="H17" s="2166">
        <f>G17/LA!C5</f>
        <v/>
      </c>
    </row>
    <row r="18" ht="12.75" customHeight="1" s="1439">
      <c r="E18" s="188" t="inlineStr">
        <is>
          <t>Net Operating Income (NOI)</t>
        </is>
      </c>
      <c r="F18" s="207" t="n"/>
      <c r="G18" s="2157">
        <f>G9-G17</f>
        <v/>
      </c>
      <c r="H18" s="2160">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topLeftCell="N1" workbookViewId="0">
      <selection activeCell="T49" sqref="T49"/>
    </sheetView>
  </sheetViews>
  <sheetFormatPr baseColWidth="8" defaultRowHeight="15"/>
  <cols>
    <col width="6.28515625" customWidth="1" style="1439" min="2" max="2"/>
    <col width="23" bestFit="1" customWidth="1" style="1439" min="3" max="3"/>
    <col hidden="1" width="9.7109375" customWidth="1" style="1439" min="4" max="4"/>
    <col hidden="1" width="38.140625" customWidth="1" style="1439" min="5" max="5"/>
    <col hidden="1" width="9.7109375" customWidth="1" style="1439" min="6" max="6"/>
    <col hidden="1" width="13.85546875" customWidth="1" style="1439" min="7" max="7"/>
    <col hidden="1" width="7.140625" customWidth="1" style="1439" min="8" max="8"/>
    <col hidden="1" width="9" customWidth="1" style="1439" min="9" max="9"/>
    <col hidden="1" width="8.42578125" customWidth="1" style="1439" min="10" max="10"/>
    <col hidden="1" width="7.140625" customWidth="1" style="1439" min="11" max="11"/>
    <col hidden="1" width="9.140625" customWidth="1" style="1439" min="12" max="12"/>
    <col hidden="1" width="11.42578125" customWidth="1" style="1439" min="13" max="13"/>
    <col width="12" bestFit="1" customWidth="1" style="1439" min="15" max="15"/>
    <col width="25.5703125" customWidth="1" style="1439" min="16" max="18"/>
    <col width="32.85546875" bestFit="1" customWidth="1" style="1439" min="20" max="20"/>
    <col width="20.7109375" bestFit="1" customWidth="1" style="1439" min="21" max="21"/>
  </cols>
  <sheetData>
    <row r="2" ht="15.75" customHeight="1" s="1439">
      <c r="B2" s="1552" t="inlineStr">
        <is>
          <t xml:space="preserve"> MARKET DERIVED CAPITALIZATION RATE SUMMARY</t>
        </is>
      </c>
    </row>
    <row r="3" ht="26.25" customHeight="1" s="1439">
      <c r="B3" s="1640" t="n"/>
      <c r="C3" s="1640" t="n"/>
      <c r="D3" s="1640" t="n"/>
      <c r="E3" s="181" t="n"/>
      <c r="F3" s="182" t="n"/>
      <c r="G3" s="182" t="n"/>
      <c r="H3" s="182" t="n"/>
      <c r="I3" s="182" t="n"/>
      <c r="J3" s="182" t="n"/>
      <c r="K3" s="182" t="n"/>
      <c r="L3" s="182" t="n"/>
      <c r="M3" s="182" t="n"/>
      <c r="Q3" s="1691" t="n"/>
    </row>
    <row r="4" ht="12.75" customHeight="1" s="1439">
      <c r="B4" s="169" t="n"/>
      <c r="C4" s="169" t="n"/>
      <c r="D4" s="169" t="n"/>
      <c r="E4" s="13" t="n"/>
      <c r="F4" s="2167" t="n"/>
      <c r="G4" s="347" t="n"/>
      <c r="H4" s="348" t="n"/>
      <c r="I4" s="349" t="n"/>
      <c r="J4" s="2168" t="n"/>
      <c r="K4" s="2169" t="n"/>
      <c r="L4" s="349" t="n"/>
      <c r="M4" s="351" t="n"/>
      <c r="N4" s="1691" t="n"/>
      <c r="O4" s="2170" t="n"/>
      <c r="P4" s="676" t="n"/>
      <c r="Q4" s="2170" t="n"/>
      <c r="R4" s="1691" t="n"/>
      <c r="S4" s="152" t="n"/>
    </row>
    <row r="5" ht="12.75" customHeight="1" s="1439">
      <c r="B5" s="169" t="n"/>
      <c r="C5" s="169" t="n"/>
      <c r="D5" s="169" t="n"/>
      <c r="E5" s="13" t="n"/>
      <c r="F5" s="2167" t="n"/>
      <c r="G5" s="347" t="n"/>
      <c r="H5" s="348" t="n"/>
      <c r="I5" s="349" t="n"/>
      <c r="J5" s="2168" t="n"/>
      <c r="K5" s="2169" t="n"/>
      <c r="L5" s="349" t="n"/>
      <c r="M5" s="351" t="n"/>
      <c r="O5" s="2170" t="n"/>
      <c r="P5" s="676" t="n"/>
      <c r="Q5" s="2170" t="n"/>
      <c r="R5" s="1691" t="n"/>
      <c r="S5" s="152" t="n"/>
    </row>
    <row r="6" ht="12.75" customHeight="1" s="1439">
      <c r="B6" s="169" t="n"/>
      <c r="C6" s="169" t="n"/>
      <c r="D6" s="169" t="n"/>
      <c r="E6" s="345" t="n"/>
      <c r="F6" s="2167" t="n"/>
      <c r="G6" s="352" t="n"/>
      <c r="H6" s="348" t="n"/>
      <c r="I6" s="349" t="n"/>
      <c r="J6" s="2168" t="n"/>
      <c r="K6" s="2169" t="n"/>
      <c r="L6" s="349" t="n"/>
      <c r="M6" s="351" t="n"/>
      <c r="O6" s="2170" t="n"/>
      <c r="P6" s="676" t="n"/>
      <c r="Q6" s="2170" t="n"/>
      <c r="R6" s="1691" t="n"/>
      <c r="S6" s="152" t="n"/>
    </row>
    <row r="7" ht="12.75" customHeight="1" s="1439">
      <c r="B7" s="169" t="n"/>
      <c r="C7" s="169" t="n"/>
      <c r="D7" s="169" t="n"/>
      <c r="E7" s="13" t="n"/>
      <c r="F7" s="2167" t="n"/>
      <c r="G7" s="347" t="n"/>
      <c r="H7" s="348" t="n"/>
      <c r="I7" s="349" t="n"/>
      <c r="J7" s="2168" t="n"/>
      <c r="K7" s="2169" t="n"/>
      <c r="L7" s="349" t="n"/>
      <c r="M7" s="351" t="n"/>
      <c r="O7" s="2170" t="n"/>
      <c r="P7" s="676" t="n"/>
      <c r="Q7" s="2170" t="n"/>
      <c r="R7" s="1691" t="n"/>
      <c r="S7" s="152" t="n"/>
    </row>
    <row r="8" ht="12.75" customHeight="1" s="1439">
      <c r="B8" s="169" t="n"/>
      <c r="C8" s="169" t="n"/>
      <c r="D8" s="169" t="n"/>
      <c r="E8" s="345" t="n"/>
      <c r="F8" s="2167" t="n"/>
      <c r="G8" s="347" t="n"/>
      <c r="H8" s="348" t="n"/>
      <c r="I8" s="349" t="n"/>
      <c r="J8" s="2168" t="n"/>
      <c r="K8" s="2169" t="n"/>
      <c r="L8" s="349" t="n"/>
      <c r="M8" s="351" t="n"/>
      <c r="O8" s="2170" t="n"/>
      <c r="P8" s="676" t="n"/>
      <c r="Q8" s="2170" t="n"/>
      <c r="R8" s="1691" t="n"/>
      <c r="S8" s="152" t="n"/>
    </row>
    <row r="9" ht="12.75" customHeight="1" s="1439">
      <c r="B9" s="169" t="n"/>
      <c r="C9" s="169" t="n"/>
      <c r="D9" s="169" t="n"/>
      <c r="E9" s="13" t="n"/>
      <c r="F9" s="2167" t="n"/>
      <c r="G9" s="347" t="n"/>
      <c r="H9" s="348" t="n"/>
      <c r="I9" s="349" t="n"/>
      <c r="J9" s="2168" t="n"/>
      <c r="K9" s="2169" t="n"/>
      <c r="L9" s="349" t="n"/>
      <c r="M9" s="351" t="n"/>
      <c r="O9" s="2170" t="n"/>
      <c r="P9" s="676" t="n"/>
      <c r="Q9" s="2170" t="n"/>
      <c r="R9" s="1691" t="n"/>
      <c r="S9" s="152" t="n"/>
    </row>
    <row r="10" ht="12.75" customHeight="1" s="1439">
      <c r="B10" s="169" t="n"/>
      <c r="C10" s="169" t="n"/>
      <c r="D10" s="169" t="n"/>
      <c r="E10" s="345" t="n"/>
      <c r="F10" s="2167" t="n"/>
      <c r="G10" s="347" t="n"/>
      <c r="H10" s="348" t="n"/>
      <c r="I10" s="349" t="n"/>
      <c r="J10" s="2168" t="n"/>
      <c r="K10" s="2169" t="n"/>
      <c r="L10" s="349" t="n"/>
      <c r="M10" s="351" t="n"/>
      <c r="O10" s="2170" t="n"/>
      <c r="P10" s="676" t="n"/>
      <c r="Q10" s="2170" t="n"/>
      <c r="R10" s="1691" t="n"/>
      <c r="S10" s="152" t="n"/>
    </row>
    <row r="11" ht="12.75" customHeight="1" s="1439">
      <c r="B11" s="169" t="n"/>
      <c r="C11" s="169" t="n"/>
      <c r="D11" s="169" t="n"/>
      <c r="E11" s="345" t="n"/>
      <c r="F11" s="2167" t="n"/>
      <c r="G11" s="347" t="n"/>
      <c r="H11" s="348" t="n"/>
      <c r="I11" s="349" t="n"/>
      <c r="J11" s="2168" t="n"/>
      <c r="K11" s="2169" t="n"/>
      <c r="L11" s="349" t="n"/>
      <c r="M11" s="351" t="n"/>
      <c r="O11" s="2170" t="n"/>
      <c r="P11" s="676" t="n"/>
      <c r="Q11" s="2170" t="n"/>
      <c r="R11" s="1691" t="n"/>
      <c r="S11" s="152" t="n"/>
    </row>
    <row r="12" hidden="1" ht="12.75" customHeight="1" s="1439">
      <c r="B12" s="169" t="n"/>
      <c r="C12" s="169" t="n"/>
      <c r="D12" s="169" t="n"/>
      <c r="E12" s="13" t="n"/>
      <c r="F12" s="2171" t="n"/>
      <c r="G12" s="271" t="n"/>
      <c r="H12" s="272" t="n"/>
      <c r="I12" s="273" t="n"/>
      <c r="J12" s="2172" t="n"/>
      <c r="K12" s="2173" t="n"/>
      <c r="L12" s="273" t="n"/>
      <c r="M12" s="171" t="n"/>
    </row>
    <row r="13" hidden="1" ht="12.75" customHeight="1" s="1439">
      <c r="B13" s="169" t="n"/>
      <c r="C13" s="169" t="n"/>
      <c r="D13" s="169" t="n"/>
      <c r="E13" s="13" t="n"/>
      <c r="F13" s="2171" t="n"/>
      <c r="G13" s="271" t="n"/>
      <c r="H13" s="271" t="n"/>
      <c r="I13" s="271" t="n"/>
      <c r="J13" s="271" t="n"/>
      <c r="K13" s="271" t="n"/>
      <c r="L13" s="271" t="n"/>
      <c r="M13" s="171" t="n"/>
    </row>
    <row r="14" ht="12.75" customHeight="1" s="1439">
      <c r="B14" s="183" t="inlineStr">
        <is>
          <t xml:space="preserve"> Low</t>
        </is>
      </c>
      <c r="C14" s="183" t="n"/>
      <c r="D14" s="183" t="n"/>
      <c r="E14" s="184" t="n"/>
      <c r="F14" s="184" t="n"/>
      <c r="G14" s="184" t="n"/>
      <c r="H14" s="184" t="n"/>
      <c r="I14" s="184" t="n"/>
      <c r="J14" s="184" t="n"/>
      <c r="K14" s="184" t="n"/>
      <c r="L14" s="184" t="n"/>
      <c r="M14" s="185">
        <f>ROUND(MIN(M4:M13),4)</f>
        <v/>
      </c>
    </row>
    <row r="15" ht="12.75" customHeight="1" s="1439">
      <c r="B15" s="13" t="inlineStr">
        <is>
          <t xml:space="preserve"> High</t>
        </is>
      </c>
      <c r="C15" s="13" t="n"/>
      <c r="D15" s="13" t="n"/>
      <c r="E15" s="186" t="n"/>
      <c r="F15" s="186" t="n"/>
      <c r="G15" s="186" t="n"/>
      <c r="H15" s="186" t="n"/>
      <c r="I15" s="186" t="n"/>
      <c r="J15" s="186" t="n"/>
      <c r="K15" s="186" t="n"/>
      <c r="L15" s="186" t="n"/>
      <c r="M15" s="187">
        <f>ROUND(MAX(M4:M13),4)</f>
        <v/>
      </c>
    </row>
    <row r="16" ht="12.75" customHeight="1" s="1439">
      <c r="B16" s="13" t="inlineStr">
        <is>
          <t xml:space="preserve"> Median</t>
        </is>
      </c>
      <c r="C16" s="13" t="n"/>
      <c r="D16" s="13" t="n"/>
      <c r="E16" s="186" t="n"/>
      <c r="F16" s="186" t="n"/>
      <c r="G16" s="186" t="n"/>
      <c r="H16" s="186" t="n"/>
      <c r="I16" s="186" t="n"/>
      <c r="J16" s="186" t="n"/>
      <c r="K16" s="186" t="n"/>
      <c r="L16" s="186" t="n"/>
      <c r="M16" s="187">
        <f>ROUND(MEDIAN(M4:M13),4)</f>
        <v/>
      </c>
    </row>
    <row r="17" ht="12.75" customHeight="1" s="143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39">
      <c r="B18" s="188" t="inlineStr">
        <is>
          <t>Appraiser's Concluded Range</t>
        </is>
      </c>
      <c r="C18" s="188" t="n"/>
      <c r="D18" s="188" t="n"/>
      <c r="E18" s="188" t="n"/>
      <c r="F18" s="188" t="n"/>
      <c r="G18" s="188" t="n"/>
      <c r="H18" s="188" t="n"/>
      <c r="I18" s="188" t="n"/>
      <c r="J18" s="188" t="n"/>
      <c r="K18" s="188" t="n"/>
      <c r="L18" s="188" t="n"/>
      <c r="M18" s="189" t="inlineStr">
        <is>
          <t>6.00% - 6.50%</t>
        </is>
      </c>
    </row>
    <row r="20">
      <c r="O20" s="1552" t="inlineStr">
        <is>
          <t>Third Party Surveys - Capitalization Rates</t>
        </is>
      </c>
    </row>
    <row r="21">
      <c r="O21" s="69" t="inlineStr">
        <is>
          <t>Category</t>
        </is>
      </c>
      <c r="P21" s="1640" t="inlineStr">
        <is>
          <t>CoStar</t>
        </is>
      </c>
      <c r="Q21" s="1640" t="inlineStr">
        <is>
          <t>CoStar</t>
        </is>
      </c>
      <c r="R21" s="1640" t="inlineStr">
        <is>
          <t>CoStar</t>
        </is>
      </c>
    </row>
    <row r="22" ht="12.75" customHeight="1" s="1439">
      <c r="O22" s="672" t="inlineStr">
        <is>
          <t>Date of Survey</t>
        </is>
      </c>
      <c r="P22" s="734" t="inlineStr">
        <is>
          <t>1/1/2019-6/30/2020</t>
        </is>
      </c>
      <c r="Q22" s="734" t="inlineStr">
        <is>
          <t>1/1/2019-6/30/2020</t>
        </is>
      </c>
      <c r="R22" s="734" t="inlineStr">
        <is>
          <t>1/1/2019-6/30/2020</t>
        </is>
      </c>
    </row>
    <row r="23" ht="12.75" customHeight="1" s="1439">
      <c r="O23" s="672" t="inlineStr">
        <is>
          <t>Market</t>
        </is>
      </c>
      <c r="P23" s="735" t="inlineStr">
        <is>
          <t>Adams County</t>
        </is>
      </c>
      <c r="Q23" s="735" t="inlineStr">
        <is>
          <t>North Metro Denver</t>
        </is>
      </c>
      <c r="R23" s="734" t="inlineStr">
        <is>
          <t>Denver CBSA</t>
        </is>
      </c>
    </row>
    <row r="24" ht="12.75" customHeight="1" s="1439">
      <c r="O24" s="672" t="inlineStr">
        <is>
          <t>Property Type</t>
        </is>
      </c>
      <c r="P24" s="734" t="inlineStr">
        <is>
          <t>Industrial - 10,000 SF - 50,000 SF</t>
        </is>
      </c>
      <c r="Q24" s="734" t="inlineStr">
        <is>
          <t>Industrial - 10,000 SF - 50,000 SF</t>
        </is>
      </c>
      <c r="R24" s="734" t="inlineStr">
        <is>
          <t>Industrial - 10,000 SF - 50,000 SF</t>
        </is>
      </c>
    </row>
    <row r="25" ht="12.75" customHeight="1" s="1439">
      <c r="O25" s="673" t="inlineStr">
        <is>
          <t>Range Average</t>
        </is>
      </c>
      <c r="P25" s="736" t="inlineStr">
        <is>
          <t>4.0% -8.4%</t>
        </is>
      </c>
      <c r="Q25" s="737" t="inlineStr">
        <is>
          <t xml:space="preserve">4.0% - 10.0% </t>
        </is>
      </c>
      <c r="R25" s="736" t="inlineStr">
        <is>
          <t>4.0% - 11.5%</t>
        </is>
      </c>
    </row>
    <row r="26" ht="12.75" customHeight="1" s="1439">
      <c r="O26" s="674" t="inlineStr">
        <is>
          <t>Average</t>
        </is>
      </c>
      <c r="P26" s="738" t="n">
        <v>0.064</v>
      </c>
      <c r="Q26" s="739" t="n">
        <v>0.066</v>
      </c>
      <c r="R26" s="738" t="n">
        <v>0.06900000000000001</v>
      </c>
    </row>
    <row r="27" hidden="1" ht="12.75" customHeight="1" s="1439">
      <c r="O27" s="232" t="n"/>
      <c r="P27" s="230" t="n"/>
      <c r="Q27" s="231" t="n"/>
    </row>
    <row r="28" hidden="1" ht="12.75" customHeight="1" s="1439">
      <c r="O28" s="232" t="n"/>
      <c r="P28" s="230" t="n"/>
      <c r="Q28" s="231" t="n"/>
    </row>
    <row r="29" hidden="1" ht="12.75" customHeight="1" s="1439">
      <c r="O29" s="232" t="n"/>
      <c r="P29" s="230" t="n"/>
      <c r="Q29" s="231" t="n"/>
    </row>
    <row r="30" ht="12.75" customHeight="1" s="1439">
      <c r="O30" s="229" t="n"/>
      <c r="P30" s="230" t="n"/>
      <c r="Q30" s="231" t="n"/>
    </row>
    <row r="31" ht="12.75" customHeight="1" s="1439">
      <c r="O31" s="232" t="n"/>
      <c r="P31" s="230" t="n"/>
      <c r="Q31" s="231" t="n"/>
    </row>
    <row r="32" hidden="1" ht="12.75" customHeight="1" s="1439">
      <c r="O32" s="232" t="n"/>
      <c r="P32" s="230" t="n"/>
      <c r="Q32" s="231" t="n"/>
    </row>
    <row r="33" hidden="1" ht="12.75" customHeight="1" s="1439">
      <c r="O33" s="232" t="n"/>
      <c r="P33" s="230" t="n"/>
      <c r="Q33" s="231" t="n"/>
    </row>
    <row r="34" hidden="1" ht="12.75" customHeight="1" s="1439">
      <c r="O34" s="229" t="n"/>
      <c r="P34" s="353" t="n"/>
      <c r="Q34" s="354" t="n"/>
    </row>
    <row r="35" hidden="1" ht="12.75" customHeight="1" s="1439">
      <c r="O35" s="232" t="n"/>
      <c r="P35" s="230" t="n"/>
      <c r="Q35" s="231" t="n"/>
    </row>
    <row r="36" hidden="1" ht="12.75" customHeight="1" s="1439">
      <c r="O36" s="232" t="n"/>
      <c r="P36" s="230" t="n"/>
      <c r="Q36" s="231" t="n"/>
    </row>
    <row r="37" ht="12.75" customHeight="1" s="1439">
      <c r="O37" s="233" t="n"/>
      <c r="P37" s="234" t="n"/>
      <c r="Q37" s="189" t="n"/>
    </row>
    <row r="40" ht="15" customHeight="1" s="1439">
      <c r="T40" s="1651" t="inlineStr">
        <is>
          <t>SUMMARY CAPITALIZATION RATE AND CONCLUSION</t>
        </is>
      </c>
    </row>
    <row r="41">
      <c r="T41" s="1" t="inlineStr">
        <is>
          <t>Method</t>
        </is>
      </c>
      <c r="U41" s="235" t="inlineStr">
        <is>
          <t>Capitalization Rate</t>
        </is>
      </c>
    </row>
    <row r="42" hidden="1" s="1439">
      <c r="T42" s="1553" t="inlineStr">
        <is>
          <t>Market Extraction</t>
        </is>
      </c>
      <c r="U42" s="355">
        <f>M18</f>
        <v/>
      </c>
    </row>
    <row r="43" hidden="1" s="1439">
      <c r="T43" s="1553" t="inlineStr">
        <is>
          <t>Investor Surveys</t>
        </is>
      </c>
      <c r="U43" s="355" t="inlineStr">
        <is>
          <t>6.00% - 6.50%</t>
        </is>
      </c>
    </row>
    <row r="44" hidden="1" s="1439">
      <c r="T44" s="1553" t="inlineStr">
        <is>
          <t>Market Participants</t>
        </is>
      </c>
      <c r="U44" s="355">
        <f>iaOARBrokers</f>
        <v/>
      </c>
    </row>
    <row r="45" hidden="1" s="1439">
      <c r="T45" s="1553" t="inlineStr">
        <is>
          <t>Band of Investment</t>
        </is>
      </c>
      <c r="U45" s="355" t="n">
        <v>0.075</v>
      </c>
    </row>
    <row r="46" hidden="1" s="1439">
      <c r="T46" s="1553" t="inlineStr">
        <is>
          <t>DCR</t>
        </is>
      </c>
      <c r="U46" s="355">
        <f>iaOARDCR</f>
        <v/>
      </c>
    </row>
    <row r="47" hidden="1" s="1439">
      <c r="T47" s="3" t="inlineStr">
        <is>
          <t>Primary Weight</t>
        </is>
      </c>
      <c r="U47" s="237" t="inlineStr">
        <is>
          <t>Market Extraction</t>
        </is>
      </c>
    </row>
    <row r="48" hidden="1" s="1439">
      <c r="T48" s="3" t="inlineStr">
        <is>
          <t>Secondary Weight</t>
        </is>
      </c>
      <c r="U48" s="238" t="inlineStr">
        <is>
          <t>Investor Surveys</t>
        </is>
      </c>
    </row>
    <row r="49">
      <c r="T49" s="85" t="inlineStr">
        <is>
          <t>Capitalization Rate Conclusion</t>
        </is>
      </c>
      <c r="U49" s="239" t="n">
        <v>0.0675</v>
      </c>
    </row>
    <row r="52" hidden="1" s="1439"/>
    <row r="53" hidden="1" s="1439">
      <c r="T53" s="1651" t="inlineStr">
        <is>
          <t>LEASE-UP COSTS</t>
        </is>
      </c>
    </row>
    <row r="54" hidden="1" s="1439">
      <c r="T54" s="1" t="inlineStr">
        <is>
          <t>Method</t>
        </is>
      </c>
      <c r="U54" s="235" t="inlineStr">
        <is>
          <t>Capitalization Rate</t>
        </is>
      </c>
    </row>
    <row r="55" hidden="1" ht="12.75" customHeight="1" s="1439">
      <c r="T55" s="298" t="inlineStr">
        <is>
          <t>Preliminary Value</t>
        </is>
      </c>
      <c r="U55" s="2174">
        <f>'IA Values'!G13</f>
        <v/>
      </c>
    </row>
    <row r="56" hidden="1" ht="12.75" customHeight="1" s="1439">
      <c r="T56" s="301" t="inlineStr">
        <is>
          <t>Less: Lost Income</t>
        </is>
      </c>
      <c r="U56" s="2175" t="n">
        <v>166157</v>
      </c>
    </row>
    <row r="57" hidden="1" ht="12.75" customHeight="1" s="1439">
      <c r="T57" s="301" t="inlineStr">
        <is>
          <t>Less: Tenant Finish</t>
        </is>
      </c>
      <c r="U57" s="2175">
        <f>iaOARBrokers</f>
        <v/>
      </c>
    </row>
    <row r="58" hidden="1" ht="12.75" customHeight="1" s="1439">
      <c r="T58" s="301" t="inlineStr">
        <is>
          <t>Less: Leasing Commissions</t>
        </is>
      </c>
      <c r="U58" s="2175" t="n">
        <v>35890</v>
      </c>
    </row>
    <row r="59" hidden="1" ht="12.75" customHeight="1" s="1439">
      <c r="T59" s="298" t="inlineStr">
        <is>
          <t>Total</t>
        </is>
      </c>
      <c r="U59" s="2176">
        <f>SUM(U56:U58)</f>
        <v/>
      </c>
    </row>
    <row r="60" hidden="1" ht="12.75" customHeight="1" s="1439">
      <c r="T60" s="301" t="inlineStr">
        <is>
          <t>Entrepreneurial Profit</t>
        </is>
      </c>
      <c r="U60" s="2175">
        <f>U59*0.1</f>
        <v/>
      </c>
    </row>
    <row r="61" hidden="1" ht="12.75" customHeight="1" s="1439">
      <c r="T61" s="298" t="inlineStr">
        <is>
          <t>Total Deductions</t>
        </is>
      </c>
      <c r="U61" s="2177">
        <f>SUM(U59,U60)</f>
        <v/>
      </c>
    </row>
    <row r="62" hidden="1" ht="12.75" customHeight="1" s="1439">
      <c r="T62" s="304" t="inlineStr">
        <is>
          <t>"As Is" Value</t>
        </is>
      </c>
      <c r="U62" s="2178">
        <f>U55-U61</f>
        <v/>
      </c>
    </row>
    <row r="63" hidden="1" s="1439">
      <c r="T63" s="85" t="inlineStr">
        <is>
          <t>Rounded Value</t>
        </is>
      </c>
      <c r="U63" s="2179" t="n">
        <v>1350000</v>
      </c>
    </row>
    <row r="64" hidden="1" s="143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39" min="1" max="1"/>
    <col width="22.85546875" customWidth="1" style="1439" min="2" max="2"/>
    <col width="40.7109375" customWidth="1" style="1439" min="5" max="5"/>
    <col width="13.5703125" bestFit="1" customWidth="1" style="1439" min="10" max="10"/>
  </cols>
  <sheetData>
    <row r="2">
      <c r="K2" s="356">
        <f>'Property Info'!B6</f>
        <v/>
      </c>
    </row>
    <row r="3" ht="15.75" customHeight="1" s="1439">
      <c r="E3" s="1552" t="inlineStr">
        <is>
          <t>DIRECT CAPITALIZATION METHOD VALUE CONCLUSION - AS IS</t>
        </is>
      </c>
    </row>
    <row r="4" ht="12.75" customHeight="1" s="1439">
      <c r="E4" s="221" t="inlineStr">
        <is>
          <t>Net Operating Income (NOI)</t>
        </is>
      </c>
      <c r="F4" s="221" t="n"/>
      <c r="G4" s="2180">
        <f>'Income Approach'!D47</f>
        <v/>
      </c>
      <c r="H4" s="2181">
        <f>G4/K2</f>
        <v/>
      </c>
    </row>
    <row r="5" ht="12.75" customHeight="1" s="1439">
      <c r="E5" s="2182" t="n">
        <v>0.0025</v>
      </c>
      <c r="F5" s="2182" t="n"/>
      <c r="G5" s="224" t="inlineStr">
        <is>
          <t>Value</t>
        </is>
      </c>
      <c r="H5" s="224" t="inlineStr">
        <is>
          <t>$/SF</t>
        </is>
      </c>
    </row>
    <row r="6" ht="12.75" customHeight="1" s="1439">
      <c r="E6" s="2183" t="inlineStr">
        <is>
          <t>Based on Low-Range of 7.25%</t>
        </is>
      </c>
      <c r="F6" s="2183" t="n"/>
      <c r="G6" s="2184">
        <f>G4/('Cap Rate Lease-Up'!U49-0.0025)</f>
        <v/>
      </c>
      <c r="H6" s="2185">
        <f>G6/K2</f>
        <v/>
      </c>
      <c r="J6" s="1692" t="n"/>
    </row>
    <row r="7" ht="12.75" customHeight="1" s="1439">
      <c r="E7" s="2186" t="inlineStr">
        <is>
          <t>Based on Most Probable Range of 7.50%</t>
        </is>
      </c>
      <c r="F7" s="2187" t="n"/>
      <c r="G7" s="2184">
        <f>G4/'Cap Rate Lease-Up'!U49</f>
        <v/>
      </c>
      <c r="H7" s="2185">
        <f>G7/K2</f>
        <v/>
      </c>
      <c r="J7" s="1692" t="n"/>
    </row>
    <row r="8" ht="12.75" customHeight="1" s="1439">
      <c r="E8" s="2188" t="inlineStr">
        <is>
          <t>Based on High-Range of 7.75%</t>
        </is>
      </c>
      <c r="F8" s="2188" t="n"/>
      <c r="G8" s="2184">
        <f>G4/('Cap Rate Lease-Up'!U49+0.0025)</f>
        <v/>
      </c>
      <c r="H8" s="2185">
        <f>G8/K2</f>
        <v/>
      </c>
      <c r="J8" s="1692" t="n"/>
    </row>
    <row r="9" hidden="1" ht="12.75" customHeight="1" s="1439">
      <c r="E9" s="215" t="n"/>
      <c r="F9" s="215" t="n"/>
      <c r="G9" s="2189" t="n"/>
      <c r="H9" s="215" t="n"/>
    </row>
    <row r="10" hidden="1" ht="12.75" customHeight="1" s="1439">
      <c r="E10" s="170">
        <f>IF(SUM(G11:G11)=0,"HIDE THIS ROW IF NO DEFERRED MAINTENANCE", "Indicated Value")</f>
        <v/>
      </c>
      <c r="F10" s="170" t="n"/>
      <c r="G10" s="2184">
        <f>G7</f>
        <v/>
      </c>
      <c r="H10" s="217" t="n"/>
    </row>
    <row r="11" hidden="1" ht="12.75" customHeight="1" s="1439">
      <c r="E11" s="218">
        <f>IF(G11=0,"HIDE THIS ROW IF NO DEFERRED MAINTENANCE","Less: Deferred Maintenance")</f>
        <v/>
      </c>
      <c r="F11" s="218" t="n"/>
      <c r="G11" s="2190">
        <f>-caDeferredMaint</f>
        <v/>
      </c>
      <c r="H11" s="217" t="n"/>
    </row>
    <row r="12" ht="12.75" customHeight="1" s="1439">
      <c r="E12" s="190">
        <f>IF(G11=0,"Reconciled Value","Reconciled Value - Adjusted")</f>
        <v/>
      </c>
      <c r="F12" s="190" t="n"/>
      <c r="G12" s="2191">
        <f>SUM(G10:G11)</f>
        <v/>
      </c>
      <c r="H12" s="2192">
        <f>G12/K2</f>
        <v/>
      </c>
    </row>
    <row r="13" ht="12.75" customHeight="1" s="1439">
      <c r="E13" s="2193" t="n">
        <v>5000</v>
      </c>
      <c r="F13" s="2194" t="n"/>
      <c r="G13" s="2195">
        <f>ROUND((G12/E13),0)*E13</f>
        <v/>
      </c>
      <c r="H13" s="2196">
        <f>G13/K2</f>
        <v/>
      </c>
    </row>
    <row r="15">
      <c r="H15" s="1692" t="n"/>
    </row>
    <row r="16">
      <c r="A16" s="1552" t="inlineStr">
        <is>
          <t>DEDUCTIONS TO REACH AN AS IS VALUE</t>
        </is>
      </c>
    </row>
    <row r="17">
      <c r="A17" s="1553" t="inlineStr">
        <is>
          <t>Indicated Value UPON COMPLETION</t>
        </is>
      </c>
      <c r="B17" s="2197">
        <f>G13</f>
        <v/>
      </c>
      <c r="H17" s="358" t="n"/>
    </row>
    <row r="18">
      <c r="A18" s="1553" t="inlineStr">
        <is>
          <t>Remaining Capital Improvements</t>
        </is>
      </c>
      <c r="B18" s="2197" t="n">
        <v>-354600</v>
      </c>
    </row>
    <row r="19">
      <c r="A19" s="1553" t="inlineStr">
        <is>
          <t>Entrepreneurial Incentive (15% of Total Construction Costs)</t>
        </is>
      </c>
      <c r="B19" s="2197" t="n">
        <v>-59100</v>
      </c>
    </row>
    <row r="20" hidden="1" s="1439">
      <c r="A20" s="190">
        <f>IF(B21=0,"HIDE THIS ROW IF NO DEFERRED MAINTENANCE", "Indicated Value")</f>
        <v/>
      </c>
      <c r="B20" s="2189" t="n">
        <v>0</v>
      </c>
    </row>
    <row r="21" hidden="1" s="1439">
      <c r="A21" s="14">
        <f>IF(B21=0,"HIDE THIS ROW IF NO DEFERRED MAINTENANCE","Less: Deferred Maintenance")</f>
        <v/>
      </c>
      <c r="B21" s="200" t="n">
        <v>0</v>
      </c>
    </row>
    <row r="22">
      <c r="A22" s="202" t="inlineStr">
        <is>
          <t>Indicated Value AS IS</t>
        </is>
      </c>
      <c r="B22" s="2191">
        <f>SUM(B17:B19)</f>
        <v/>
      </c>
    </row>
    <row r="23">
      <c r="A23" s="2198" t="inlineStr">
        <is>
          <t>Indicated Value AS IS</t>
        </is>
      </c>
      <c r="B23" s="2199">
        <f>MROUND(B22,5000)</f>
        <v/>
      </c>
    </row>
    <row r="24">
      <c r="A24" s="205" t="inlineStr">
        <is>
          <t>Per SF</t>
        </is>
      </c>
      <c r="B24" s="2200">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topLeftCell="A7" zoomScale="136" zoomScaleNormal="136" workbookViewId="0">
      <selection activeCell="H14" sqref="H14"/>
    </sheetView>
  </sheetViews>
  <sheetFormatPr baseColWidth="8" defaultColWidth="9.140625" defaultRowHeight="15"/>
  <cols>
    <col width="37.140625" bestFit="1" customWidth="1" style="1550" min="1" max="1"/>
    <col width="7.7109375" bestFit="1" customWidth="1" style="2201" min="2" max="2"/>
    <col width="14.42578125" customWidth="1" style="2201" min="3" max="3"/>
    <col width="14.140625" customWidth="1" style="2201" min="4" max="4"/>
    <col width="9.42578125" bestFit="1" customWidth="1" style="2201" min="5" max="5"/>
    <col width="4.7109375" bestFit="1" customWidth="1" style="2201" min="6" max="6"/>
    <col width="28" bestFit="1" customWidth="1" style="2201" min="7" max="7"/>
    <col width="9.28515625" bestFit="1" customWidth="1" style="2201" min="8" max="8"/>
    <col width="2.5703125" customWidth="1" style="2201" min="9" max="9"/>
    <col width="7" customWidth="1" style="2201" min="10" max="10"/>
    <col width="10.28515625" bestFit="1" customWidth="1" style="2201" min="11" max="11"/>
    <col width="2.42578125" customWidth="1" style="2201" min="12" max="12"/>
    <col width="6.28515625" bestFit="1" customWidth="1" style="2201" min="13" max="13"/>
    <col width="10.28515625" bestFit="1" customWidth="1" style="2201" min="14" max="14"/>
    <col width="1.140625" customWidth="1" style="2201" min="15" max="15"/>
    <col width="15.5703125" customWidth="1" style="1550" min="16" max="16"/>
    <col width="9.140625" customWidth="1" style="1550" min="17" max="17"/>
    <col width="8.85546875" customWidth="1" style="1550" min="18" max="18"/>
    <col hidden="1" width="25.5703125" customWidth="1" style="1550" min="19" max="19"/>
    <col hidden="1" width="18.42578125" customWidth="1" style="1550" min="20" max="20"/>
    <col hidden="1" width="19.140625" customWidth="1" style="1550" min="21" max="21"/>
    <col hidden="1" width="16.28515625" customWidth="1" style="1550" min="22" max="22"/>
    <col width="9.140625" customWidth="1" style="1550" min="23" max="23"/>
    <col width="25.5703125" customWidth="1" style="1550" min="24" max="24"/>
    <col width="5.42578125" customWidth="1" style="1550" min="25" max="25"/>
    <col width="11.28515625" customWidth="1" style="1550" min="26" max="26"/>
    <col width="9.7109375" customWidth="1" style="1550" min="27" max="27"/>
    <col width="9.140625" customWidth="1" style="1550" min="28" max="28"/>
    <col width="9.140625" customWidth="1" style="1550" min="29" max="16384"/>
  </cols>
  <sheetData>
    <row r="1" ht="7.5" customHeight="1" s="1439"/>
    <row r="2">
      <c r="A2" s="1550" t="inlineStr">
        <is>
          <t>Subject's Total SF Area</t>
        </is>
      </c>
      <c r="B2" s="913">
        <f>FE!C14</f>
        <v/>
      </c>
      <c r="C2" s="914" t="inlineStr">
        <is>
          <t>←</t>
        </is>
      </c>
    </row>
    <row r="3">
      <c r="G3" s="1661"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66" t="inlineStr">
        <is>
          <t>Contract Rent</t>
        </is>
      </c>
      <c r="K4" s="1458" t="n"/>
      <c r="L4" s="829" t="n"/>
      <c r="M4" s="1666" t="inlineStr">
        <is>
          <t>Market Rent</t>
        </is>
      </c>
      <c r="N4" s="1458"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39">
      <c r="G6" s="2202">
        <f>LA!C3</f>
        <v/>
      </c>
      <c r="H6" s="1040">
        <f>FE!C14</f>
        <v/>
      </c>
      <c r="I6" s="1040" t="n"/>
      <c r="J6" s="2203">
        <f>LA!C11</f>
        <v/>
      </c>
      <c r="K6" s="2204">
        <f>LA!C10</f>
        <v/>
      </c>
      <c r="L6" s="2205" t="n"/>
      <c r="M6" s="2203">
        <f>C11</f>
        <v/>
      </c>
      <c r="N6" s="2204">
        <f>H6*M6</f>
        <v/>
      </c>
      <c r="O6" s="2203" t="n"/>
    </row>
    <row r="7">
      <c r="B7" s="913" t="n"/>
      <c r="G7" s="1550" t="n"/>
      <c r="H7" s="1550" t="n"/>
      <c r="I7" s="1550" t="n"/>
      <c r="J7" s="1550" t="n"/>
      <c r="K7" s="1550" t="n"/>
      <c r="L7" s="1550" t="n"/>
      <c r="M7" s="1550" t="n"/>
      <c r="N7" s="1550" t="n"/>
      <c r="O7" s="1550" t="n"/>
    </row>
    <row r="8">
      <c r="A8" s="1654" t="inlineStr">
        <is>
          <t>PGRI – MARKET RENTS</t>
        </is>
      </c>
      <c r="E8" s="1656" t="n"/>
      <c r="F8" s="916" t="n"/>
      <c r="G8" s="1550" t="n"/>
      <c r="H8" s="1550" t="n"/>
      <c r="I8" s="1550" t="n"/>
      <c r="J8" s="1550" t="n"/>
      <c r="K8" s="1550" t="n"/>
      <c r="L8" s="1550" t="n"/>
      <c r="M8" s="1550" t="n"/>
      <c r="N8" s="1550" t="n"/>
      <c r="O8" s="1550" t="n"/>
    </row>
    <row r="9">
      <c r="A9" s="917" t="inlineStr">
        <is>
          <t>Space Type</t>
        </is>
      </c>
      <c r="B9" s="1618" t="inlineStr">
        <is>
          <t>SF</t>
        </is>
      </c>
      <c r="C9" s="1618" t="inlineStr">
        <is>
          <t>Rent PSF</t>
        </is>
      </c>
      <c r="D9" s="161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Info'!B15</f>
        <v/>
      </c>
      <c r="B11" s="920" t="n">
        <v>3320</v>
      </c>
      <c r="C11" s="2206" t="n">
        <v>121.5</v>
      </c>
      <c r="D11" s="2207">
        <f>C11*B11</f>
        <v/>
      </c>
      <c r="E11" s="1599" t="n"/>
      <c r="F11" s="2208" t="n"/>
      <c r="G11" s="2208" t="n"/>
      <c r="H11" s="2208" t="n"/>
      <c r="I11" s="2208" t="n"/>
      <c r="J11" s="2208" t="n"/>
      <c r="K11" s="2208" t="n"/>
      <c r="L11" s="2208" t="n"/>
      <c r="M11" s="2208" t="n"/>
    </row>
    <row r="12" ht="6.75" customHeight="1" s="1439">
      <c r="A12" s="922" t="n"/>
      <c r="B12" s="923" t="n"/>
      <c r="C12" s="2209" t="n"/>
      <c r="D12" s="2208" t="n"/>
      <c r="E12" s="2208" t="n"/>
      <c r="F12" s="2208" t="n"/>
      <c r="G12" s="2208" t="n"/>
      <c r="H12" s="2208" t="n"/>
      <c r="I12" s="2208" t="n"/>
      <c r="J12" s="2208" t="n"/>
      <c r="K12" s="2208" t="n"/>
      <c r="L12" s="2208" t="n"/>
      <c r="M12" s="2208" t="n"/>
    </row>
    <row r="13">
      <c r="A13" s="1688" t="inlineStr">
        <is>
          <t>VACANCY AND COLLECTION LOSS</t>
        </is>
      </c>
      <c r="G13" s="1550" t="n"/>
      <c r="H13" s="1550" t="n"/>
      <c r="I13" s="1550" t="n"/>
      <c r="J13" s="1550" t="n"/>
      <c r="K13" s="1550" t="n"/>
      <c r="L13" s="1550" t="n"/>
      <c r="M13" s="1550" t="n"/>
      <c r="N13" s="1550" t="n"/>
      <c r="O13" s="1550" t="n"/>
    </row>
    <row r="14">
      <c r="A14" s="1683" t="inlineStr">
        <is>
          <t>Source</t>
        </is>
      </c>
      <c r="D14" s="1689" t="inlineStr">
        <is>
          <t>Rate</t>
        </is>
      </c>
      <c r="G14" s="1550" t="n"/>
      <c r="H14" s="1550" t="n"/>
      <c r="I14" s="1550" t="n"/>
      <c r="J14" s="1550" t="n"/>
      <c r="K14" s="1550" t="n"/>
      <c r="L14" s="1550" t="n"/>
      <c r="M14" s="1550" t="n"/>
      <c r="N14" s="1550" t="n"/>
      <c r="O14" s="1550" t="n"/>
    </row>
    <row r="15" ht="15" customHeight="1" s="1439">
      <c r="A15" s="1657" t="inlineStr">
        <is>
          <t>CoStar - Denver CBSA - Industrial 20,000 SF - 50,000 SF- Q1 2019-Q2 2020</t>
        </is>
      </c>
      <c r="D15" s="1672" t="n">
        <v>0.043</v>
      </c>
      <c r="G15" s="914" t="n"/>
      <c r="H15" s="1550" t="n"/>
      <c r="I15" s="1550" t="n"/>
      <c r="J15" s="1550" t="n"/>
      <c r="K15" s="1550" t="n"/>
      <c r="L15" s="1550" t="n"/>
      <c r="M15" s="1550" t="n"/>
    </row>
    <row r="16" ht="15" customHeight="1" s="1439">
      <c r="A16" s="1657" t="inlineStr">
        <is>
          <t>CoStar - Adams County - Industrial - Q1 2019-Q2 2020</t>
        </is>
      </c>
      <c r="D16" s="1686" t="n">
        <v>0.07000000000000001</v>
      </c>
      <c r="E16" s="1458" t="n"/>
      <c r="G16" s="914" t="n"/>
      <c r="H16" s="1550" t="n"/>
      <c r="I16" s="1550" t="n"/>
      <c r="J16" s="1550" t="n"/>
      <c r="K16" s="1550" t="n"/>
      <c r="L16" s="1550" t="n"/>
      <c r="M16" s="1550" t="n"/>
    </row>
    <row r="17" hidden="1" ht="15" customHeight="1" s="1439">
      <c r="A17" s="925" t="n"/>
      <c r="B17" s="2210" t="n"/>
      <c r="C17" s="927" t="n"/>
      <c r="D17" s="928" t="n"/>
      <c r="E17" s="611" t="n"/>
      <c r="G17" s="914" t="n"/>
      <c r="H17" s="1550" t="n"/>
      <c r="I17" s="1550" t="n"/>
      <c r="J17" s="1550" t="n"/>
      <c r="K17" s="1550" t="n"/>
      <c r="L17" s="1550" t="n"/>
      <c r="M17" s="1550" t="n"/>
    </row>
    <row r="18" hidden="1" ht="15" customHeight="1" s="1439">
      <c r="A18" s="925" t="n"/>
      <c r="B18" s="2210" t="n"/>
      <c r="C18" s="927" t="n"/>
      <c r="D18" s="929" t="n"/>
      <c r="E18" s="611" t="n"/>
      <c r="G18" s="914" t="n"/>
      <c r="H18" s="1550" t="n"/>
      <c r="I18" s="1550" t="n"/>
      <c r="J18" s="1550" t="n"/>
      <c r="K18" s="1550" t="n"/>
      <c r="L18" s="1550" t="n"/>
      <c r="M18" s="1550" t="n"/>
    </row>
    <row r="19" hidden="1" ht="15" customHeight="1" s="1439">
      <c r="A19" s="925" t="n"/>
      <c r="B19" s="2210" t="n"/>
      <c r="C19" s="927" t="n"/>
      <c r="D19" s="929" t="n"/>
      <c r="E19" s="611" t="n"/>
      <c r="G19" s="914" t="n"/>
      <c r="H19" s="1550" t="n"/>
      <c r="I19" s="1550" t="n"/>
      <c r="J19" s="1550" t="n"/>
      <c r="K19" s="1550" t="n"/>
      <c r="L19" s="1550" t="n"/>
      <c r="M19" s="1550" t="n"/>
    </row>
    <row r="20" hidden="1" ht="15" customHeight="1" s="1439">
      <c r="A20" s="930" t="n"/>
      <c r="B20" s="2210" t="n"/>
      <c r="C20" s="927" t="n"/>
      <c r="D20" s="931" t="n"/>
      <c r="E20" s="611" t="n"/>
      <c r="G20" s="914" t="n"/>
      <c r="H20" s="1550" t="n"/>
      <c r="I20" s="1550" t="n"/>
      <c r="J20" s="1550" t="n"/>
      <c r="K20" s="1550" t="n"/>
      <c r="L20" s="1550" t="n"/>
      <c r="M20" s="1550" t="n"/>
    </row>
    <row r="21">
      <c r="A21" s="1662" t="inlineStr">
        <is>
          <t>Range</t>
        </is>
      </c>
      <c r="B21" s="1468" t="n"/>
      <c r="C21" s="1468" t="n"/>
      <c r="D21" s="1678">
        <f>TEXT(MIN(D15:D20),"0.00%")&amp;" to "&amp;TEXT(MAX(D15:D20),"0.00%")</f>
        <v/>
      </c>
      <c r="F21" s="2211" t="n"/>
      <c r="G21" s="362" t="n"/>
      <c r="H21" s="1550" t="n"/>
      <c r="I21" s="1550" t="n"/>
      <c r="J21" s="1550" t="n"/>
      <c r="K21" s="1550" t="n"/>
      <c r="L21" s="1550" t="n"/>
      <c r="M21" s="1550" t="n"/>
    </row>
    <row r="22">
      <c r="A22" s="1684" t="inlineStr">
        <is>
          <t>Concluded Overall Vacancy Rate</t>
        </is>
      </c>
      <c r="B22" s="1458" t="n"/>
      <c r="C22" s="1458" t="n"/>
      <c r="D22" s="1687" t="n">
        <v>0.06</v>
      </c>
      <c r="E22" s="1458" t="n"/>
      <c r="F22" s="2212" t="inlineStr">
        <is>
          <t>←Change</t>
        </is>
      </c>
      <c r="G22" s="1373" t="n"/>
      <c r="H22" s="1550" t="n"/>
      <c r="I22" s="1550" t="n"/>
      <c r="J22" s="1550" t="n"/>
      <c r="K22" s="1550" t="n"/>
      <c r="L22" s="1550" t="n"/>
      <c r="M22" s="1550" t="n"/>
    </row>
    <row r="23" ht="5.25" customHeight="1" s="1439">
      <c r="B23" s="1550" t="n"/>
      <c r="C23" s="1550" t="n"/>
      <c r="D23" s="1550" t="n"/>
      <c r="E23" s="1550" t="n"/>
      <c r="F23" s="1550" t="n"/>
      <c r="G23" s="1550" t="n"/>
      <c r="H23" s="1550" t="n"/>
      <c r="I23" s="1550" t="n"/>
      <c r="J23" s="1550" t="n"/>
      <c r="K23" s="1550" t="n"/>
      <c r="L23" s="1550" t="n"/>
      <c r="M23" s="1550" t="n"/>
    </row>
    <row r="24">
      <c r="A24" s="1545" t="inlineStr">
        <is>
          <t>EXPENSES IN TIME OF VACANCY</t>
        </is>
      </c>
      <c r="F24" s="1550" t="n"/>
      <c r="G24" s="1550" t="n"/>
      <c r="H24" s="1550" t="n"/>
      <c r="I24" s="1550" t="n"/>
      <c r="J24" s="1550" t="n"/>
      <c r="K24" s="1550" t="n"/>
      <c r="L24" s="1550" t="n"/>
      <c r="M24" s="1550" t="n"/>
    </row>
    <row r="25">
      <c r="A25" s="932" t="inlineStr">
        <is>
          <t>Expense</t>
        </is>
      </c>
      <c r="B25" s="932" t="n"/>
      <c r="C25" s="933" t="inlineStr">
        <is>
          <t>PSF</t>
        </is>
      </c>
      <c r="D25" s="1658" t="inlineStr">
        <is>
          <t>Total</t>
        </is>
      </c>
      <c r="E25" s="1458" t="n"/>
      <c r="F25" s="1550" t="n"/>
      <c r="G25" s="1550" t="n"/>
      <c r="M25" s="1550" t="n"/>
    </row>
    <row r="26">
      <c r="A26" s="1550" t="inlineStr">
        <is>
          <t>Real Estate Taxes</t>
        </is>
      </c>
      <c r="B26" s="1550" t="n"/>
      <c r="C26" s="2213">
        <f>D26/$B$11</f>
        <v/>
      </c>
      <c r="D26" s="2214" t="n">
        <v>112047.03</v>
      </c>
      <c r="E26" s="1468" t="n"/>
      <c r="F26" s="2215" t="inlineStr">
        <is>
          <t>←</t>
        </is>
      </c>
      <c r="G26" s="1550" t="inlineStr">
        <is>
          <t xml:space="preserve">Actual </t>
        </is>
      </c>
      <c r="M26" s="1550" t="n"/>
      <c r="N26" s="1550" t="n"/>
      <c r="O26" s="1550" t="n"/>
    </row>
    <row r="27">
      <c r="A27" s="1550" t="inlineStr">
        <is>
          <t>Insurance</t>
        </is>
      </c>
      <c r="B27" s="1550" t="n"/>
      <c r="C27" s="2216" t="n">
        <v>1.5</v>
      </c>
      <c r="D27" s="2217">
        <f>C27*$B$2</f>
        <v/>
      </c>
      <c r="F27" s="936" t="inlineStr">
        <is>
          <t>←</t>
        </is>
      </c>
      <c r="G27" s="1550" t="inlineStr">
        <is>
          <t>Estimated</t>
        </is>
      </c>
      <c r="H27" s="1550" t="n"/>
      <c r="I27" s="1550" t="n"/>
      <c r="J27" s="1550" t="n"/>
      <c r="K27" s="1550" t="n"/>
      <c r="L27" s="1550" t="n"/>
      <c r="M27" s="1550" t="n"/>
      <c r="N27" s="1550" t="n"/>
      <c r="O27" s="1550" t="n"/>
    </row>
    <row r="28">
      <c r="A28" s="937" t="inlineStr">
        <is>
          <t>Utilities</t>
        </is>
      </c>
      <c r="B28" s="1550" t="n"/>
      <c r="C28" s="2216" t="n">
        <v>1.75</v>
      </c>
      <c r="D28" s="2217">
        <f>C28*$B$2</f>
        <v/>
      </c>
      <c r="F28" s="936" t="inlineStr">
        <is>
          <t>←</t>
        </is>
      </c>
      <c r="G28" s="1550" t="inlineStr">
        <is>
          <t>Estimated</t>
        </is>
      </c>
      <c r="H28" s="1550" t="n"/>
      <c r="I28" s="1550" t="n"/>
      <c r="J28" s="1550" t="n"/>
      <c r="K28" s="1550" t="n"/>
      <c r="L28" s="1550" t="n"/>
      <c r="M28" s="1550" t="n"/>
      <c r="N28" s="1550" t="n"/>
      <c r="O28" s="1550" t="n"/>
    </row>
    <row r="29">
      <c r="A29" s="937" t="inlineStr">
        <is>
          <t>CAM Repairs and Maintenance</t>
        </is>
      </c>
      <c r="B29" s="1550" t="n"/>
      <c r="C29" s="2216" t="n">
        <v>2.5</v>
      </c>
      <c r="D29" s="2217">
        <f>C29*$B$2</f>
        <v/>
      </c>
      <c r="F29" s="936" t="inlineStr">
        <is>
          <t>←</t>
        </is>
      </c>
      <c r="G29" s="1550" t="inlineStr">
        <is>
          <t>Estimated</t>
        </is>
      </c>
      <c r="H29" s="1550" t="n"/>
      <c r="I29" s="1550" t="n"/>
      <c r="J29" s="1550" t="n"/>
      <c r="K29" s="1550" t="n"/>
      <c r="L29" s="1550" t="n"/>
      <c r="M29" s="1550" t="n"/>
      <c r="N29" s="1550" t="n"/>
      <c r="O29" s="1550" t="n"/>
    </row>
    <row r="30">
      <c r="A30" s="937" t="inlineStr">
        <is>
          <t>Management</t>
        </is>
      </c>
      <c r="B30" s="1550" t="n"/>
      <c r="C30" s="2213">
        <f>D30/$B$11</f>
        <v/>
      </c>
      <c r="D30" s="2218">
        <f>D42*0.03</f>
        <v/>
      </c>
      <c r="E30" s="1458" t="n"/>
      <c r="F30" s="936" t="inlineStr">
        <is>
          <t>←</t>
        </is>
      </c>
      <c r="G30" s="1550" t="inlineStr">
        <is>
          <t>3% EGI</t>
        </is>
      </c>
      <c r="H30" s="1550" t="n"/>
      <c r="I30" s="1550" t="n"/>
      <c r="J30" s="1550" t="n"/>
      <c r="K30" s="1550" t="n"/>
      <c r="L30" s="1550" t="n"/>
      <c r="M30" s="1550" t="n"/>
      <c r="N30" s="1550" t="n"/>
      <c r="O30" s="1550" t="n"/>
    </row>
    <row r="31">
      <c r="A31" s="938" t="inlineStr">
        <is>
          <t>Total</t>
        </is>
      </c>
      <c r="B31" s="938" t="n"/>
      <c r="C31" s="2219">
        <f>D31/B2</f>
        <v/>
      </c>
      <c r="D31" s="2220">
        <f>SUM(D26:E30)</f>
        <v/>
      </c>
      <c r="E31" s="1599" t="n"/>
      <c r="F31" s="1550" t="n"/>
      <c r="G31" s="1550" t="n"/>
      <c r="H31" s="2221" t="n"/>
      <c r="I31" s="1550" t="n"/>
      <c r="J31" s="1550" t="n"/>
      <c r="K31" s="1550" t="n"/>
      <c r="L31" s="1550" t="n"/>
      <c r="M31" s="1550" t="n"/>
      <c r="N31" s="1550" t="n"/>
      <c r="O31" s="1550" t="n"/>
    </row>
    <row r="32">
      <c r="A32" s="1550" t="inlineStr">
        <is>
          <t>Multiplied by Vacancy Factor of</t>
        </is>
      </c>
      <c r="B32" s="941">
        <f>D22</f>
        <v/>
      </c>
      <c r="C32" s="2222">
        <f>$B$41*C31</f>
        <v/>
      </c>
      <c r="D32" s="2223">
        <f>$B$41*D31</f>
        <v/>
      </c>
      <c r="E32" s="1599" t="n"/>
      <c r="F32" s="1550" t="n"/>
      <c r="G32" s="1550" t="n"/>
      <c r="H32" s="1550" t="n"/>
      <c r="I32" s="1550" t="n"/>
      <c r="J32" s="1550" t="n"/>
      <c r="K32" s="1550" t="n"/>
      <c r="L32" s="1550" t="n"/>
      <c r="M32" s="1550" t="n"/>
      <c r="N32" s="1550" t="n"/>
      <c r="O32" s="1550" t="n"/>
    </row>
    <row r="33">
      <c r="A33" s="943" t="inlineStr">
        <is>
          <t>Divided by EGI</t>
        </is>
      </c>
      <c r="B33" s="943" t="n"/>
      <c r="C33" s="944" t="n"/>
      <c r="D33" s="1673">
        <f>D32/D42</f>
        <v/>
      </c>
      <c r="E33" s="1599" t="n"/>
      <c r="F33" s="1550" t="n"/>
      <c r="G33" s="1550" t="n"/>
      <c r="H33" s="1550" t="n"/>
      <c r="I33" s="1550" t="n"/>
      <c r="J33" s="1550" t="n"/>
      <c r="K33" s="1550" t="n"/>
      <c r="L33" s="1550" t="n"/>
      <c r="M33" s="1550" t="n"/>
      <c r="N33" s="1550" t="n"/>
      <c r="O33" s="1550" t="n"/>
    </row>
    <row r="34" ht="7.5" customHeight="1" s="1439">
      <c r="B34" s="1550" t="n"/>
      <c r="C34" s="1550" t="n"/>
      <c r="D34" s="1550" t="n"/>
      <c r="E34" s="1550" t="n"/>
      <c r="F34" s="1550" t="n"/>
      <c r="G34" s="1550" t="n"/>
      <c r="H34" s="1550" t="n"/>
      <c r="I34" s="1550" t="n"/>
      <c r="J34" s="1550" t="n"/>
      <c r="K34" s="1550" t="n"/>
      <c r="L34" s="1550" t="n"/>
      <c r="M34" s="1550" t="n"/>
      <c r="N34" s="1550" t="n"/>
      <c r="O34" s="1550" t="n"/>
    </row>
    <row r="35">
      <c r="A35" s="1659" t="inlineStr">
        <is>
          <t>PRO FORMA OPERATING STATEMENT</t>
        </is>
      </c>
      <c r="F35" s="1550" t="n"/>
      <c r="G35" s="1550" t="n"/>
      <c r="H35" s="1550" t="n"/>
      <c r="I35" s="1550" t="n"/>
      <c r="J35" s="1550" t="n"/>
      <c r="K35" s="1550" t="n"/>
      <c r="L35" s="1550" t="n"/>
      <c r="M35" s="1550" t="n"/>
      <c r="N35" s="1550" t="n"/>
      <c r="O35" s="1550" t="n"/>
    </row>
    <row r="36" ht="30" customHeight="1" s="1439">
      <c r="A36" s="917" t="inlineStr">
        <is>
          <t>Category</t>
        </is>
      </c>
      <c r="B36" s="917" t="n"/>
      <c r="C36" s="1618" t="inlineStr">
        <is>
          <t>Projected Expenses</t>
        </is>
      </c>
      <c r="D36" s="945" t="inlineStr">
        <is>
          <t>Projected Income</t>
        </is>
      </c>
      <c r="E36" s="1618" t="inlineStr">
        <is>
          <t>PSF</t>
        </is>
      </c>
      <c r="F36" s="1550" t="n"/>
      <c r="G36" s="1550" t="n"/>
      <c r="H36" s="1550" t="n"/>
      <c r="I36" s="1550" t="n"/>
      <c r="J36" s="1550" t="n"/>
      <c r="K36" s="1550" t="n"/>
      <c r="L36" s="1550" t="n"/>
      <c r="M36" s="1550" t="n"/>
      <c r="N36" s="1550" t="n"/>
      <c r="O36" s="1550" t="n"/>
    </row>
    <row r="37">
      <c r="A37" s="946" t="inlineStr">
        <is>
          <t>Potential Gross Rental Income (PGRI)</t>
        </is>
      </c>
      <c r="B37" s="947" t="n"/>
      <c r="C37" s="948" t="n"/>
      <c r="D37" s="2224">
        <f>+D11</f>
        <v/>
      </c>
      <c r="E37" s="2225">
        <f>+D37/$B$2</f>
        <v/>
      </c>
      <c r="F37" s="1550" t="n"/>
      <c r="G37" s="1550" t="n"/>
      <c r="H37" s="1550" t="n"/>
      <c r="I37" s="1550" t="n"/>
      <c r="J37" s="2226" t="n"/>
      <c r="K37" s="1550" t="n"/>
      <c r="L37" s="1550" t="n"/>
      <c r="M37" s="1550" t="n"/>
      <c r="N37" s="1550" t="n"/>
      <c r="O37" s="1550" t="n"/>
    </row>
    <row r="38">
      <c r="A38" s="946" t="inlineStr">
        <is>
          <t>Plus:  Other Income</t>
        </is>
      </c>
      <c r="B38" s="952" t="n"/>
      <c r="C38" s="953" t="n"/>
      <c r="D38" s="2227" t="n">
        <v>0</v>
      </c>
      <c r="E38" s="2228">
        <f>+D38/$B$2</f>
        <v/>
      </c>
      <c r="F38" s="1550" t="n"/>
      <c r="G38" s="1550" t="n"/>
      <c r="H38" s="1550" t="n"/>
      <c r="I38" s="1550" t="n"/>
      <c r="J38" s="1550" t="n"/>
      <c r="K38" s="1550" t="n"/>
      <c r="L38" s="1550" t="n"/>
      <c r="M38" s="1550" t="n"/>
      <c r="N38" s="1550" t="n"/>
      <c r="O38" s="1550" t="n"/>
    </row>
    <row r="39">
      <c r="A39" s="956" t="inlineStr">
        <is>
          <t>Plus:  Pass-Through Income</t>
        </is>
      </c>
      <c r="B39" s="957" t="n"/>
      <c r="C39" s="958" t="n"/>
      <c r="D39" s="2229" t="n">
        <v>0</v>
      </c>
      <c r="E39" s="2230">
        <f>+D39/$B$2</f>
        <v/>
      </c>
      <c r="F39" s="1550" t="n"/>
      <c r="G39" s="1550" t="n"/>
      <c r="H39" s="1550" t="n"/>
      <c r="I39" s="1550" t="n"/>
      <c r="J39" s="1550" t="n"/>
      <c r="K39" s="1550" t="n"/>
      <c r="L39" s="1550" t="n"/>
      <c r="M39" s="1550" t="n"/>
      <c r="N39" s="1550" t="n"/>
      <c r="O39" s="1550" t="n"/>
    </row>
    <row r="40">
      <c r="A40" s="961" t="inlineStr">
        <is>
          <t>Total Potential Gross Rental Income</t>
        </is>
      </c>
      <c r="B40" s="962" t="n"/>
      <c r="C40" s="963" t="n"/>
      <c r="D40" s="2231">
        <f>SUM(D37:D39)</f>
        <v/>
      </c>
      <c r="E40" s="2232">
        <f>+D40/$B$2</f>
        <v/>
      </c>
      <c r="F40" s="1550" t="n"/>
      <c r="G40" s="1550" t="n"/>
      <c r="H40" s="1550" t="n"/>
      <c r="I40" s="1550" t="n"/>
      <c r="J40" s="1550" t="n"/>
      <c r="K40" s="1550" t="n"/>
      <c r="L40" s="1550" t="n"/>
      <c r="M40" s="1550" t="n"/>
      <c r="N40" s="1550" t="n"/>
      <c r="O40" s="1550" t="n"/>
    </row>
    <row r="41">
      <c r="A41" s="946" t="inlineStr">
        <is>
          <t>Less: Market Vacancy</t>
        </is>
      </c>
      <c r="B41" s="966">
        <f>D22</f>
        <v/>
      </c>
      <c r="C41" s="2233">
        <f>+B41*D40*-1</f>
        <v/>
      </c>
      <c r="D41" s="968" t="n"/>
      <c r="E41" s="2234">
        <f>+C41/$B$2</f>
        <v/>
      </c>
      <c r="F41" s="1550" t="n"/>
      <c r="G41" s="1550" t="n"/>
      <c r="H41" s="1550" t="n"/>
      <c r="I41" s="1550" t="n"/>
      <c r="J41" s="1550" t="n"/>
      <c r="K41" s="1550" t="n"/>
      <c r="L41" s="1550" t="n"/>
      <c r="M41" s="1550" t="n"/>
      <c r="N41" s="1550" t="n"/>
      <c r="O41" s="1550" t="n"/>
    </row>
    <row r="42">
      <c r="A42" s="961" t="inlineStr">
        <is>
          <t>Effective Gross Income (EGI)</t>
        </is>
      </c>
      <c r="B42" s="962" t="n"/>
      <c r="C42" s="963" t="n"/>
      <c r="D42" s="2231">
        <f>+D40+C41</f>
        <v/>
      </c>
      <c r="E42" s="2232">
        <f>+D42/$B$2</f>
        <v/>
      </c>
      <c r="F42" s="1550" t="n"/>
      <c r="G42" s="1550" t="n"/>
      <c r="H42" s="1550" t="n"/>
      <c r="I42" s="1550" t="n"/>
      <c r="J42" s="1550" t="n"/>
      <c r="K42" s="1550" t="n"/>
      <c r="L42" s="1550" t="n"/>
      <c r="M42" s="1550" t="n"/>
      <c r="N42" s="1550" t="n"/>
      <c r="O42" s="1550" t="n"/>
    </row>
    <row r="43">
      <c r="A43" s="970" t="inlineStr">
        <is>
          <t>Fixed Expenses</t>
        </is>
      </c>
      <c r="B43" s="971" t="n"/>
      <c r="C43" s="972" t="n"/>
      <c r="D43" s="972" t="n"/>
      <c r="E43" s="972" t="n"/>
      <c r="F43" s="1550" t="n"/>
      <c r="G43" s="1550" t="n"/>
      <c r="H43" s="1550" t="n"/>
      <c r="I43" s="1550" t="n"/>
      <c r="J43" s="1550" t="n"/>
      <c r="K43" s="1550" t="n"/>
      <c r="L43" s="1550" t="n"/>
      <c r="M43" s="1550" t="n"/>
      <c r="N43" s="1550" t="n"/>
      <c r="O43" s="1550" t="n"/>
    </row>
    <row r="44">
      <c r="A44" s="973" t="inlineStr">
        <is>
          <t>Owner's Expenses</t>
        </is>
      </c>
      <c r="B44" s="974" t="n">
        <v>0.01</v>
      </c>
      <c r="C44" s="2235">
        <f>+B44*D42*-1</f>
        <v/>
      </c>
      <c r="D44" s="976" t="inlineStr">
        <is>
          <t> </t>
        </is>
      </c>
      <c r="E44" s="2235">
        <f>+C44/$B$2</f>
        <v/>
      </c>
      <c r="F44" s="1550" t="n"/>
      <c r="G44" s="1550" t="n"/>
      <c r="H44" s="1550" t="n"/>
      <c r="I44" s="1550" t="n"/>
      <c r="J44" s="1550" t="n"/>
      <c r="K44" s="1550" t="n"/>
      <c r="L44" s="1550" t="n"/>
      <c r="M44" s="1550" t="n"/>
      <c r="N44" s="1550" t="n"/>
      <c r="O44" s="1550" t="n"/>
    </row>
    <row r="45" ht="30" customHeight="1" s="1439">
      <c r="A45" s="956" t="inlineStr">
        <is>
          <t xml:space="preserve">Operating Expense Recovery Loss During Vacancy </t>
        </is>
      </c>
      <c r="B45" s="977">
        <f>D33</f>
        <v/>
      </c>
      <c r="C45" s="2229">
        <f>-D32</f>
        <v/>
      </c>
      <c r="D45" s="978" t="n"/>
      <c r="E45" s="2236">
        <f>+C45/$B$2</f>
        <v/>
      </c>
      <c r="F45" s="1550" t="n"/>
      <c r="G45" s="1550" t="n"/>
      <c r="H45" s="1550" t="n"/>
      <c r="I45" s="1550" t="n"/>
      <c r="J45" s="1550" t="n"/>
      <c r="K45" s="1550" t="n"/>
      <c r="L45" s="1550" t="n"/>
      <c r="M45" s="1550" t="n"/>
      <c r="N45" s="1550" t="n"/>
      <c r="O45" s="1550" t="n"/>
    </row>
    <row r="46">
      <c r="A46" s="980" t="inlineStr">
        <is>
          <t xml:space="preserve">Total Expenses </t>
        </is>
      </c>
      <c r="B46" s="980" t="n"/>
      <c r="C46" s="2237">
        <f>SUM(C44:C45)</f>
        <v/>
      </c>
      <c r="D46" s="982" t="n"/>
      <c r="E46" s="2238">
        <f>+C46/$B$2</f>
        <v/>
      </c>
      <c r="F46" s="1550" t="n"/>
      <c r="G46" s="1550" t="n"/>
      <c r="H46" s="1550" t="n"/>
      <c r="I46" s="1550" t="n"/>
      <c r="J46" s="1550" t="n"/>
      <c r="K46" s="1550" t="n"/>
      <c r="L46" s="1550" t="n"/>
      <c r="M46" s="1550" t="n"/>
      <c r="N46" s="1550" t="n"/>
      <c r="O46" s="1550" t="n"/>
    </row>
    <row r="47">
      <c r="A47" s="984" t="inlineStr">
        <is>
          <t>Net Operating Income</t>
        </is>
      </c>
      <c r="B47" s="984" t="n"/>
      <c r="C47" s="2239" t="n"/>
      <c r="D47" s="2240">
        <f>+D42+C46</f>
        <v/>
      </c>
      <c r="E47" s="2241">
        <f>+D47/$B$2</f>
        <v/>
      </c>
      <c r="F47" s="1550" t="n"/>
      <c r="G47" s="1550" t="n"/>
      <c r="H47" s="1550" t="n"/>
      <c r="I47" s="1550" t="n"/>
      <c r="J47" s="1550" t="n"/>
      <c r="K47" s="1550" t="n"/>
      <c r="L47" s="1550" t="n"/>
      <c r="M47" s="1550" t="n"/>
      <c r="N47" s="1550" t="n"/>
      <c r="O47" s="1550" t="n"/>
      <c r="S47" s="1550" t="inlineStr">
        <is>
          <t>Reconciled OAR</t>
        </is>
      </c>
      <c r="T47" s="988" t="n">
        <v>0.11</v>
      </c>
      <c r="U47" s="914" t="inlineStr">
        <is>
          <t>←</t>
        </is>
      </c>
    </row>
    <row r="48" ht="8.25" customHeight="1" s="1439">
      <c r="B48" s="1550" t="n"/>
      <c r="C48" s="1550" t="n"/>
      <c r="D48" s="1550" t="n"/>
      <c r="E48" s="1550" t="n"/>
      <c r="F48" s="1550" t="n"/>
      <c r="G48" s="1550" t="n"/>
      <c r="H48" s="1550" t="n"/>
      <c r="I48" s="1550" t="n"/>
      <c r="J48" s="1550" t="n"/>
      <c r="K48" s="1550" t="n"/>
      <c r="L48" s="1550" t="n"/>
      <c r="M48" s="1550" t="n"/>
      <c r="N48" s="1550" t="n"/>
      <c r="O48" s="1550" t="n"/>
      <c r="S48" s="1550" t="inlineStr">
        <is>
          <t>Sensitivity</t>
        </is>
      </c>
      <c r="T48" s="988" t="n">
        <v>0.0025</v>
      </c>
      <c r="U48" s="914" t="inlineStr">
        <is>
          <t>←</t>
        </is>
      </c>
    </row>
    <row r="49">
      <c r="A49" s="1545" t="inlineStr">
        <is>
          <t>Third Party Surveys - Capitalization Rates</t>
        </is>
      </c>
      <c r="F49" s="1550" t="n"/>
      <c r="G49" s="1550" t="n"/>
      <c r="H49" s="1550" t="n"/>
      <c r="I49" s="1550" t="n"/>
      <c r="J49" s="1550" t="n"/>
      <c r="K49" s="1550" t="n"/>
      <c r="L49" s="1550" t="n"/>
      <c r="M49" s="1550" t="n"/>
      <c r="N49" s="1550" t="n"/>
      <c r="O49" s="1550" t="n"/>
    </row>
    <row r="50">
      <c r="A50" s="989" t="inlineStr">
        <is>
          <t>Category</t>
        </is>
      </c>
      <c r="B50" s="1683" t="n"/>
      <c r="C50" s="1683" t="inlineStr">
        <is>
          <t>CoStar</t>
        </is>
      </c>
      <c r="D50" s="1683" t="inlineStr">
        <is>
          <t>CoStar</t>
        </is>
      </c>
      <c r="E50" s="1683" t="n"/>
      <c r="F50" s="1550" t="n"/>
      <c r="G50" s="1550" t="n"/>
      <c r="H50" s="1550" t="n"/>
      <c r="I50" s="1550" t="n"/>
      <c r="J50" s="1550" t="n"/>
      <c r="K50" s="1550" t="n"/>
      <c r="L50" s="1550" t="n"/>
      <c r="M50" s="1550" t="n"/>
      <c r="N50" s="1550" t="n"/>
      <c r="O50" s="1550" t="n"/>
      <c r="S50" s="1679" t="inlineStr">
        <is>
          <t>Value Indications</t>
        </is>
      </c>
      <c r="T50" s="1680" t="n"/>
      <c r="U50" s="1680" t="n"/>
      <c r="V50" s="1681" t="n"/>
    </row>
    <row r="51" ht="30" customHeight="1" s="1439">
      <c r="A51" s="991" t="inlineStr">
        <is>
          <t>Date of Survey</t>
        </is>
      </c>
      <c r="B51" s="992" t="n"/>
      <c r="C51" s="1374" t="inlineStr">
        <is>
          <t>01/01/2019-06/30/2020</t>
        </is>
      </c>
      <c r="D51" s="1374" t="inlineStr">
        <is>
          <t>01/01/2019-06/30/2020</t>
        </is>
      </c>
      <c r="E51" s="993" t="n"/>
      <c r="F51" s="1550" t="n"/>
      <c r="G51" s="1550" t="n"/>
      <c r="H51" s="1550" t="n"/>
      <c r="I51" s="1550" t="n"/>
      <c r="J51" s="1550" t="n"/>
      <c r="K51" s="1550" t="n"/>
      <c r="L51" s="1550" t="n"/>
      <c r="M51" s="1550" t="n"/>
      <c r="N51" s="1550" t="n"/>
      <c r="O51" s="1550" t="n"/>
      <c r="S51" s="994" t="inlineStr">
        <is>
          <t>Category</t>
        </is>
      </c>
      <c r="T51" s="1675" t="inlineStr">
        <is>
          <t>Value Range</t>
        </is>
      </c>
      <c r="U51" s="1676" t="n"/>
      <c r="V51" s="1677" t="n"/>
    </row>
    <row r="52" ht="30" customHeight="1" s="1439">
      <c r="A52" s="991" t="inlineStr">
        <is>
          <t>Market</t>
        </is>
      </c>
      <c r="B52" s="995" t="n"/>
      <c r="C52" s="1375" t="inlineStr">
        <is>
          <t>Denver CBSA</t>
        </is>
      </c>
      <c r="D52" s="1375" t="inlineStr">
        <is>
          <t>Adams County</t>
        </is>
      </c>
      <c r="E52" s="993" t="n"/>
      <c r="F52" s="1550" t="n"/>
      <c r="G52" s="1550" t="n"/>
      <c r="H52" s="1550" t="n"/>
      <c r="I52" s="1550" t="n"/>
      <c r="J52" s="1550" t="n"/>
      <c r="K52" s="1550" t="n"/>
      <c r="L52" s="1550" t="n"/>
      <c r="M52" s="1550" t="n"/>
      <c r="N52" s="1550" t="n"/>
      <c r="O52" s="1550" t="n"/>
      <c r="S52" s="996" t="inlineStr">
        <is>
          <t>Net Operating Income</t>
        </is>
      </c>
      <c r="T52" s="2242">
        <f>+$D$47</f>
        <v/>
      </c>
      <c r="U52" s="2242">
        <f>+$D$47</f>
        <v/>
      </c>
      <c r="V52" s="2243">
        <f>+$D$47</f>
        <v/>
      </c>
    </row>
    <row r="53" ht="30" customHeight="1" s="1439">
      <c r="A53" s="991" t="inlineStr">
        <is>
          <t>Property Type</t>
        </is>
      </c>
      <c r="B53" s="999" t="n"/>
      <c r="C53" s="1374" t="inlineStr">
        <is>
          <t>Industrial/Flex</t>
        </is>
      </c>
      <c r="D53" s="1376" t="inlineStr">
        <is>
          <t>Industrial/Flex</t>
        </is>
      </c>
      <c r="E53" s="993" t="n"/>
      <c r="F53" s="1550" t="n"/>
      <c r="G53" s="1550" t="n"/>
      <c r="H53" s="1550" t="n"/>
      <c r="I53" s="1550" t="n"/>
      <c r="J53" s="1550" t="n"/>
      <c r="K53" s="1550" t="n"/>
      <c r="L53" s="1550" t="n"/>
      <c r="M53" s="1550" t="n"/>
      <c r="N53" s="1550" t="n"/>
      <c r="O53" s="1550" t="n"/>
      <c r="S53" s="1000" t="inlineStr">
        <is>
          <t>Capitalization Rate</t>
        </is>
      </c>
      <c r="T53" s="1001">
        <f>U53-T48</f>
        <v/>
      </c>
      <c r="U53" s="1001">
        <f>T47</f>
        <v/>
      </c>
      <c r="V53" s="1002">
        <f>U53+T48</f>
        <v/>
      </c>
    </row>
    <row r="54">
      <c r="A54" s="1003" t="inlineStr">
        <is>
          <t>Range Average</t>
        </is>
      </c>
      <c r="B54" s="1004" t="n"/>
      <c r="C54" s="1005" t="inlineStr">
        <is>
          <t>4.0% - 12.0%</t>
        </is>
      </c>
      <c r="D54" s="1004" t="inlineStr">
        <is>
          <t>4.0% - 11.0%</t>
        </is>
      </c>
      <c r="E54" s="1003" t="n"/>
      <c r="F54" s="2212" t="inlineStr">
        <is>
          <t>←Change</t>
        </is>
      </c>
      <c r="G54" s="1296" t="n"/>
      <c r="H54" s="1550" t="n"/>
      <c r="I54" s="1550" t="n"/>
      <c r="J54" s="1550" t="n"/>
      <c r="K54" s="1550" t="n"/>
      <c r="L54" s="1550" t="n"/>
      <c r="M54" s="1550" t="n"/>
      <c r="N54" s="1550" t="n"/>
      <c r="O54" s="1550" t="n"/>
      <c r="S54" s="1006" t="inlineStr">
        <is>
          <t>Value Indication</t>
        </is>
      </c>
      <c r="T54" s="2244">
        <f>+T52/T53</f>
        <v/>
      </c>
      <c r="U54" s="2244">
        <f>+U52/U53</f>
        <v/>
      </c>
      <c r="V54" s="2245">
        <f>+V52/V53</f>
        <v/>
      </c>
    </row>
    <row r="55">
      <c r="A55" s="1009" t="inlineStr">
        <is>
          <t>Average</t>
        </is>
      </c>
      <c r="B55" s="1010" t="n"/>
      <c r="C55" s="1011" t="n">
        <v>0.07000000000000001</v>
      </c>
      <c r="D55" s="1010" t="n">
        <v>0.068</v>
      </c>
      <c r="E55" s="1012" t="n"/>
      <c r="F55" s="2212" t="inlineStr">
        <is>
          <t>←Change</t>
        </is>
      </c>
      <c r="G55" s="1296" t="n"/>
      <c r="H55" s="1550" t="n"/>
      <c r="I55" s="1550" t="n"/>
      <c r="J55" s="1550" t="n"/>
      <c r="K55" s="1550" t="n"/>
      <c r="L55" s="1550" t="n"/>
      <c r="M55" s="1550" t="n"/>
      <c r="N55" s="1550" t="n"/>
      <c r="O55" s="1550" t="n"/>
      <c r="S55" s="1013" t="inlineStr">
        <is>
          <t>Rounded</t>
        </is>
      </c>
      <c r="T55" s="2246">
        <f>MROUND(T54,5000)</f>
        <v/>
      </c>
      <c r="U55" s="2246">
        <f>MROUND(U54,5000)</f>
        <v/>
      </c>
      <c r="V55" s="2247">
        <f>MROUND(V54,5000)</f>
        <v/>
      </c>
    </row>
    <row r="56">
      <c r="A56" s="1016" t="inlineStr">
        <is>
          <t>Capitalization Rate Conclusion</t>
        </is>
      </c>
      <c r="B56" s="1017" t="n"/>
      <c r="C56" s="1018" t="n"/>
      <c r="D56" s="1377" t="n">
        <v>0.065</v>
      </c>
      <c r="E56" s="1019" t="n"/>
      <c r="F56" s="1020">
        <f>D56*100</f>
        <v/>
      </c>
      <c r="G56" s="1550" t="n"/>
      <c r="H56" s="1550" t="n"/>
      <c r="I56" s="1550" t="n"/>
      <c r="J56" s="1550" t="n"/>
      <c r="K56" s="1550" t="n"/>
      <c r="L56" s="1550" t="n"/>
      <c r="M56" s="1550" t="n"/>
      <c r="N56" s="1550" t="n"/>
      <c r="O56" s="1550" t="n"/>
      <c r="S56" s="1021" t="n"/>
      <c r="T56" s="2248" t="n"/>
      <c r="U56" s="2248" t="n"/>
      <c r="V56" s="2248" t="n"/>
    </row>
    <row r="57" ht="6.75" customHeight="1" s="1439">
      <c r="A57" s="1023" t="n"/>
      <c r="B57" s="1024" t="n"/>
      <c r="C57" s="1025" t="n"/>
      <c r="D57" s="1024" t="n"/>
      <c r="E57" s="1026" t="n"/>
      <c r="F57" s="362" t="n"/>
      <c r="G57" s="1550" t="n"/>
      <c r="H57" s="1550" t="n"/>
      <c r="I57" s="1550" t="n"/>
      <c r="J57" s="1550" t="n"/>
      <c r="K57" s="1550" t="n"/>
      <c r="L57" s="1550" t="n"/>
      <c r="M57" s="1550" t="n"/>
      <c r="N57" s="1550" t="n"/>
      <c r="O57" s="1550" t="n"/>
      <c r="S57" s="1021" t="n"/>
      <c r="T57" s="2248" t="n"/>
      <c r="U57" s="2248" t="n"/>
      <c r="V57" s="2248" t="n"/>
    </row>
    <row r="58">
      <c r="A58" s="1652" t="inlineStr">
        <is>
          <t>DIRECT CAPITALIZATION METHOD VALUE CONCLUSION</t>
        </is>
      </c>
      <c r="B58" s="1458" t="n"/>
      <c r="C58" s="1458" t="n"/>
      <c r="D58" s="1458" t="n"/>
      <c r="E58" s="1458" t="n"/>
      <c r="F58" s="1550" t="n"/>
      <c r="G58" s="1550" t="n"/>
      <c r="H58" s="1550" t="n"/>
      <c r="I58" s="1550" t="n"/>
      <c r="J58" s="1550" t="n"/>
      <c r="K58" s="1550" t="n"/>
      <c r="L58" s="1550" t="n"/>
      <c r="M58" s="1550" t="n"/>
      <c r="N58" s="1550" t="n"/>
      <c r="O58" s="1550" t="n"/>
      <c r="T58" s="1550" t="inlineStr">
        <is>
          <t>psf</t>
        </is>
      </c>
      <c r="U58" s="2221">
        <f>U55/B2</f>
        <v/>
      </c>
    </row>
    <row r="59">
      <c r="A59" s="1027" t="inlineStr">
        <is>
          <t>Net Operating Income (NOI)</t>
        </is>
      </c>
      <c r="B59" s="1027" t="n"/>
      <c r="C59" s="2249">
        <f>D47</f>
        <v/>
      </c>
      <c r="D59" s="2250">
        <f>C59/B2</f>
        <v/>
      </c>
      <c r="E59" s="1599" t="n"/>
      <c r="F59" s="1550" t="n"/>
      <c r="G59" s="1550" t="n"/>
      <c r="H59" s="1550" t="n"/>
      <c r="I59" s="1550" t="n"/>
      <c r="J59" s="1550" t="n"/>
      <c r="K59" s="1550" t="n"/>
      <c r="L59" s="1550" t="n"/>
      <c r="M59" s="1550" t="n"/>
      <c r="N59" s="1550" t="n"/>
      <c r="O59" s="1550" t="n"/>
    </row>
    <row r="60">
      <c r="A60" s="2251" t="n">
        <v>0.0025</v>
      </c>
      <c r="B60" s="2251" t="n"/>
      <c r="C60" s="1667" t="inlineStr">
        <is>
          <t>Value</t>
        </is>
      </c>
      <c r="D60" s="1667" t="inlineStr">
        <is>
          <t>$/SF</t>
        </is>
      </c>
      <c r="E60" s="1599" t="n"/>
      <c r="F60" s="1550" t="n"/>
      <c r="G60" s="1550" t="n"/>
      <c r="H60" s="1550" t="n"/>
      <c r="I60" s="1550" t="n"/>
      <c r="J60" s="1550" t="n"/>
      <c r="K60" s="1550" t="n"/>
      <c r="L60" s="1550" t="n"/>
      <c r="M60" s="1550" t="n"/>
      <c r="N60" s="1550" t="n"/>
      <c r="O60" s="1550" t="n"/>
    </row>
    <row r="61">
      <c r="A61" s="2252">
        <f>A72</f>
        <v/>
      </c>
      <c r="B61" s="2252" t="n"/>
      <c r="C61" s="1967">
        <f>C59/(D56-0.0025)</f>
        <v/>
      </c>
      <c r="D61" s="2253">
        <f>C61/B2</f>
        <v/>
      </c>
      <c r="E61" s="1468" t="n"/>
      <c r="F61" s="1550" t="n"/>
      <c r="G61" s="1550" t="n"/>
      <c r="H61" s="1550" t="n"/>
      <c r="I61" s="1550" t="n"/>
      <c r="J61" s="1550" t="n"/>
      <c r="K61" s="1550" t="n"/>
      <c r="L61" s="1550" t="n"/>
      <c r="M61" s="1550" t="n"/>
      <c r="N61" s="1550" t="n"/>
      <c r="O61" s="1550" t="n"/>
    </row>
    <row r="62">
      <c r="A62" s="2254">
        <f>A70</f>
        <v/>
      </c>
      <c r="B62" s="2255" t="n"/>
      <c r="C62" s="1967">
        <f>C59/D56</f>
        <v/>
      </c>
      <c r="D62" s="2256">
        <f>C62/B2</f>
        <v/>
      </c>
      <c r="F62" s="1550" t="n"/>
      <c r="G62" s="1550" t="n"/>
      <c r="H62" s="1550" t="n"/>
      <c r="I62" s="1550" t="n"/>
      <c r="J62" s="1550" t="n"/>
      <c r="K62" s="1550" t="n"/>
      <c r="L62" s="1550" t="n"/>
      <c r="M62" s="1550" t="n"/>
      <c r="N62" s="1550" t="n"/>
      <c r="O62" s="1550" t="n"/>
    </row>
    <row r="63">
      <c r="A63" s="2257">
        <f>A71</f>
        <v/>
      </c>
      <c r="B63" s="2257" t="n"/>
      <c r="C63" s="1967">
        <f>C59/(D56+0.0025)</f>
        <v/>
      </c>
      <c r="D63" s="2258">
        <f>C63/B2</f>
        <v/>
      </c>
      <c r="E63" s="1458" t="n"/>
      <c r="F63" s="1550" t="n"/>
      <c r="G63" s="1550" t="n"/>
      <c r="H63" s="1550" t="n"/>
      <c r="I63" s="1550" t="n"/>
      <c r="J63" s="1550" t="n"/>
      <c r="K63" s="1550" t="n"/>
      <c r="L63" s="1550" t="n"/>
      <c r="M63" s="1550" t="n"/>
      <c r="N63" s="1550" t="n"/>
      <c r="O63" s="1550" t="n"/>
    </row>
    <row r="64">
      <c r="A64" s="899" t="inlineStr">
        <is>
          <t>Reconciled Value</t>
        </is>
      </c>
      <c r="B64" s="899" t="n"/>
      <c r="C64" s="1970">
        <f>C62</f>
        <v/>
      </c>
      <c r="D64" s="2259">
        <f>C64/B2</f>
        <v/>
      </c>
      <c r="E64" s="1599" t="n"/>
      <c r="F64" s="1550" t="n"/>
      <c r="G64" s="1550" t="n"/>
      <c r="H64" s="1550" t="n"/>
      <c r="I64" s="1550" t="n"/>
      <c r="J64" s="1550" t="n"/>
      <c r="K64" s="1550" t="n"/>
      <c r="L64" s="1550" t="n"/>
      <c r="M64" s="1550" t="n"/>
      <c r="N64" s="1550" t="n"/>
      <c r="O64" s="1550" t="n"/>
    </row>
    <row r="65">
      <c r="A65" s="2260" t="n">
        <v>5000</v>
      </c>
      <c r="B65" s="2261" t="n"/>
      <c r="C65" s="2262">
        <f>ROUND((C64/A65),0)*A65</f>
        <v/>
      </c>
      <c r="D65" s="2263">
        <f>C65/B2</f>
        <v/>
      </c>
      <c r="E65" s="1599" t="n"/>
      <c r="F65" s="1550" t="n"/>
      <c r="G65" s="1550" t="n"/>
      <c r="H65" s="1550" t="n"/>
      <c r="I65" s="1550" t="n"/>
      <c r="J65" s="1550" t="n"/>
      <c r="K65" s="1550" t="n"/>
      <c r="L65" s="1550" t="n"/>
      <c r="M65" s="1550" t="n"/>
      <c r="N65" s="1550" t="n"/>
      <c r="O65" s="1550" t="n"/>
    </row>
    <row r="66">
      <c r="B66" s="1550" t="n"/>
      <c r="C66" s="1550" t="n"/>
      <c r="D66" s="1550" t="n"/>
      <c r="E66" s="1550" t="n"/>
      <c r="F66" s="1550" t="n"/>
      <c r="G66" s="1550" t="n"/>
      <c r="H66" s="1550" t="n"/>
      <c r="I66" s="1550" t="n"/>
      <c r="J66" s="1550" t="n"/>
      <c r="K66" s="1550" t="n"/>
      <c r="L66" s="1550" t="n"/>
      <c r="M66" s="1550" t="n"/>
      <c r="N66" s="1550" t="n"/>
      <c r="O66" s="1550" t="n"/>
    </row>
    <row r="67">
      <c r="B67" s="1550" t="n"/>
      <c r="C67" s="1550" t="n"/>
      <c r="D67" s="1550" t="n"/>
      <c r="E67" s="1550" t="n"/>
      <c r="F67" s="1550" t="n"/>
      <c r="G67" s="1550" t="n"/>
      <c r="H67" s="1550" t="n"/>
      <c r="I67" s="1550" t="n"/>
      <c r="J67" s="1550" t="n"/>
      <c r="K67" s="1550" t="n"/>
      <c r="L67" s="1550" t="n"/>
      <c r="M67" s="1550" t="n"/>
      <c r="N67" s="1550" t="n"/>
      <c r="O67" s="1550" t="n"/>
    </row>
    <row r="68">
      <c r="B68" s="1550" t="n"/>
      <c r="C68" s="1550" t="n"/>
      <c r="D68" s="1550" t="n"/>
      <c r="E68" s="1550" t="n"/>
      <c r="F68" s="1550" t="n"/>
      <c r="G68" s="1550" t="n"/>
      <c r="H68" s="1550" t="n"/>
      <c r="I68" s="1550" t="n"/>
      <c r="J68" s="1550" t="n"/>
      <c r="K68" s="1550" t="n"/>
      <c r="L68" s="1550" t="n"/>
      <c r="M68" s="1550" t="n"/>
      <c r="N68" s="1550" t="n"/>
      <c r="O68" s="1550" t="n"/>
    </row>
    <row r="69" ht="15.75" customHeight="1" s="1439" thickBot="1">
      <c r="A69" s="1550" t="inlineStr">
        <is>
          <t>Do not overwright</t>
        </is>
      </c>
      <c r="B69" s="1550" t="n"/>
      <c r="C69" s="1550" t="n"/>
      <c r="D69" s="1550" t="n"/>
      <c r="E69" s="1550" t="n"/>
      <c r="F69" s="1550" t="n"/>
      <c r="G69" s="1550" t="n"/>
      <c r="H69" s="1550" t="n"/>
      <c r="I69" s="1550" t="n"/>
      <c r="J69" s="1550" t="n"/>
      <c r="K69" s="1550" t="n"/>
      <c r="L69" s="1550" t="n"/>
      <c r="M69" s="1550" t="n"/>
      <c r="N69" s="1550" t="n"/>
      <c r="O69" s="1550" t="n"/>
    </row>
    <row r="70">
      <c r="A70" s="1378">
        <f>CONCATENATE("Based on Most Probable Range of ", FIXED(F56, 2), "%")</f>
        <v/>
      </c>
      <c r="B70" s="1550" t="n"/>
      <c r="C70" s="1550" t="n"/>
      <c r="D70" s="1550" t="n"/>
      <c r="E70" s="1550" t="n"/>
      <c r="F70" s="1550" t="n"/>
      <c r="G70" s="1550" t="n"/>
      <c r="H70" s="1550" t="n"/>
      <c r="I70" s="1550" t="n"/>
      <c r="J70" s="1550" t="n"/>
      <c r="K70" s="1550" t="n"/>
      <c r="L70" s="1550" t="n"/>
      <c r="M70" s="1550" t="n"/>
      <c r="N70" s="1550" t="n"/>
      <c r="O70" s="1550" t="n"/>
    </row>
    <row r="71">
      <c r="A71" s="1379">
        <f>CONCATENATE("Based on High-Range of ", FIXED(F56+0.25, 2), "%")</f>
        <v/>
      </c>
      <c r="B71" s="1550" t="n"/>
      <c r="C71" s="1550" t="n"/>
      <c r="D71" s="1550" t="n"/>
      <c r="E71" s="1550" t="n"/>
      <c r="F71" s="1550" t="n"/>
      <c r="G71" s="1550" t="n"/>
      <c r="H71" s="1550" t="n"/>
      <c r="I71" s="1550" t="n"/>
      <c r="J71" s="1550" t="n"/>
      <c r="K71" s="1550" t="n"/>
      <c r="L71" s="1550" t="n"/>
      <c r="M71" s="1550" t="n"/>
      <c r="N71" s="1550" t="n"/>
      <c r="O71" s="1550" t="n"/>
    </row>
    <row r="72" ht="15.75" customHeight="1" s="1439" thickBot="1">
      <c r="A72" s="1380">
        <f>CONCATENATE("Based on Low-Range of ", FIXED(F56-0.25, 2), "%")</f>
        <v/>
      </c>
      <c r="B72" s="1550" t="n"/>
      <c r="C72" s="1550" t="n"/>
      <c r="D72" s="1550" t="n"/>
      <c r="E72" s="1550" t="n"/>
      <c r="F72" s="1550" t="n"/>
      <c r="G72" s="1550" t="n"/>
      <c r="H72" s="1550" t="n"/>
      <c r="I72" s="1550" t="n"/>
      <c r="J72" s="1550" t="n"/>
      <c r="K72" s="1550" t="n"/>
      <c r="L72" s="1550" t="n"/>
      <c r="M72" s="1550" t="n"/>
      <c r="N72" s="1550" t="n"/>
      <c r="O72" s="1550" t="n"/>
    </row>
    <row r="73">
      <c r="B73" s="1550" t="n"/>
      <c r="C73" s="1550" t="n"/>
      <c r="D73" s="1550" t="n"/>
      <c r="E73" s="1550" t="n"/>
      <c r="F73" s="1550" t="n"/>
      <c r="G73" s="1550" t="n"/>
      <c r="H73" s="1550" t="n"/>
      <c r="I73" s="1550" t="n"/>
      <c r="J73" s="1550" t="n"/>
      <c r="K73" s="1550" t="n"/>
      <c r="L73" s="1550" t="n"/>
      <c r="M73" s="1550" t="n"/>
      <c r="N73" s="1550" t="n"/>
      <c r="O73" s="1550" t="n"/>
    </row>
    <row r="74">
      <c r="B74" s="1550" t="n"/>
      <c r="C74" s="1550" t="n"/>
      <c r="D74" s="1550" t="n"/>
      <c r="E74" s="1550" t="n"/>
      <c r="F74" s="1550" t="n"/>
      <c r="G74" s="1550" t="n"/>
      <c r="H74" s="1550" t="n"/>
      <c r="I74" s="1550" t="n"/>
      <c r="J74" s="1550" t="n"/>
      <c r="K74" s="1550" t="n"/>
      <c r="L74" s="1550" t="n"/>
      <c r="M74" s="1550" t="n"/>
      <c r="N74" s="1550" t="n"/>
      <c r="O74" s="1550" t="n"/>
    </row>
    <row r="75">
      <c r="B75" s="1550" t="n"/>
      <c r="C75" s="1550" t="n"/>
      <c r="D75" s="1550" t="n"/>
      <c r="E75" s="1550" t="n"/>
      <c r="F75" s="1550" t="n"/>
      <c r="G75" s="1550" t="n"/>
      <c r="H75" s="1550" t="n"/>
      <c r="I75" s="1550" t="n"/>
      <c r="J75" s="1550" t="n"/>
      <c r="K75" s="1550" t="n"/>
      <c r="L75" s="1550" t="n"/>
      <c r="M75" s="1550" t="n"/>
      <c r="N75" s="1550" t="n"/>
      <c r="O75" s="1550" t="n"/>
    </row>
    <row r="76">
      <c r="B76" s="1550" t="n"/>
      <c r="C76" s="1550" t="n"/>
      <c r="D76" s="1550" t="n"/>
      <c r="E76" s="1550" t="n"/>
      <c r="F76" s="1550" t="n"/>
      <c r="G76" s="1550" t="n"/>
      <c r="H76" s="1550" t="n"/>
      <c r="I76" s="1550" t="n"/>
      <c r="J76" s="1550" t="n"/>
      <c r="K76" s="1550" t="n"/>
      <c r="L76" s="1550" t="n"/>
      <c r="M76" s="1550" t="n"/>
      <c r="N76" s="1550" t="n"/>
      <c r="O76" s="1550" t="n"/>
    </row>
    <row r="77">
      <c r="B77" s="1550" t="n"/>
      <c r="C77" s="1550" t="n"/>
      <c r="D77" s="1550" t="n"/>
      <c r="E77" s="1550" t="n"/>
      <c r="F77" s="1550" t="n"/>
      <c r="G77" s="1550" t="n"/>
      <c r="H77" s="1550" t="n"/>
      <c r="I77" s="1550" t="n"/>
      <c r="J77" s="1550" t="n"/>
      <c r="K77" s="1550" t="n"/>
      <c r="L77" s="1550" t="n"/>
      <c r="M77" s="1550" t="n"/>
      <c r="N77" s="1550" t="n"/>
      <c r="O77" s="1550" t="n"/>
    </row>
    <row r="78">
      <c r="B78" s="1550" t="n"/>
      <c r="C78" s="1550" t="n"/>
      <c r="D78" s="1550" t="n"/>
      <c r="E78" s="1550" t="n"/>
      <c r="F78" s="1550" t="n"/>
      <c r="G78" s="1550" t="n"/>
      <c r="H78" s="1550" t="n"/>
      <c r="I78" s="1550" t="n"/>
      <c r="J78" s="1550" t="n"/>
      <c r="K78" s="1550" t="n"/>
      <c r="L78" s="1550" t="n"/>
      <c r="M78" s="1550" t="n"/>
      <c r="N78" s="1550" t="n"/>
      <c r="O78" s="1550" t="n"/>
    </row>
    <row r="79">
      <c r="B79" s="1550" t="n"/>
      <c r="C79" s="1550" t="n"/>
      <c r="D79" s="1550" t="n"/>
      <c r="E79" s="1550" t="n"/>
      <c r="F79" s="1550" t="n"/>
      <c r="G79" s="1550" t="n"/>
      <c r="H79" s="1550" t="n"/>
      <c r="I79" s="1550" t="n"/>
      <c r="J79" s="1550" t="n"/>
      <c r="K79" s="1550" t="n"/>
      <c r="L79" s="1550" t="n"/>
      <c r="M79" s="1550" t="n"/>
      <c r="N79" s="1550" t="n"/>
      <c r="O79" s="1550" t="n"/>
    </row>
    <row r="80">
      <c r="B80" s="1550" t="n"/>
      <c r="C80" s="1550" t="n"/>
      <c r="D80" s="1550" t="n"/>
      <c r="E80" s="1550" t="n"/>
      <c r="F80" s="1550" t="n"/>
      <c r="G80" s="1550" t="n"/>
      <c r="H80" s="1550" t="n"/>
      <c r="I80" s="1550" t="n"/>
      <c r="J80" s="1550" t="n"/>
      <c r="K80" s="1550" t="n"/>
      <c r="L80" s="1550" t="n"/>
      <c r="M80" s="1550" t="n"/>
      <c r="N80" s="1550" t="n"/>
      <c r="O80" s="1550" t="n"/>
    </row>
    <row r="81" customFormat="1" s="1550"/>
    <row r="82" customFormat="1" s="1550"/>
    <row r="83" customFormat="1" s="1550"/>
    <row r="84" customFormat="1" s="1550"/>
    <row r="85" customFormat="1" s="1550"/>
    <row r="86" customFormat="1" s="1550"/>
    <row r="87" customFormat="1" s="1550"/>
    <row r="88" customFormat="1" s="1550"/>
    <row r="89" customFormat="1" s="1550"/>
    <row r="90" customFormat="1" s="1550"/>
    <row r="91" customFormat="1" s="1550"/>
    <row r="92" customFormat="1" s="1550"/>
    <row r="93" customFormat="1" s="1550"/>
    <row r="94" customFormat="1" s="1550"/>
    <row r="95" customFormat="1" s="1550"/>
    <row r="96" customFormat="1" s="1550"/>
    <row r="97" customFormat="1" s="1550"/>
    <row r="98" customFormat="1" s="1550"/>
    <row r="99" customFormat="1" s="1550"/>
    <row r="100" customFormat="1" s="1550"/>
    <row r="101" customFormat="1" s="1550"/>
    <row r="102" customFormat="1" s="1550"/>
  </sheetData>
  <mergeCells count="39">
    <mergeCell ref="D60:E60"/>
    <mergeCell ref="A24:E24"/>
    <mergeCell ref="D63:E63"/>
    <mergeCell ref="A49:E49"/>
    <mergeCell ref="D22:E22"/>
    <mergeCell ref="G3:O3"/>
    <mergeCell ref="A21:C21"/>
    <mergeCell ref="D31:E31"/>
    <mergeCell ref="D65:E65"/>
    <mergeCell ref="T51:V51"/>
    <mergeCell ref="D21:E21"/>
    <mergeCell ref="S50:V50"/>
    <mergeCell ref="D11:E11"/>
    <mergeCell ref="A14:C14"/>
    <mergeCell ref="D27:E27"/>
    <mergeCell ref="A22:C22"/>
    <mergeCell ref="D32:E32"/>
    <mergeCell ref="D61:E61"/>
    <mergeCell ref="D16:E16"/>
    <mergeCell ref="J4:K4"/>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J297"/>
  <sheetViews>
    <sheetView workbookViewId="0">
      <selection activeCell="A1" sqref="A1"/>
    </sheetView>
  </sheetViews>
  <sheetFormatPr baseColWidth="8" defaultRowHeight="15"/>
  <sheetData>
    <row r="1">
      <c r="A1" t="inlineStr">
        <is>
          <t>Adams County (Unincorporated)</t>
        </is>
      </c>
      <c r="B1" t="inlineStr">
        <is>
          <t>Property Assessment</t>
        </is>
      </c>
      <c r="C1" t="inlineStr">
        <is>
          <t>Assessor Property Lookup</t>
        </is>
      </c>
      <c r="D1" t="inlineStr">
        <is>
          <t>https://adcogov.org/property-look</t>
        </is>
      </c>
      <c r="E1" t="inlineStr">
        <is>
          <t>Primary parcel/property search tool for all of Adams County</t>
        </is>
      </c>
    </row>
    <row r="2">
      <c r="A2" t="inlineStr">
        <is>
          <t>Adams County (Unincorporated)</t>
        </is>
      </c>
      <c r="B2" t="inlineStr">
        <is>
          <t>Property Assessment</t>
        </is>
      </c>
      <c r="C2" t="inlineStr">
        <is>
          <t>Assessor GIS QuickSearch</t>
        </is>
      </c>
      <c r="D2" t="inlineStr">
        <is>
          <t>https://gisapp.adcogov.org/quicksearch/</t>
        </is>
      </c>
      <c r="E2" t="inlineStr">
        <is>
          <t>Address or parcel-based search with map</t>
        </is>
      </c>
    </row>
    <row r="3">
      <c r="A3" t="inlineStr">
        <is>
          <t>Adams County (Unincorporated)</t>
        </is>
      </c>
      <c r="B3" t="inlineStr">
        <is>
          <t>Property Assessment</t>
        </is>
      </c>
      <c r="C3" t="inlineStr">
        <is>
          <t>Assessor Main Page</t>
        </is>
      </c>
      <c r="D3" t="inlineStr">
        <is>
          <t>https://adcogov.org/assessor</t>
        </is>
      </c>
      <c r="E3" t="inlineStr">
        <is>
          <t>Assessor office info and resources</t>
        </is>
      </c>
    </row>
    <row r="4">
      <c r="A4" t="inlineStr">
        <is>
          <t>Adams County (Unincorporated)</t>
        </is>
      </c>
      <c r="B4" t="inlineStr">
        <is>
          <t>Property Assessment</t>
        </is>
      </c>
      <c r="C4" t="inlineStr">
        <is>
          <t>NOV / Online Appeals Portal</t>
        </is>
      </c>
      <c r="D4" t="inlineStr">
        <is>
          <t>https://assessor.adcogov.org/</t>
        </is>
      </c>
      <c r="E4" t="inlineStr">
        <is>
          <t>Notice of Valuation and assessment appeals</t>
        </is>
      </c>
    </row>
    <row r="5">
      <c r="A5" t="inlineStr">
        <is>
          <t>Adams County (Unincorporated)</t>
        </is>
      </c>
      <c r="B5" t="inlineStr">
        <is>
          <t>Property Assessment</t>
        </is>
      </c>
      <c r="C5" t="inlineStr">
        <is>
          <t>Public Data Download</t>
        </is>
      </c>
      <c r="D5" t="inlineStr">
        <is>
          <t>https://assessornovs.adcogov.org/adamscountynovs</t>
        </is>
      </c>
      <c r="E5" t="inlineStr">
        <is>
          <t>Weekly-updated bulk assessor data download</t>
        </is>
      </c>
    </row>
    <row r="6">
      <c r="A6" t="inlineStr">
        <is>
          <t>Adams County (Unincorporated)</t>
        </is>
      </c>
      <c r="B6" t="inlineStr">
        <is>
          <t>Property Tax / Treasurer</t>
        </is>
      </c>
      <c r="C6" t="inlineStr">
        <is>
          <t>Treasurer Division</t>
        </is>
      </c>
      <c r="D6" t="inlineStr">
        <is>
          <t>https://adamscountyco.gov/our-county/elected-officials/treasurer-public-trustee/treasurer-division/</t>
        </is>
      </c>
      <c r="E6" t="inlineStr">
        <is>
          <t>Main treasurer page</t>
        </is>
      </c>
    </row>
    <row r="7">
      <c r="A7" t="inlineStr">
        <is>
          <t>Adams County (Unincorporated)</t>
        </is>
      </c>
      <c r="B7" t="inlineStr">
        <is>
          <t>Property Tax / Treasurer</t>
        </is>
      </c>
      <c r="C7" t="inlineStr">
        <is>
          <t>Online Tax Payment</t>
        </is>
      </c>
      <c r="D7" t="inlineStr">
        <is>
          <t>https://adcotax.com/treasurer/web/login.jsp</t>
        </is>
      </c>
      <c r="E7" t="inlineStr">
        <is>
          <t>Pay property taxes online</t>
        </is>
      </c>
    </row>
    <row r="8">
      <c r="A8" t="inlineStr">
        <is>
          <t>Adams County (Unincorporated)</t>
        </is>
      </c>
      <c r="B8" t="inlineStr">
        <is>
          <t>Property Tax / Treasurer</t>
        </is>
      </c>
      <c r="C8" t="inlineStr">
        <is>
          <t>Property Tax Inquiry</t>
        </is>
      </c>
      <c r="D8" t="inlineStr">
        <is>
          <t>https://adamsil.devnetwedge.com/</t>
        </is>
      </c>
      <c r="E8" t="inlineStr">
        <is>
          <t>Look up tax balances and payment history</t>
        </is>
      </c>
    </row>
    <row r="9">
      <c r="A9" t="inlineStr">
        <is>
          <t>Adams County (Unincorporated)</t>
        </is>
      </c>
      <c r="B9" t="inlineStr">
        <is>
          <t>Property Tax / Treasurer</t>
        </is>
      </c>
      <c r="C9" t="inlineStr">
        <is>
          <t>Taxing Authorities / Mill Levy</t>
        </is>
      </c>
      <c r="D9" t="inlineStr">
        <is>
          <t>https://adamscountyco.gov/our-county/elected-officials/treasurer-public-trustee/treasurer-division/property-tax-information/taxing-authorities/</t>
        </is>
      </c>
      <c r="E9" t="inlineStr">
        <is>
          <t>Mill levy lookup by taxing district</t>
        </is>
      </c>
    </row>
    <row r="10">
      <c r="A10" t="inlineStr">
        <is>
          <t>Adams County (Unincorporated)</t>
        </is>
      </c>
      <c r="B10" t="inlineStr">
        <is>
          <t>Property Tax / Treasurer</t>
        </is>
      </c>
      <c r="C10" t="inlineStr">
        <is>
          <t>DOLA Division of Property Taxation</t>
        </is>
      </c>
      <c r="D10" t="inlineStr">
        <is>
          <t>https://dpt.colorado.gov/locality/adams-county-treasurer</t>
        </is>
      </c>
      <c r="E10" t="inlineStr">
        <is>
          <t>Colorado state-level property tax data for Adams County</t>
        </is>
      </c>
    </row>
    <row r="11">
      <c r="A11" t="inlineStr">
        <is>
          <t>Adams County (Unincorporated)</t>
        </is>
      </c>
      <c r="B11" t="inlineStr">
        <is>
          <t>Property Tax / Treasurer</t>
        </is>
      </c>
      <c r="C11" t="inlineStr">
        <is>
          <t>DOLA Mill Levy Public Info (HB24-1302)</t>
        </is>
      </c>
      <c r="D11" t="inlineStr">
        <is>
          <t>https://dlg.colorado.gov/hb24-1302-mill-levy-public-information</t>
        </is>
      </c>
      <c r="E11" t="inlineStr">
        <is>
          <t>Statewide mill levy transparency portal</t>
        </is>
      </c>
    </row>
    <row r="12">
      <c r="A12" t="inlineStr">
        <is>
          <t>Adams County (Unincorporated)</t>
        </is>
      </c>
      <c r="B12" t="inlineStr">
        <is>
          <t>Deed / Title Records</t>
        </is>
      </c>
      <c r="C12" t="inlineStr">
        <is>
          <t>Clerk &amp; Recorder Recording Page</t>
        </is>
      </c>
      <c r="D12" t="inlineStr">
        <is>
          <t>https://adcogov.org/recording</t>
        </is>
      </c>
      <c r="E12" t="inlineStr">
        <is>
          <t>Official recording office</t>
        </is>
      </c>
    </row>
    <row r="13">
      <c r="A13" t="inlineStr">
        <is>
          <t>Adams County (Unincorporated)</t>
        </is>
      </c>
      <c r="B13" t="inlineStr">
        <is>
          <t>Deed / Title Records</t>
        </is>
      </c>
      <c r="C13" t="inlineStr">
        <is>
          <t>Landmark Web Document Search</t>
        </is>
      </c>
      <c r="D13" t="inlineStr">
        <is>
          <t>https://recording.adcogov.org/landmarkweb</t>
        </is>
      </c>
      <c r="E13" t="inlineStr">
        <is>
          <t>Grantor/Grantee deed search</t>
        </is>
      </c>
    </row>
    <row r="14">
      <c r="A14" t="inlineStr">
        <is>
          <t>Adams County (Unincorporated)</t>
        </is>
      </c>
      <c r="B14" t="inlineStr">
        <is>
          <t>Deed / Title Records</t>
        </is>
      </c>
      <c r="C14" t="inlineStr">
        <is>
          <t>Public Records / Recorded Documents</t>
        </is>
      </c>
      <c r="D14" t="inlineStr">
        <is>
          <t>https://adamscountyco.gov/service/find-public-records-recorded-documents/</t>
        </is>
      </c>
      <c r="E14" t="inlineStr">
        <is>
          <t>How to find recorded docs</t>
        </is>
      </c>
    </row>
    <row r="15">
      <c r="A15" t="inlineStr">
        <is>
          <t>Adams County (Unincorporated)</t>
        </is>
      </c>
      <c r="B15" t="inlineStr">
        <is>
          <t>Deed / Title Records</t>
        </is>
      </c>
      <c r="C15" t="inlineStr">
        <is>
          <t>E-Recording</t>
        </is>
      </c>
      <c r="D15" t="inlineStr">
        <is>
          <t>https://www.adcogov.org/e-recording</t>
        </is>
      </c>
      <c r="E15" t="inlineStr">
        <is>
          <t>Electronic document recording</t>
        </is>
      </c>
    </row>
    <row r="16">
      <c r="A16" t="inlineStr">
        <is>
          <t>Adams County (Unincorporated)</t>
        </is>
      </c>
      <c r="B16" t="inlineStr">
        <is>
          <t>GIS / Mapping</t>
        </is>
      </c>
      <c r="C16" t="inlineStr">
        <is>
          <t>Advanced GIS Map Viewer</t>
        </is>
      </c>
      <c r="D16" t="inlineStr">
        <is>
          <t>https://gisapp.adcogov.org/Html5Viewer/index.html?viewer=AdvancedExt.Advanced_HTML</t>
        </is>
      </c>
      <c r="E16" t="inlineStr">
        <is>
          <t>Full-featured interactive map</t>
        </is>
      </c>
    </row>
    <row r="17">
      <c r="A17" t="inlineStr">
        <is>
          <t>Adams County (Unincorporated)</t>
        </is>
      </c>
      <c r="B17" t="inlineStr">
        <is>
          <t>GIS / Mapping</t>
        </is>
      </c>
      <c r="C17" t="inlineStr">
        <is>
          <t>Open Data Hub (ArcGIS)</t>
        </is>
      </c>
      <c r="D17" t="inlineStr">
        <is>
          <t>https://data-adcogov.opendata.arcgis.com/</t>
        </is>
      </c>
      <c r="E17" t="inlineStr">
        <is>
          <t>Downloadable datasets including zoning</t>
        </is>
      </c>
      <c r="F17" t="inlineStr">
        <is>
          <t xml:space="preserve"> parcels</t>
        </is>
      </c>
      <c r="G17" t="inlineStr">
        <is>
          <t xml:space="preserve"> flood zones</t>
        </is>
      </c>
    </row>
    <row r="18">
      <c r="A18" t="inlineStr">
        <is>
          <t>Adams County (Unincorporated)</t>
        </is>
      </c>
      <c r="B18" t="inlineStr">
        <is>
          <t>GIS / Mapping</t>
        </is>
      </c>
      <c r="C18" t="inlineStr">
        <is>
          <t>GIS Interactive Maps Page</t>
        </is>
      </c>
      <c r="D18" t="inlineStr">
        <is>
          <t>https://adamscountyco.gov/service/gis-interactive-maps/</t>
        </is>
      </c>
      <c r="E18" t="inlineStr">
        <is>
          <t>Links to all county GIS tools</t>
        </is>
      </c>
    </row>
    <row r="19">
      <c r="A19" t="inlineStr">
        <is>
          <t>Adams County (Unincorporated)</t>
        </is>
      </c>
      <c r="B19" t="inlineStr">
        <is>
          <t>Permits</t>
        </is>
      </c>
      <c r="C19" t="inlineStr">
        <is>
          <t>E-Permit Center (Accela)</t>
        </is>
      </c>
      <c r="D19" t="inlineStr">
        <is>
          <t>https://aca-prod.accela.com/ADAMSCO/Default.aspx</t>
        </is>
      </c>
      <c r="E19" t="inlineStr">
        <is>
          <t>Online permit applications and search</t>
        </is>
      </c>
    </row>
    <row r="20">
      <c r="A20" t="inlineStr">
        <is>
          <t>Adams County (Unincorporated)</t>
        </is>
      </c>
      <c r="B20" t="inlineStr">
        <is>
          <t>Permits</t>
        </is>
      </c>
      <c r="C20" t="inlineStr">
        <is>
          <t>E-Permit Center Landing</t>
        </is>
      </c>
      <c r="D20" t="inlineStr">
        <is>
          <t>https://epermits.adcogov.org/</t>
        </is>
      </c>
      <c r="E20" t="inlineStr">
        <is>
          <t>Permit portal landing page</t>
        </is>
      </c>
    </row>
    <row r="21">
      <c r="A21" t="inlineStr">
        <is>
          <t>Adams County (Unincorporated)</t>
        </is>
      </c>
      <c r="B21" t="inlineStr">
        <is>
          <t>Permits</t>
        </is>
      </c>
      <c r="C21" t="inlineStr">
        <is>
          <t>Building Safety</t>
        </is>
      </c>
      <c r="D21" t="inlineStr">
        <is>
          <t>https://adcogov.org/building-safety</t>
        </is>
      </c>
      <c r="E21" t="inlineStr">
        <is>
          <t>Building department info</t>
        </is>
      </c>
    </row>
    <row r="22">
      <c r="A22" t="inlineStr">
        <is>
          <t>Adams County (Unincorporated)</t>
        </is>
      </c>
      <c r="B22" t="inlineStr">
        <is>
          <t>Code Enforcement</t>
        </is>
      </c>
      <c r="C22" t="inlineStr">
        <is>
          <t>Eye on Adams (Permits + Violations)</t>
        </is>
      </c>
      <c r="D22" t="inlineStr">
        <is>
          <t>https://adamscounty.buildingeye.com/</t>
        </is>
      </c>
      <c r="E22" t="inlineStr">
        <is>
          <t>Track permits and code enforcement cases</t>
        </is>
      </c>
    </row>
    <row r="23">
      <c r="A23" t="inlineStr">
        <is>
          <t>Adams County (Unincorporated)</t>
        </is>
      </c>
      <c r="B23" t="inlineStr">
        <is>
          <t>Code Enforcement</t>
        </is>
      </c>
      <c r="C23" t="inlineStr">
        <is>
          <t>Code Violations Enforcement Search</t>
        </is>
      </c>
      <c r="D23" t="inlineStr">
        <is>
          <t>https://adamscounty.buildingeye.com/enforcement</t>
        </is>
      </c>
      <c r="E23" t="inlineStr">
        <is>
          <t>Violation lookup only</t>
        </is>
      </c>
    </row>
    <row r="24">
      <c r="A24" t="inlineStr">
        <is>
          <t>Adams County (Unincorporated)</t>
        </is>
      </c>
      <c r="B24" t="inlineStr">
        <is>
          <t>Code Enforcement</t>
        </is>
      </c>
      <c r="C24" t="inlineStr">
        <is>
          <t>Neighborhood Services</t>
        </is>
      </c>
      <c r="D24" t="inlineStr">
        <is>
          <t>https://adcogov.org/neighborhood-services</t>
        </is>
      </c>
      <c r="E24" t="inlineStr">
        <is>
          <t>Report and track code complaints</t>
        </is>
      </c>
    </row>
    <row r="25">
      <c r="A25" t="inlineStr">
        <is>
          <t>Adams County (Unincorporated)</t>
        </is>
      </c>
      <c r="B25" t="inlineStr">
        <is>
          <t>Zoning / Planning</t>
        </is>
      </c>
      <c r="C25" t="inlineStr">
        <is>
          <t>Planning &amp; Development Main Page</t>
        </is>
      </c>
      <c r="D25" t="inlineStr">
        <is>
          <t>https://adamscountyco.gov/our-county/community-economic-development/planning-development/</t>
        </is>
      </c>
      <c r="E25" t="inlineStr">
        <is>
          <t>Unincorporated area zoning authority</t>
        </is>
      </c>
    </row>
    <row r="26">
      <c r="A26" t="inlineStr">
        <is>
          <t>Adams County (Unincorporated)</t>
        </is>
      </c>
      <c r="B26" t="inlineStr">
        <is>
          <t>Zoning / Planning</t>
        </is>
      </c>
      <c r="C26" t="inlineStr">
        <is>
          <t>Zoning Dataset (ArcGIS Open Data)</t>
        </is>
      </c>
      <c r="D26" t="inlineStr">
        <is>
          <t>https://data-adcogov.opendata.arcgis.com/datasets/ADCOGOV::zoning/about</t>
        </is>
      </c>
      <c r="E26" t="inlineStr">
        <is>
          <t>Downloadable zoning GIS layer</t>
        </is>
      </c>
    </row>
    <row r="27">
      <c r="A27" t="inlineStr">
        <is>
          <t>Adams County (Unincorporated)</t>
        </is>
      </c>
      <c r="B27" t="inlineStr">
        <is>
          <t>Zoning / Planning</t>
        </is>
      </c>
      <c r="C27" t="inlineStr">
        <is>
          <t>Development Standards &amp; Regulations</t>
        </is>
      </c>
      <c r="D27" t="inlineStr">
        <is>
          <t>https://online.encodeplus.com/regs/adamscounty-co/doc-viewer.aspx?secid=6410</t>
        </is>
      </c>
      <c r="E27" t="inlineStr">
        <is>
          <t>Online land development code</t>
        </is>
      </c>
    </row>
    <row r="28">
      <c r="A28" t="inlineStr">
        <is>
          <t>Adams County (Unincorporated)</t>
        </is>
      </c>
      <c r="B28" t="inlineStr">
        <is>
          <t>Flood Zone</t>
        </is>
      </c>
      <c r="C28" t="inlineStr">
        <is>
          <t>Floodplain Management Page</t>
        </is>
      </c>
      <c r="D28" t="inlineStr">
        <is>
          <t>https://adamscountyco.gov/our-county/community-economic-development/floodplain-management/</t>
        </is>
      </c>
      <c r="E28" t="inlineStr">
        <is>
          <t>County floodplain administrator</t>
        </is>
      </c>
    </row>
    <row r="29">
      <c r="A29" t="inlineStr">
        <is>
          <t>Adams County (Unincorporated)</t>
        </is>
      </c>
      <c r="B29" t="inlineStr">
        <is>
          <t>Flood Zone</t>
        </is>
      </c>
      <c r="C29" t="inlineStr">
        <is>
          <t>Flood Zones GIS Dataset</t>
        </is>
      </c>
      <c r="D29" t="inlineStr">
        <is>
          <t>https://data-adcogov.opendata.arcgis.com/datasets/flood-zones</t>
        </is>
      </c>
      <c r="E29" t="inlineStr">
        <is>
          <t>Downloadable FEMA flood zone layer</t>
        </is>
      </c>
    </row>
    <row r="30">
      <c r="A30" t="inlineStr">
        <is>
          <t>Adams County (Unincorporated)</t>
        </is>
      </c>
      <c r="B30" t="inlineStr">
        <is>
          <t>Flood Zone</t>
        </is>
      </c>
      <c r="C30" t="inlineStr">
        <is>
          <t>FEMA Map Service Center</t>
        </is>
      </c>
      <c r="D30" t="inlineStr">
        <is>
          <t>https://msc.fema.gov/</t>
        </is>
      </c>
      <c r="E30" t="inlineStr">
        <is>
          <t>Official FEMA FIRM lookup by address</t>
        </is>
      </c>
    </row>
    <row r="31">
      <c r="A31" t="inlineStr">
        <is>
          <t>Adams County (Unincorporated)</t>
        </is>
      </c>
      <c r="B31" t="inlineStr">
        <is>
          <t>Flood Zone</t>
        </is>
      </c>
      <c r="C31" t="inlineStr">
        <is>
          <t>Colorado Hazard Mapping / RiskMAP</t>
        </is>
      </c>
      <c r="D31" t="inlineStr">
        <is>
          <t>https://coloradohazardmapping.com/hazardMapping/floodplainMapping</t>
        </is>
      </c>
      <c r="E31" t="inlineStr">
        <is>
          <t>State-level flood mapping portal</t>
        </is>
      </c>
    </row>
    <row r="32">
      <c r="A32" t="inlineStr">
        <is>
          <t>Adams County (Unincorporated)</t>
        </is>
      </c>
      <c r="B32" t="inlineStr">
        <is>
          <t>Flood Zone</t>
        </is>
      </c>
      <c r="C32" t="inlineStr">
        <is>
          <t>FEMA National Flood Hazard Layer</t>
        </is>
      </c>
      <c r="D32" t="inlineStr">
        <is>
          <t>https://www.fema.gov/flood-maps/national-flood-hazard-layer</t>
        </is>
      </c>
      <c r="E32" t="inlineStr">
        <is>
          <t>National FEMA flood layer viewer</t>
        </is>
      </c>
    </row>
    <row r="33">
      <c r="A33" t="inlineStr">
        <is>
          <t>Adams County (Unincorporated)</t>
        </is>
      </c>
      <c r="B33" t="inlineStr">
        <is>
          <t>Comprehensive Plan</t>
        </is>
      </c>
      <c r="C33" t="inlineStr">
        <is>
          <t>Advancing Adams Comprehensive Plan</t>
        </is>
      </c>
      <c r="D33" t="inlineStr">
        <is>
          <t>https://adamscountyco.gov/our-county/community-economic-development/advancing-adams/comprehensive-plan/</t>
        </is>
      </c>
      <c r="E33" t="inlineStr">
        <is>
          <t>County master plan</t>
        </is>
      </c>
    </row>
    <row r="34">
      <c r="A34" t="inlineStr">
        <is>
          <t>Adams County (Unincorporated)</t>
        </is>
      </c>
      <c r="B34" t="inlineStr">
        <is>
          <t>Comprehensive Plan</t>
        </is>
      </c>
      <c r="C34" t="inlineStr">
        <is>
          <t>Master Plans &amp; Maps</t>
        </is>
      </c>
      <c r="D34" t="inlineStr">
        <is>
          <t>https://adcogov.org/master-plans-maps</t>
        </is>
      </c>
      <c r="E34" t="inlineStr">
        <is>
          <t>All county master plans</t>
        </is>
      </c>
    </row>
    <row r="35">
      <c r="A35" t="inlineStr">
        <is>
          <t>Adams County (Unincorporated)</t>
        </is>
      </c>
      <c r="B35" t="inlineStr">
        <is>
          <t>Comprehensive Plan</t>
        </is>
      </c>
      <c r="C35" t="inlineStr">
        <is>
          <t>Sustainable Adams County 2030 Plan</t>
        </is>
      </c>
      <c r="D35" t="inlineStr">
        <is>
          <t>https://adamscountyco.gov/wp-content/uploads/2026/01/CED-2030-Sustainability-Plan-011426.pdf</t>
        </is>
      </c>
      <c r="E35" t="inlineStr">
        <is>
          <t>2030 sustainability/land use plan PDF</t>
        </is>
      </c>
    </row>
    <row r="36">
      <c r="A36" t="inlineStr">
        <is>
          <t>Adams County (Unincorporated)</t>
        </is>
      </c>
      <c r="B36" t="inlineStr">
        <is>
          <t>Economic Development</t>
        </is>
      </c>
      <c r="C36" t="inlineStr">
        <is>
          <t>Community &amp; Economic Development (CEDD)</t>
        </is>
      </c>
      <c r="D36" t="inlineStr">
        <is>
          <t>https://adamscountyco.gov/our-county/community-economic-development/</t>
        </is>
      </c>
      <c r="E36" t="inlineStr">
        <is>
          <t>County economic dev office</t>
        </is>
      </c>
    </row>
    <row r="37">
      <c r="A37" t="inlineStr">
        <is>
          <t>Adams County (Unincorporated)</t>
        </is>
      </c>
      <c r="B37" t="inlineStr">
        <is>
          <t>Economic Development</t>
        </is>
      </c>
      <c r="C37" t="inlineStr">
        <is>
          <t>ChooseAdams</t>
        </is>
      </c>
      <c r="D37" t="inlineStr">
        <is>
          <t>https://chooseadams.org/business-services/</t>
        </is>
      </c>
      <c r="E37" t="inlineStr">
        <is>
          <t>Business attraction portal</t>
        </is>
      </c>
    </row>
    <row r="38">
      <c r="A38" t="inlineStr">
        <is>
          <t>Adams County (Unincorporated)</t>
        </is>
      </c>
      <c r="B38" t="inlineStr">
        <is>
          <t>Economic Development</t>
        </is>
      </c>
      <c r="C38" t="inlineStr">
        <is>
          <t>Adams County EDC</t>
        </is>
      </c>
      <c r="D38" t="inlineStr">
        <is>
          <t>https://adamscountyedc.com/</t>
        </is>
      </c>
      <c r="E38" t="inlineStr">
        <is>
          <t>Economic Development Corporation</t>
        </is>
      </c>
    </row>
    <row r="39">
      <c r="A39" t="inlineStr">
        <is>
          <t>Adams County (Unincorporated)</t>
        </is>
      </c>
      <c r="B39" t="inlineStr">
        <is>
          <t>Economic Development</t>
        </is>
      </c>
      <c r="C39" t="inlineStr">
        <is>
          <t>2025 Economic Profile</t>
        </is>
      </c>
      <c r="D39" t="inlineStr">
        <is>
          <t>https://adamscountyco.gov/wp-content/uploads/2025/11/2025-Adams-County-Economic-Profile-CED.pdf</t>
        </is>
      </c>
      <c r="E39" t="inlineStr">
        <is>
          <t>Annual economic profile PDF</t>
        </is>
      </c>
    </row>
    <row r="40">
      <c r="A40" t="inlineStr">
        <is>
          <t>Adams County (Unincorporated)</t>
        </is>
      </c>
      <c r="B40" t="inlineStr">
        <is>
          <t>Public Works / ROW</t>
        </is>
      </c>
      <c r="C40" t="inlineStr">
        <is>
          <t>Public Works</t>
        </is>
      </c>
      <c r="D40" t="inlineStr">
        <is>
          <t>https://adcogov.org/public-works</t>
        </is>
      </c>
      <c r="E40" t="inlineStr">
        <is>
          <t>ROW permits and infrastructure info</t>
        </is>
      </c>
    </row>
    <row r="41">
      <c r="A41" t="inlineStr">
        <is>
          <t>Brighton</t>
        </is>
      </c>
      <c r="B41" t="inlineStr">
        <is>
          <t>Property Assessment</t>
        </is>
      </c>
      <c r="C41" t="inlineStr">
        <is>
          <t>Adams County Assessor (Property Lookup)</t>
        </is>
      </c>
      <c r="D41" t="inlineStr">
        <is>
          <t>https://adcogov.org/property-look</t>
        </is>
      </c>
      <c r="E41" t="inlineStr">
        <is>
          <t>Brighton is fully within Adams County</t>
        </is>
      </c>
    </row>
    <row r="42">
      <c r="A42" t="inlineStr">
        <is>
          <t>Brighton</t>
        </is>
      </c>
      <c r="B42" t="inlineStr">
        <is>
          <t>Property Tax / Treasurer</t>
        </is>
      </c>
      <c r="C42" t="inlineStr">
        <is>
          <t>Online Tax Payment</t>
        </is>
      </c>
      <c r="D42" t="inlineStr">
        <is>
          <t>https://adcotax.com/treasurer/web/login.jsp</t>
        </is>
      </c>
      <c r="E42" t="inlineStr">
        <is>
          <t>Adams County tax payment portal</t>
        </is>
      </c>
    </row>
    <row r="43">
      <c r="A43" t="inlineStr">
        <is>
          <t>Brighton</t>
        </is>
      </c>
      <c r="B43" t="inlineStr">
        <is>
          <t>Property Tax / Treasurer</t>
        </is>
      </c>
      <c r="C43" t="inlineStr">
        <is>
          <t>Property Tax Inquiry</t>
        </is>
      </c>
      <c r="D43" t="inlineStr">
        <is>
          <t>https://adamsil.devnetwedge.com/</t>
        </is>
      </c>
      <c r="E43" t="inlineStr">
        <is>
          <t>Tax balance and history lookup</t>
        </is>
      </c>
    </row>
    <row r="44">
      <c r="A44" t="inlineStr">
        <is>
          <t>Brighton</t>
        </is>
      </c>
      <c r="B44" t="inlineStr">
        <is>
          <t>Deed / Title Records</t>
        </is>
      </c>
      <c r="C44" t="inlineStr">
        <is>
          <t>Landmark Web Document Search</t>
        </is>
      </c>
      <c r="D44" t="inlineStr">
        <is>
          <t>https://recording.adcogov.org/landmarkweb</t>
        </is>
      </c>
      <c r="E44" t="inlineStr">
        <is>
          <t>Adams County deed/title records</t>
        </is>
      </c>
    </row>
    <row r="45">
      <c r="A45" t="inlineStr">
        <is>
          <t>Brighton</t>
        </is>
      </c>
      <c r="B45" t="inlineStr">
        <is>
          <t>GIS / Mapping</t>
        </is>
      </c>
      <c r="C45" t="inlineStr">
        <is>
          <t>GIS Division</t>
        </is>
      </c>
      <c r="D45" t="inlineStr">
        <is>
          <t>https://www.brightonco.gov/248/Geographic-Information-Systems</t>
        </is>
      </c>
      <c r="E45" t="inlineStr">
        <is>
          <t>Brighton GIS maps and data</t>
        </is>
      </c>
    </row>
    <row r="46">
      <c r="A46" t="inlineStr">
        <is>
          <t>Brighton</t>
        </is>
      </c>
      <c r="B46" t="inlineStr">
        <is>
          <t>GIS / Mapping</t>
        </is>
      </c>
      <c r="C46" t="inlineStr">
        <is>
          <t>Interactive Development Map</t>
        </is>
      </c>
      <c r="D46" t="inlineStr">
        <is>
          <t>https://www.brightonco.gov/1596/Interactive-Development-Map</t>
        </is>
      </c>
      <c r="E46" t="inlineStr">
        <is>
          <t>Active development projects map</t>
        </is>
      </c>
    </row>
    <row r="47">
      <c r="A47" t="inlineStr">
        <is>
          <t>Brighton</t>
        </is>
      </c>
      <c r="B47" t="inlineStr">
        <is>
          <t>Permits</t>
        </is>
      </c>
      <c r="C47" t="inlineStr">
        <is>
          <t>Permitting Portal</t>
        </is>
      </c>
      <c r="D47" t="inlineStr">
        <is>
          <t>https://www.brightonco.gov/222/Permitting</t>
        </is>
      </c>
      <c r="E47" t="inlineStr">
        <is>
          <t>Building permit applications and search</t>
        </is>
      </c>
    </row>
    <row r="48">
      <c r="A48" t="inlineStr">
        <is>
          <t>Brighton</t>
        </is>
      </c>
      <c r="B48" t="inlineStr">
        <is>
          <t>Permits</t>
        </is>
      </c>
      <c r="C48" t="inlineStr">
        <is>
          <t>Inspections</t>
        </is>
      </c>
      <c r="D48" t="inlineStr">
        <is>
          <t>https://www.brightonco.gov/1130/Inspections</t>
        </is>
      </c>
      <c r="E48" t="inlineStr">
        <is>
          <t>Schedule and track inspections</t>
        </is>
      </c>
    </row>
    <row r="49">
      <c r="A49" t="inlineStr">
        <is>
          <t>Brighton</t>
        </is>
      </c>
      <c r="B49" t="inlineStr">
        <is>
          <t>Permits</t>
        </is>
      </c>
      <c r="C49" t="inlineStr">
        <is>
          <t>Land Use &amp; Development Applications</t>
        </is>
      </c>
      <c r="D49" t="inlineStr">
        <is>
          <t>https://www.brightonco.gov/1142/Land-Use-Development-Applications</t>
        </is>
      </c>
      <c r="E49" t="inlineStr">
        <is>
          <t>Development application tracker</t>
        </is>
      </c>
    </row>
    <row r="50">
      <c r="A50" t="inlineStr">
        <is>
          <t>Brighton</t>
        </is>
      </c>
      <c r="B50" t="inlineStr">
        <is>
          <t>Permits</t>
        </is>
      </c>
      <c r="C50" t="inlineStr">
        <is>
          <t>Development Services</t>
        </is>
      </c>
      <c r="D50" t="inlineStr">
        <is>
          <t>https://www.brightonco.gov/1162/Development-Services</t>
        </is>
      </c>
      <c r="E50" t="inlineStr">
        <is>
          <t>Development services department</t>
        </is>
      </c>
    </row>
    <row r="51">
      <c r="A51" t="inlineStr">
        <is>
          <t>Brighton</t>
        </is>
      </c>
      <c r="B51" t="inlineStr">
        <is>
          <t>Permits</t>
        </is>
      </c>
      <c r="C51" t="inlineStr">
        <is>
          <t>Permit Reports (Commercial/Residential)</t>
        </is>
      </c>
      <c r="D51" t="inlineStr">
        <is>
          <t>https://brightonco.gov/1143/Reports</t>
        </is>
      </c>
      <c r="E51" t="inlineStr">
        <is>
          <t>Issued permit statistics</t>
        </is>
      </c>
    </row>
    <row r="52">
      <c r="A52" t="inlineStr">
        <is>
          <t>Brighton</t>
        </is>
      </c>
      <c r="B52" t="inlineStr">
        <is>
          <t>Zoning / Planning</t>
        </is>
      </c>
      <c r="C52" t="inlineStr">
        <is>
          <t>Planning &amp; Zoning Main Page</t>
        </is>
      </c>
      <c r="D52" t="inlineStr">
        <is>
          <t>https://www.brightonco.gov/224/Planning-Zoning</t>
        </is>
      </c>
      <c r="E52" t="inlineStr">
        <is>
          <t>Zoning information and staff contacts</t>
        </is>
      </c>
    </row>
    <row r="53">
      <c r="A53" t="inlineStr">
        <is>
          <t>Brighton</t>
        </is>
      </c>
      <c r="B53" t="inlineStr">
        <is>
          <t>Zoning / Planning</t>
        </is>
      </c>
      <c r="C53" t="inlineStr">
        <is>
          <t>Land Use &amp; Development Code</t>
        </is>
      </c>
      <c r="D53" t="inlineStr">
        <is>
          <t>https://www.brightonco.gov/363/Land-Use-Development-Code</t>
        </is>
      </c>
      <c r="E53" t="inlineStr">
        <is>
          <t>Brighton's zoning code (Article 17 of Municipal Code)</t>
        </is>
      </c>
    </row>
    <row r="54">
      <c r="A54" t="inlineStr">
        <is>
          <t>Brighton</t>
        </is>
      </c>
      <c r="B54" t="inlineStr">
        <is>
          <t>Zoning / Planning</t>
        </is>
      </c>
      <c r="C54" t="inlineStr">
        <is>
          <t>Long Range Planning / Comprehensive Plan</t>
        </is>
      </c>
      <c r="D54" t="inlineStr">
        <is>
          <t>https://www.brightonco.gov/553/Long-Range-Planning</t>
        </is>
      </c>
      <c r="E54" t="inlineStr">
        <is>
          <t>Be Brighton Comprehensive Plan</t>
        </is>
      </c>
    </row>
    <row r="55">
      <c r="A55" t="inlineStr">
        <is>
          <t>Brighton</t>
        </is>
      </c>
      <c r="B55" t="inlineStr">
        <is>
          <t>Flood Zone</t>
        </is>
      </c>
      <c r="C55" t="inlineStr">
        <is>
          <t>FEMA Map Service Center</t>
        </is>
      </c>
      <c r="D55" t="inlineStr">
        <is>
          <t>https://msc.fema.gov/</t>
        </is>
      </c>
      <c r="E55" t="inlineStr">
        <is>
          <t>Address-specific FEMA FIRM lookup</t>
        </is>
      </c>
    </row>
    <row r="56">
      <c r="A56" t="inlineStr">
        <is>
          <t>Brighton</t>
        </is>
      </c>
      <c r="B56" t="inlineStr">
        <is>
          <t>Flood Zone</t>
        </is>
      </c>
      <c r="C56" t="inlineStr">
        <is>
          <t>Adams County Floodplain Management</t>
        </is>
      </c>
      <c r="D56" t="inlineStr">
        <is>
          <t>https://adamscountyco.gov/our-county/community-economic-development/floodplain-management/</t>
        </is>
      </c>
      <c r="E56" t="inlineStr">
        <is>
          <t>County floodplain resources</t>
        </is>
      </c>
    </row>
    <row r="57">
      <c r="A57" t="inlineStr">
        <is>
          <t>Brighton</t>
        </is>
      </c>
      <c r="B57" t="inlineStr">
        <is>
          <t>Crime / Safety</t>
        </is>
      </c>
      <c r="C57" t="inlineStr">
        <is>
          <t>Weekly Crime Reports &amp; Crime Map</t>
        </is>
      </c>
      <c r="D57" t="inlineStr">
        <is>
          <t>https://www.brightonco.gov/1862/Weekly-Crime-Reports-Crime-Map</t>
        </is>
      </c>
      <c r="E57" t="inlineStr">
        <is>
          <t>Brighton PD crime map and reports</t>
        </is>
      </c>
    </row>
    <row r="58">
      <c r="A58" t="inlineStr">
        <is>
          <t>Brighton</t>
        </is>
      </c>
      <c r="B58" t="inlineStr">
        <is>
          <t>Public Records</t>
        </is>
      </c>
      <c r="C58" t="inlineStr">
        <is>
          <t>Requesting Records (CORA)</t>
        </is>
      </c>
      <c r="D58" t="inlineStr">
        <is>
          <t>https://www.brightonco.gov/213/Requesting-Records-Information</t>
        </is>
      </c>
      <c r="E58" t="inlineStr">
        <is>
          <t>Public records request process</t>
        </is>
      </c>
    </row>
    <row r="59">
      <c r="A59" t="inlineStr">
        <is>
          <t>Brighton</t>
        </is>
      </c>
      <c r="B59" t="inlineStr">
        <is>
          <t>School Districts</t>
        </is>
      </c>
      <c r="C59" t="inlineStr">
        <is>
          <t>School District 27J (Brighton)</t>
        </is>
      </c>
      <c r="D59" t="inlineStr">
        <is>
          <t>https://www.sd27j.org/</t>
        </is>
      </c>
      <c r="E59" t="inlineStr">
        <is>
          <t>Primary school district for Brighton</t>
        </is>
      </c>
    </row>
    <row r="60">
      <c r="A60" t="inlineStr">
        <is>
          <t>Commerce City</t>
        </is>
      </c>
      <c r="B60" t="inlineStr">
        <is>
          <t>Property Assessment</t>
        </is>
      </c>
      <c r="C60" t="inlineStr">
        <is>
          <t>Adams County Assessor (Property Lookup)</t>
        </is>
      </c>
      <c r="D60" t="inlineStr">
        <is>
          <t>https://adcogov.org/property-look</t>
        </is>
      </c>
      <c r="E60" t="inlineStr">
        <is>
          <t>Commerce City is fully within Adams County</t>
        </is>
      </c>
    </row>
    <row r="61">
      <c r="A61" t="inlineStr">
        <is>
          <t>Commerce City</t>
        </is>
      </c>
      <c r="B61" t="inlineStr">
        <is>
          <t>Property Tax / Treasurer</t>
        </is>
      </c>
      <c r="C61" t="inlineStr">
        <is>
          <t>Online Tax Payment</t>
        </is>
      </c>
      <c r="D61" t="inlineStr">
        <is>
          <t>https://adcotax.com/treasurer/web/login.jsp</t>
        </is>
      </c>
      <c r="E61" t="inlineStr">
        <is>
          <t>Adams County tax payment portal</t>
        </is>
      </c>
    </row>
    <row r="62">
      <c r="A62" t="inlineStr">
        <is>
          <t>Commerce City</t>
        </is>
      </c>
      <c r="B62" t="inlineStr">
        <is>
          <t>Property Tax / Treasurer</t>
        </is>
      </c>
      <c r="C62" t="inlineStr">
        <is>
          <t>Property Tax Inquiry</t>
        </is>
      </c>
      <c r="D62" t="inlineStr">
        <is>
          <t>https://adamsil.devnetwedge.com/</t>
        </is>
      </c>
      <c r="E62" t="inlineStr">
        <is>
          <t>Tax balance and history lookup</t>
        </is>
      </c>
    </row>
    <row r="63">
      <c r="A63" t="inlineStr">
        <is>
          <t>Commerce City</t>
        </is>
      </c>
      <c r="B63" t="inlineStr">
        <is>
          <t>Deed / Title Records</t>
        </is>
      </c>
      <c r="C63" t="inlineStr">
        <is>
          <t>Landmark Web Document Search</t>
        </is>
      </c>
      <c r="D63" t="inlineStr">
        <is>
          <t>https://recording.adcogov.org/landmarkweb</t>
        </is>
      </c>
      <c r="E63" t="inlineStr">
        <is>
          <t>Adams County deed/title records</t>
        </is>
      </c>
    </row>
    <row r="64">
      <c r="A64" t="inlineStr">
        <is>
          <t>Commerce City</t>
        </is>
      </c>
      <c r="B64" t="inlineStr">
        <is>
          <t>GIS / Mapping</t>
        </is>
      </c>
      <c r="C64" t="inlineStr">
        <is>
          <t>Maps Data &amp; GIS</t>
        </is>
      </c>
      <c r="D64" t="inlineStr">
        <is>
          <t>https://www.c3gov.com/Residents/Maps-Data-GIS</t>
        </is>
      </c>
      <c r="E64" t="inlineStr">
        <is>
          <t>City GIS maps and data</t>
        </is>
      </c>
    </row>
    <row r="65">
      <c r="A65" t="inlineStr">
        <is>
          <t>Commerce City</t>
        </is>
      </c>
      <c r="B65" t="inlineStr">
        <is>
          <t>GIS / Mapping</t>
        </is>
      </c>
      <c r="C65" t="inlineStr">
        <is>
          <t>Commerce City Open Data (ArcGIS Hub)</t>
        </is>
      </c>
      <c r="D65" t="inlineStr">
        <is>
          <t>https://data-c3.opendata.arcgis.com/</t>
        </is>
      </c>
      <c r="E65" t="inlineStr">
        <is>
          <t>Downloadable GIS datasets</t>
        </is>
      </c>
    </row>
    <row r="66">
      <c r="A66" t="inlineStr">
        <is>
          <t>Commerce City</t>
        </is>
      </c>
      <c r="B66" t="inlineStr">
        <is>
          <t>Permits</t>
        </is>
      </c>
      <c r="C66" t="inlineStr">
        <is>
          <t>eTRAKiT Permits Page</t>
        </is>
      </c>
      <c r="D66" t="inlineStr">
        <is>
          <t>https://www.c3gov.com/doing-business/developing-in-commerce-city/building-permits</t>
        </is>
      </c>
      <c r="E66" t="inlineStr">
        <is>
          <t>Building permit info and portal link</t>
        </is>
      </c>
    </row>
    <row r="67">
      <c r="A67" t="inlineStr">
        <is>
          <t>Commerce City</t>
        </is>
      </c>
      <c r="B67" t="inlineStr">
        <is>
          <t>Permits</t>
        </is>
      </c>
      <c r="C67" t="inlineStr">
        <is>
          <t>eTRAKiT Login / Permit Search</t>
        </is>
      </c>
      <c r="D67" t="inlineStr">
        <is>
          <t>https://comc.csqrcloud.com/community-etrakit/</t>
        </is>
      </c>
      <c r="E67" t="inlineStr">
        <is>
          <t>Online permit search and applications</t>
        </is>
      </c>
    </row>
    <row r="68">
      <c r="A68" t="inlineStr">
        <is>
          <t>Commerce City</t>
        </is>
      </c>
      <c r="B68" t="inlineStr">
        <is>
          <t>Permits</t>
        </is>
      </c>
      <c r="C68" t="inlineStr">
        <is>
          <t>Building Permit Process</t>
        </is>
      </c>
      <c r="D68" t="inlineStr">
        <is>
          <t>https://www.c3gov.com/doing-business/developing-in-commerce-city/building-permits-inspections/step-2-permit-application-contractor-licensing-reviews/building-permit-process</t>
        </is>
      </c>
      <c r="E68" t="inlineStr">
        <is>
          <t>Step-by-step permit guide</t>
        </is>
      </c>
    </row>
    <row r="69">
      <c r="A69" t="inlineStr">
        <is>
          <t>Commerce City</t>
        </is>
      </c>
      <c r="B69" t="inlineStr">
        <is>
          <t>Permits</t>
        </is>
      </c>
      <c r="C69" t="inlineStr">
        <is>
          <t>Civil Plan Approval / Grading Permits</t>
        </is>
      </c>
      <c r="D69" t="inlineStr">
        <is>
          <t>https://www.c3gov.com/doing-business/developing-in-commerce-city/civil-plan-approval-grading-permits</t>
        </is>
      </c>
      <c r="E69" t="inlineStr">
        <is>
          <t>Civil/grading permits</t>
        </is>
      </c>
    </row>
    <row r="70">
      <c r="A70" t="inlineStr">
        <is>
          <t>Commerce City</t>
        </is>
      </c>
      <c r="B70" t="inlineStr">
        <is>
          <t>Code Enforcement</t>
        </is>
      </c>
      <c r="C70" t="inlineStr">
        <is>
          <t>Code Enforcement</t>
        </is>
      </c>
      <c r="D70" t="inlineStr">
        <is>
          <t>https://www.c3gov.com/Government/Departments-Divisions/Code-Enforcement</t>
        </is>
      </c>
      <c r="E70" t="inlineStr">
        <is>
          <t>Code enforcement department</t>
        </is>
      </c>
    </row>
    <row r="71">
      <c r="A71" t="inlineStr">
        <is>
          <t>Commerce City</t>
        </is>
      </c>
      <c r="B71" t="inlineStr">
        <is>
          <t>Zoning / Planning</t>
        </is>
      </c>
      <c r="C71" t="inlineStr">
        <is>
          <t>Land Use Approvals</t>
        </is>
      </c>
      <c r="D71" t="inlineStr">
        <is>
          <t>https://www.c3gov.com/Business-Development/Developing-in-Commerce-City/Land-Use-Approvals</t>
        </is>
      </c>
      <c r="E71" t="inlineStr">
        <is>
          <t>Entitlement and approval process</t>
        </is>
      </c>
    </row>
    <row r="72">
      <c r="A72" t="inlineStr">
        <is>
          <t>Commerce City</t>
        </is>
      </c>
      <c r="B72" t="inlineStr">
        <is>
          <t>Zoning / Planning</t>
        </is>
      </c>
      <c r="C72" t="inlineStr">
        <is>
          <t>Land Use Standards</t>
        </is>
      </c>
      <c r="D72" t="inlineStr">
        <is>
          <t>https://www.c3gov.com/Business-Development/Developing-in-Commerce-City/Land-Use-Standards</t>
        </is>
      </c>
      <c r="E72" t="inlineStr">
        <is>
          <t>Land use regulations and standards</t>
        </is>
      </c>
    </row>
    <row r="73">
      <c r="A73" t="inlineStr">
        <is>
          <t>Commerce City</t>
        </is>
      </c>
      <c r="B73" t="inlineStr">
        <is>
          <t>Zoning / Planning</t>
        </is>
      </c>
      <c r="C73" t="inlineStr">
        <is>
          <t>Land Development Code</t>
        </is>
      </c>
      <c r="D73" t="inlineStr">
        <is>
          <t>https://www.c3gov.com/Government/City-Codes/Land-Development-Code</t>
        </is>
      </c>
      <c r="E73" t="inlineStr">
        <is>
          <t>Zoning code (updated 2025)</t>
        </is>
      </c>
    </row>
    <row r="74">
      <c r="A74" t="inlineStr">
        <is>
          <t>Commerce City</t>
        </is>
      </c>
      <c r="B74" t="inlineStr">
        <is>
          <t>Zoning / Planning</t>
        </is>
      </c>
      <c r="C74" t="inlineStr">
        <is>
          <t>Comprehensive Plan</t>
        </is>
      </c>
      <c r="D74" t="inlineStr">
        <is>
          <t>https://www.c3gov.com/Government/City-Charter-Master-Plans/Comprehensive-Plan</t>
        </is>
      </c>
      <c r="E74" t="inlineStr">
        <is>
          <t>City comprehensive plan</t>
        </is>
      </c>
    </row>
    <row r="75">
      <c r="A75" t="inlineStr">
        <is>
          <t>Commerce City</t>
        </is>
      </c>
      <c r="B75" t="inlineStr">
        <is>
          <t>Flood Zone</t>
        </is>
      </c>
      <c r="C75" t="inlineStr">
        <is>
          <t>FEMA Map Service Center</t>
        </is>
      </c>
      <c r="D75" t="inlineStr">
        <is>
          <t>https://msc.fema.gov/</t>
        </is>
      </c>
      <c r="E75" t="inlineStr">
        <is>
          <t>Address-specific FEMA FIRM lookup</t>
        </is>
      </c>
    </row>
    <row r="76">
      <c r="A76" t="inlineStr">
        <is>
          <t>Commerce City</t>
        </is>
      </c>
      <c r="B76" t="inlineStr">
        <is>
          <t>Flood Zone</t>
        </is>
      </c>
      <c r="C76" t="inlineStr">
        <is>
          <t>Adams County Floodplain Management</t>
        </is>
      </c>
      <c r="D76" t="inlineStr">
        <is>
          <t>https://adamscountyco.gov/our-county/community-economic-development/floodplain-management/</t>
        </is>
      </c>
      <c r="E76" t="inlineStr">
        <is>
          <t>County floodplain resources</t>
        </is>
      </c>
    </row>
    <row r="77">
      <c r="A77" t="inlineStr">
        <is>
          <t>Commerce City</t>
        </is>
      </c>
      <c r="B77" t="inlineStr">
        <is>
          <t>Economic Development</t>
        </is>
      </c>
      <c r="C77" t="inlineStr">
        <is>
          <t>Economic Development Department</t>
        </is>
      </c>
      <c r="D77" t="inlineStr">
        <is>
          <t>https://www.c3gov.com/Government/Departments-Divisions/Economic-Development</t>
        </is>
      </c>
      <c r="E77" t="inlineStr">
        <is>
          <t>City economic development office</t>
        </is>
      </c>
    </row>
    <row r="78">
      <c r="A78" t="inlineStr">
        <is>
          <t>Commerce City</t>
        </is>
      </c>
      <c r="B78" t="inlineStr">
        <is>
          <t>Crime / Safety</t>
        </is>
      </c>
      <c r="C78" t="inlineStr">
        <is>
          <t>Records and Crime Statistics</t>
        </is>
      </c>
      <c r="D78" t="inlineStr">
        <is>
          <t>https://www.c3gov.com/Public-Safety/Police-Department/Records-and-Crime-Statistics</t>
        </is>
      </c>
      <c r="E78" t="inlineStr">
        <is>
          <t>Crime reports and statistics</t>
        </is>
      </c>
    </row>
    <row r="79">
      <c r="A79" t="inlineStr">
        <is>
          <t>Commerce City</t>
        </is>
      </c>
      <c r="B79" t="inlineStr">
        <is>
          <t>School Districts</t>
        </is>
      </c>
      <c r="C79" t="inlineStr">
        <is>
          <t>Adams 12 Five Star Schools</t>
        </is>
      </c>
      <c r="D79" t="inlineStr">
        <is>
          <t>https://www.adams12.org/</t>
        </is>
      </c>
      <c r="E79" t="inlineStr">
        <is>
          <t>Primary district for Commerce City</t>
        </is>
      </c>
    </row>
    <row r="80">
      <c r="A80" t="inlineStr">
        <is>
          <t>Commerce City</t>
        </is>
      </c>
      <c r="B80" t="inlineStr">
        <is>
          <t>School Districts</t>
        </is>
      </c>
      <c r="C80" t="inlineStr">
        <is>
          <t>School District 27J</t>
        </is>
      </c>
      <c r="D80" t="inlineStr">
        <is>
          <t>https://www.sd27j.org/</t>
        </is>
      </c>
      <c r="E80" t="inlineStr">
        <is>
          <t>Serves northern portions of Commerce City</t>
        </is>
      </c>
    </row>
    <row r="81">
      <c r="A81" t="inlineStr">
        <is>
          <t>Commerce City</t>
        </is>
      </c>
      <c r="B81" t="inlineStr">
        <is>
          <t>School Districts</t>
        </is>
      </c>
      <c r="C81" t="inlineStr">
        <is>
          <t>Mapleton School District 1</t>
        </is>
      </c>
      <c r="D81" t="inlineStr">
        <is>
          <t>https://www.mapleton.us/</t>
        </is>
      </c>
      <c r="E81" t="inlineStr">
        <is>
          <t>Serves portions of Commerce City</t>
        </is>
      </c>
    </row>
    <row r="82">
      <c r="A82" t="inlineStr">
        <is>
          <t>Federal Heights</t>
        </is>
      </c>
      <c r="B82" t="inlineStr">
        <is>
          <t>Property Assessment</t>
        </is>
      </c>
      <c r="C82" t="inlineStr">
        <is>
          <t>Adams County Assessor (Property Lookup)</t>
        </is>
      </c>
      <c r="D82" t="inlineStr">
        <is>
          <t>https://adcogov.org/property-look</t>
        </is>
      </c>
      <c r="E82" t="inlineStr">
        <is>
          <t>Federal Heights is fully within Adams County</t>
        </is>
      </c>
    </row>
    <row r="83">
      <c r="A83" t="inlineStr">
        <is>
          <t>Federal Heights</t>
        </is>
      </c>
      <c r="B83" t="inlineStr">
        <is>
          <t>Property Tax / Treasurer</t>
        </is>
      </c>
      <c r="C83" t="inlineStr">
        <is>
          <t>Online Tax Payment</t>
        </is>
      </c>
      <c r="D83" t="inlineStr">
        <is>
          <t>https://adcotax.com/treasurer/web/login.jsp</t>
        </is>
      </c>
      <c r="E83" t="inlineStr">
        <is>
          <t>Adams County tax payment portal</t>
        </is>
      </c>
    </row>
    <row r="84">
      <c r="A84" t="inlineStr">
        <is>
          <t>Federal Heights</t>
        </is>
      </c>
      <c r="B84" t="inlineStr">
        <is>
          <t>Property Tax / Treasurer</t>
        </is>
      </c>
      <c r="C84" t="inlineStr">
        <is>
          <t>Property Tax Inquiry</t>
        </is>
      </c>
      <c r="D84" t="inlineStr">
        <is>
          <t>https://adamsil.devnetwedge.com/</t>
        </is>
      </c>
      <c r="E84" t="inlineStr">
        <is>
          <t>Tax balance and history lookup</t>
        </is>
      </c>
    </row>
    <row r="85">
      <c r="A85" t="inlineStr">
        <is>
          <t>Federal Heights</t>
        </is>
      </c>
      <c r="B85" t="inlineStr">
        <is>
          <t>Deed / Title Records</t>
        </is>
      </c>
      <c r="C85" t="inlineStr">
        <is>
          <t>Landmark Web Document Search</t>
        </is>
      </c>
      <c r="D85" t="inlineStr">
        <is>
          <t>https://recording.adcogov.org/landmarkweb</t>
        </is>
      </c>
      <c r="E85" t="inlineStr">
        <is>
          <t>Adams County deed/title records</t>
        </is>
      </c>
    </row>
    <row r="86">
      <c r="A86" t="inlineStr">
        <is>
          <t>Federal Heights</t>
        </is>
      </c>
      <c r="B86" t="inlineStr">
        <is>
          <t>GIS / Mapping</t>
        </is>
      </c>
      <c r="C86" t="inlineStr">
        <is>
          <t>City Maps</t>
        </is>
      </c>
      <c r="D86" t="inlineStr">
        <is>
          <t>https://www.fedheights.org/?SEC=D1A883BE-0C29-4602-8CC9-5D6A08DA5503</t>
        </is>
      </c>
      <c r="E86" t="inlineStr">
        <is>
          <t>City map resources</t>
        </is>
      </c>
    </row>
    <row r="87">
      <c r="A87" t="inlineStr">
        <is>
          <t>Federal Heights</t>
        </is>
      </c>
      <c r="B87" t="inlineStr">
        <is>
          <t>Permits</t>
        </is>
      </c>
      <c r="C87" t="inlineStr">
        <is>
          <t>Building Department</t>
        </is>
      </c>
      <c r="D87" t="inlineStr">
        <is>
          <t>https://www.fedheights.org/building</t>
        </is>
      </c>
      <c r="E87" t="inlineStr">
        <is>
          <t>Building permits and inspections</t>
        </is>
      </c>
    </row>
    <row r="88">
      <c r="A88" t="inlineStr">
        <is>
          <t>Federal Heights</t>
        </is>
      </c>
      <c r="B88" t="inlineStr">
        <is>
          <t>Code Enforcement</t>
        </is>
      </c>
      <c r="C88" t="inlineStr">
        <is>
          <t>Code Enforcement</t>
        </is>
      </c>
      <c r="D88" t="inlineStr">
        <is>
          <t>https://www.fedheights.org/codeenforcement</t>
        </is>
      </c>
      <c r="E88" t="inlineStr">
        <is>
          <t>Code enforcement department</t>
        </is>
      </c>
    </row>
    <row r="89">
      <c r="A89" t="inlineStr">
        <is>
          <t>Federal Heights</t>
        </is>
      </c>
      <c r="B89" t="inlineStr">
        <is>
          <t>Zoning / Planning</t>
        </is>
      </c>
      <c r="C89" t="inlineStr">
        <is>
          <t>Planning Department</t>
        </is>
      </c>
      <c r="D89" t="inlineStr">
        <is>
          <t>https://www.fedheights.org/planning</t>
        </is>
      </c>
      <c r="E89" t="inlineStr">
        <is>
          <t>Planning and zoning info</t>
        </is>
      </c>
    </row>
    <row r="90">
      <c r="A90" t="inlineStr">
        <is>
          <t>Federal Heights</t>
        </is>
      </c>
      <c r="B90" t="inlineStr">
        <is>
          <t>Zoning / Planning</t>
        </is>
      </c>
      <c r="C90" t="inlineStr">
        <is>
          <t>Zoning Information Page</t>
        </is>
      </c>
      <c r="D90" t="inlineStr">
        <is>
          <t>https://www.fedheights.org/index.asp?SEC=D7AA9940-8607-468A-8215-7308DD3BF799&amp;Type=B_BASIC</t>
        </is>
      </c>
      <c r="E90" t="inlineStr">
        <is>
          <t>Zoning district info and lookup</t>
        </is>
      </c>
    </row>
    <row r="91">
      <c r="A91" t="inlineStr">
        <is>
          <t>Federal Heights</t>
        </is>
      </c>
      <c r="B91" t="inlineStr">
        <is>
          <t>Zoning / Planning</t>
        </is>
      </c>
      <c r="C91" t="inlineStr">
        <is>
          <t>Municipal Code (Municode)</t>
        </is>
      </c>
      <c r="D91" t="inlineStr">
        <is>
          <t>https://library.municode.com/co/federal_heights</t>
        </is>
      </c>
      <c r="E91" t="inlineStr">
        <is>
          <t>Full zoning and municipal code</t>
        </is>
      </c>
    </row>
    <row r="92">
      <c r="A92" t="inlineStr">
        <is>
          <t>Federal Heights</t>
        </is>
      </c>
      <c r="B92" t="inlineStr">
        <is>
          <t>Flood Zone</t>
        </is>
      </c>
      <c r="C92" t="inlineStr">
        <is>
          <t>FEMA Map Service Center</t>
        </is>
      </c>
      <c r="D92" t="inlineStr">
        <is>
          <t>https://msc.fema.gov/</t>
        </is>
      </c>
      <c r="E92" t="inlineStr">
        <is>
          <t>Address-specific FEMA FIRM lookup</t>
        </is>
      </c>
    </row>
    <row r="93">
      <c r="A93" t="inlineStr">
        <is>
          <t>Federal Heights</t>
        </is>
      </c>
      <c r="B93" t="inlineStr">
        <is>
          <t>Economic Development</t>
        </is>
      </c>
      <c r="C93" t="inlineStr">
        <is>
          <t>Economic Development / FHRA</t>
        </is>
      </c>
      <c r="D93" t="inlineStr">
        <is>
          <t>https://www.fedheights.org/economicdevelopment</t>
        </is>
      </c>
      <c r="E93" t="inlineStr">
        <is>
          <t>City economic development office</t>
        </is>
      </c>
    </row>
    <row r="94">
      <c r="A94" t="inlineStr">
        <is>
          <t>Federal Heights</t>
        </is>
      </c>
      <c r="B94" t="inlineStr">
        <is>
          <t>Utilities</t>
        </is>
      </c>
      <c r="C94" t="inlineStr">
        <is>
          <t>Utilities Page</t>
        </is>
      </c>
      <c r="D94" t="inlineStr">
        <is>
          <t>https://www.fedheights.org/utilities</t>
        </is>
      </c>
      <c r="E94" t="inlineStr">
        <is>
          <t>Water/sewer utility info</t>
        </is>
      </c>
    </row>
    <row r="95">
      <c r="A95" t="inlineStr">
        <is>
          <t>Federal Heights</t>
        </is>
      </c>
      <c r="B95" t="inlineStr">
        <is>
          <t>Utilities</t>
        </is>
      </c>
      <c r="C95" t="inlineStr">
        <is>
          <t>Public Works</t>
        </is>
      </c>
      <c r="D95" t="inlineStr">
        <is>
          <t>https://www.fedheights.org/publicworks</t>
        </is>
      </c>
      <c r="E95" t="inlineStr">
        <is>
          <t>Public works department</t>
        </is>
      </c>
    </row>
    <row r="96">
      <c r="A96" t="inlineStr">
        <is>
          <t>Federal Heights</t>
        </is>
      </c>
      <c r="B96" t="inlineStr">
        <is>
          <t>Utilities</t>
        </is>
      </c>
      <c r="C96" t="inlineStr">
        <is>
          <t>Xcel Energy</t>
        </is>
      </c>
      <c r="D96" t="inlineStr">
        <is>
          <t>https://www.xcelenergy.com/</t>
        </is>
      </c>
      <c r="E96" t="inlineStr">
        <is>
          <t>Electric and gas provider for Federal Heights</t>
        </is>
      </c>
    </row>
    <row r="97">
      <c r="A97" t="inlineStr">
        <is>
          <t>Federal Heights</t>
        </is>
      </c>
      <c r="B97" t="inlineStr">
        <is>
          <t>School Districts</t>
        </is>
      </c>
      <c r="C97" t="inlineStr">
        <is>
          <t>Adams 12 Five Star Schools</t>
        </is>
      </c>
      <c r="D97" t="inlineStr">
        <is>
          <t>https://www.adams12.org/</t>
        </is>
      </c>
      <c r="E97" t="inlineStr">
        <is>
          <t>Primary school district for Federal Heights</t>
        </is>
      </c>
    </row>
    <row r="98">
      <c r="A98" t="inlineStr">
        <is>
          <t>Northglenn</t>
        </is>
      </c>
      <c r="B98" t="inlineStr">
        <is>
          <t>Property Assessment</t>
        </is>
      </c>
      <c r="C98" t="inlineStr">
        <is>
          <t>Adams County Assessor (Property Lookup)</t>
        </is>
      </c>
      <c r="D98" t="inlineStr">
        <is>
          <t>https://adcogov.org/property-look</t>
        </is>
      </c>
      <c r="E98" t="inlineStr">
        <is>
          <t>Northglenn is fully within Adams County</t>
        </is>
      </c>
    </row>
    <row r="99">
      <c r="A99" t="inlineStr">
        <is>
          <t>Northglenn</t>
        </is>
      </c>
      <c r="B99" t="inlineStr">
        <is>
          <t>Property Tax / Treasurer</t>
        </is>
      </c>
      <c r="C99" t="inlineStr">
        <is>
          <t>Online Tax Payment</t>
        </is>
      </c>
      <c r="D99" t="inlineStr">
        <is>
          <t>https://adcotax.com/treasurer/web/login.jsp</t>
        </is>
      </c>
      <c r="E99" t="inlineStr">
        <is>
          <t>Adams County tax payment portal</t>
        </is>
      </c>
    </row>
    <row r="100">
      <c r="A100" t="inlineStr">
        <is>
          <t>Northglenn</t>
        </is>
      </c>
      <c r="B100" t="inlineStr">
        <is>
          <t>Property Tax / Treasurer</t>
        </is>
      </c>
      <c r="C100" t="inlineStr">
        <is>
          <t>Property Tax Inquiry</t>
        </is>
      </c>
      <c r="D100" t="inlineStr">
        <is>
          <t>https://adamsil.devnetwedge.com/</t>
        </is>
      </c>
      <c r="E100" t="inlineStr">
        <is>
          <t>Tax balance and history lookup</t>
        </is>
      </c>
    </row>
    <row r="101">
      <c r="A101" t="inlineStr">
        <is>
          <t>Northglenn</t>
        </is>
      </c>
      <c r="B101" t="inlineStr">
        <is>
          <t>Deed / Title Records</t>
        </is>
      </c>
      <c r="C101" t="inlineStr">
        <is>
          <t>Landmark Web Document Search</t>
        </is>
      </c>
      <c r="D101" t="inlineStr">
        <is>
          <t>https://recording.adcogov.org/landmarkweb</t>
        </is>
      </c>
      <c r="E101" t="inlineStr">
        <is>
          <t>Adams County deed/title records</t>
        </is>
      </c>
    </row>
    <row r="102">
      <c r="A102" t="inlineStr">
        <is>
          <t>Northglenn</t>
        </is>
      </c>
      <c r="B102" t="inlineStr">
        <is>
          <t>GIS / Mapping</t>
        </is>
      </c>
      <c r="C102" t="inlineStr">
        <is>
          <t>Maps Page</t>
        </is>
      </c>
      <c r="D102" t="inlineStr">
        <is>
          <t>https://www.northglenn.org/residents/about_northglenn/maps.php</t>
        </is>
      </c>
      <c r="E102" t="inlineStr">
        <is>
          <t>City maps</t>
        </is>
      </c>
    </row>
    <row r="103">
      <c r="A103" t="inlineStr">
        <is>
          <t>Northglenn</t>
        </is>
      </c>
      <c r="B103" t="inlineStr">
        <is>
          <t>GIS / Mapping</t>
        </is>
      </c>
      <c r="C103" t="inlineStr">
        <is>
          <t>Interactive Zoning Map (ArcGIS)</t>
        </is>
      </c>
      <c r="D103" t="inlineStr">
        <is>
          <t>https://www.arcgis.com/home/webmap/viewer.html?webmap=39b7188473574a07bcc84ca0ec3807fc</t>
        </is>
      </c>
      <c r="E103" t="inlineStr">
        <is>
          <t>Citywide zoning map viewer</t>
        </is>
      </c>
    </row>
    <row r="104">
      <c r="A104" t="inlineStr">
        <is>
          <t>Northglenn</t>
        </is>
      </c>
      <c r="B104" t="inlineStr">
        <is>
          <t>Permits</t>
        </is>
      </c>
      <c r="C104" t="inlineStr">
        <is>
          <t>Building Department</t>
        </is>
      </c>
      <c r="D104" t="inlineStr">
        <is>
          <t>https://www.northglenn.org/government/departments/building/</t>
        </is>
      </c>
      <c r="E104" t="inlineStr">
        <is>
          <t>Building dept (contracted to SAFEbuilt)</t>
        </is>
      </c>
    </row>
    <row r="105">
      <c r="A105" t="inlineStr">
        <is>
          <t>Northglenn</t>
        </is>
      </c>
      <c r="B105" t="inlineStr">
        <is>
          <t>Permits</t>
        </is>
      </c>
      <c r="C105" t="inlineStr">
        <is>
          <t>Permits Page</t>
        </is>
      </c>
      <c r="D105" t="inlineStr">
        <is>
          <t>https://www.northglenn.org/government/departments/building/permits.php</t>
        </is>
      </c>
      <c r="E105" t="inlineStr">
        <is>
          <t>Permit types and applications</t>
        </is>
      </c>
    </row>
    <row r="106">
      <c r="A106" t="inlineStr">
        <is>
          <t>Northglenn</t>
        </is>
      </c>
      <c r="B106" t="inlineStr">
        <is>
          <t>Permits</t>
        </is>
      </c>
      <c r="C106" t="inlineStr">
        <is>
          <t>Building Permit Info</t>
        </is>
      </c>
      <c r="D106" t="inlineStr">
        <is>
          <t>https://www.northglenn.org/government/licenses_and_permits/building_permit.php</t>
        </is>
      </c>
      <c r="E106" t="inlineStr">
        <is>
          <t>How to apply for a building permit</t>
        </is>
      </c>
    </row>
    <row r="107">
      <c r="A107" t="inlineStr">
        <is>
          <t>Northglenn</t>
        </is>
      </c>
      <c r="B107" t="inlineStr">
        <is>
          <t>Zoning / Planning</t>
        </is>
      </c>
      <c r="C107" t="inlineStr">
        <is>
          <t>QuickZone (Address Zoning Lookup)</t>
        </is>
      </c>
      <c r="D107" t="inlineStr">
        <is>
          <t>https://secure.northglenn.org/quickzone</t>
        </is>
      </c>
      <c r="E107" t="inlineStr">
        <is>
          <t>Instant zoning lookup by address — most user-friendly in county</t>
        </is>
      </c>
    </row>
    <row r="108">
      <c r="A108" t="inlineStr">
        <is>
          <t>Northglenn</t>
        </is>
      </c>
      <c r="B108" t="inlineStr">
        <is>
          <t>Zoning / Planning</t>
        </is>
      </c>
      <c r="C108" t="inlineStr">
        <is>
          <t>Land Use and Zoning Main Page</t>
        </is>
      </c>
      <c r="D108" t="inlineStr">
        <is>
          <t>https://www.northglenn.org/government/land_use_and_zoning/</t>
        </is>
      </c>
      <c r="E108" t="inlineStr">
        <is>
          <t>Zoning department</t>
        </is>
      </c>
    </row>
    <row r="109">
      <c r="A109" t="inlineStr">
        <is>
          <t>Northglenn</t>
        </is>
      </c>
      <c r="B109" t="inlineStr">
        <is>
          <t>Zoning / Planning</t>
        </is>
      </c>
      <c r="C109" t="inlineStr">
        <is>
          <t>Zoning Map</t>
        </is>
      </c>
      <c r="D109" t="inlineStr">
        <is>
          <t>https://www.northglenn.org/government/land_use_and_zoning/zoning_map.php</t>
        </is>
      </c>
      <c r="E109" t="inlineStr">
        <is>
          <t>Official citywide zoning map</t>
        </is>
      </c>
    </row>
    <row r="110">
      <c r="A110" t="inlineStr">
        <is>
          <t>Northglenn</t>
        </is>
      </c>
      <c r="B110" t="inlineStr">
        <is>
          <t>Zoning / Planning</t>
        </is>
      </c>
      <c r="C110" t="inlineStr">
        <is>
          <t>Comprehensive Plan</t>
        </is>
      </c>
      <c r="D110" t="inlineStr">
        <is>
          <t>https://www.northglenn.org/government/land_use_and_zoning/comprehensive_plan.php</t>
        </is>
      </c>
      <c r="E110" t="inlineStr">
        <is>
          <t>City comprehensive plan</t>
        </is>
      </c>
    </row>
    <row r="111">
      <c r="A111" t="inlineStr">
        <is>
          <t>Northglenn</t>
        </is>
      </c>
      <c r="B111" t="inlineStr">
        <is>
          <t>Zoning / Planning</t>
        </is>
      </c>
      <c r="C111" t="inlineStr">
        <is>
          <t>Planning and Development Department</t>
        </is>
      </c>
      <c r="D111" t="inlineStr">
        <is>
          <t>https://www.northglenn.org/government/departments/planning_department/index.php</t>
        </is>
      </c>
      <c r="E111" t="inlineStr">
        <is>
          <t>Planning department</t>
        </is>
      </c>
    </row>
    <row r="112">
      <c r="A112" t="inlineStr">
        <is>
          <t>Northglenn</t>
        </is>
      </c>
      <c r="B112" t="inlineStr">
        <is>
          <t>Flood Zone</t>
        </is>
      </c>
      <c r="C112" t="inlineStr">
        <is>
          <t>FEMA Map Service Center</t>
        </is>
      </c>
      <c r="D112" t="inlineStr">
        <is>
          <t>https://msc.fema.gov/</t>
        </is>
      </c>
      <c r="E112" t="inlineStr">
        <is>
          <t>Address-specific FEMA FIRM lookup</t>
        </is>
      </c>
    </row>
    <row r="113">
      <c r="A113" t="inlineStr">
        <is>
          <t>Northglenn</t>
        </is>
      </c>
      <c r="B113" t="inlineStr">
        <is>
          <t>Flood Zone</t>
        </is>
      </c>
      <c r="C113" t="inlineStr">
        <is>
          <t>Adams County Floodplain Management</t>
        </is>
      </c>
      <c r="D113" t="inlineStr">
        <is>
          <t>https://adamscountyco.gov/our-county/community-economic-development/floodplain-management/</t>
        </is>
      </c>
      <c r="E113" t="inlineStr">
        <is>
          <t>County floodplain resources</t>
        </is>
      </c>
    </row>
    <row r="114">
      <c r="A114" t="inlineStr">
        <is>
          <t>Northglenn</t>
        </is>
      </c>
      <c r="B114" t="inlineStr">
        <is>
          <t>Economic Development</t>
        </is>
      </c>
      <c r="C114" t="inlineStr">
        <is>
          <t>Business Help / Economic Development</t>
        </is>
      </c>
      <c r="D114" t="inlineStr">
        <is>
          <t>https://www.northglenn.org/biz/</t>
        </is>
      </c>
      <c r="E114" t="inlineStr">
        <is>
          <t>City business resources</t>
        </is>
      </c>
    </row>
    <row r="115">
      <c r="A115" t="inlineStr">
        <is>
          <t>Northglenn</t>
        </is>
      </c>
      <c r="B115" t="inlineStr">
        <is>
          <t>Business License</t>
        </is>
      </c>
      <c r="C115" t="inlineStr">
        <is>
          <t>Business License</t>
        </is>
      </c>
      <c r="D115" t="inlineStr">
        <is>
          <t>https://www.northglenn.org/government/licenses_and_permits/business_license.php</t>
        </is>
      </c>
      <c r="E115" t="inlineStr">
        <is>
          <t>Business license portal</t>
        </is>
      </c>
    </row>
    <row r="116">
      <c r="A116" t="inlineStr">
        <is>
          <t>Northglenn</t>
        </is>
      </c>
      <c r="B116" t="inlineStr">
        <is>
          <t>Short-Term Rental</t>
        </is>
      </c>
      <c r="C116" t="inlineStr">
        <is>
          <t>Short-Term Rental License</t>
        </is>
      </c>
      <c r="D116" t="inlineStr">
        <is>
          <t>https://www.northglenn.org/government/licenses_and_permits/short_term_rental_license.php</t>
        </is>
      </c>
      <c r="E116" t="inlineStr">
        <is>
          <t>STR license requirements</t>
        </is>
      </c>
    </row>
    <row r="117">
      <c r="A117" t="inlineStr">
        <is>
          <t>Northglenn</t>
        </is>
      </c>
      <c r="B117" t="inlineStr">
        <is>
          <t>Crime / Safety</t>
        </is>
      </c>
      <c r="C117" t="inlineStr">
        <is>
          <t>Crime Maps</t>
        </is>
      </c>
      <c r="D117" t="inlineStr">
        <is>
          <t>https://secure.northglenn.org/maps/crime</t>
        </is>
      </c>
      <c r="E117" t="inlineStr">
        <is>
          <t>Interactive crime map</t>
        </is>
      </c>
    </row>
    <row r="118">
      <c r="A118" t="inlineStr">
        <is>
          <t>Northglenn</t>
        </is>
      </c>
      <c r="B118" t="inlineStr">
        <is>
          <t>Crime / Safety</t>
        </is>
      </c>
      <c r="C118" t="inlineStr">
        <is>
          <t>Crime Stats</t>
        </is>
      </c>
      <c r="D118" t="inlineStr">
        <is>
          <t>https://www.northglenn.org/public_safety/police/crime_stats.php</t>
        </is>
      </c>
      <c r="E118" t="inlineStr">
        <is>
          <t>Crime statistics</t>
        </is>
      </c>
    </row>
    <row r="119">
      <c r="A119" t="inlineStr">
        <is>
          <t>Northglenn</t>
        </is>
      </c>
      <c r="B119" t="inlineStr">
        <is>
          <t>Utilities</t>
        </is>
      </c>
      <c r="C119" t="inlineStr">
        <is>
          <t>Water</t>
        </is>
      </c>
      <c r="D119" t="inlineStr">
        <is>
          <t>https://www.northglenn.org/residents/water/</t>
        </is>
      </c>
      <c r="E119" t="inlineStr">
        <is>
          <t>City water utility</t>
        </is>
      </c>
    </row>
    <row r="120">
      <c r="A120" t="inlineStr">
        <is>
          <t>Northglenn</t>
        </is>
      </c>
      <c r="B120" t="inlineStr">
        <is>
          <t>School Districts</t>
        </is>
      </c>
      <c r="C120" t="inlineStr">
        <is>
          <t>Adams 12 Five Star Schools</t>
        </is>
      </c>
      <c r="D120" t="inlineStr">
        <is>
          <t>https://www.adams12.org/</t>
        </is>
      </c>
      <c r="E120" t="inlineStr">
        <is>
          <t>Primary school district for Northglenn</t>
        </is>
      </c>
    </row>
    <row r="121">
      <c r="A121" t="inlineStr">
        <is>
          <t>Northglenn</t>
        </is>
      </c>
      <c r="B121" t="inlineStr">
        <is>
          <t>School Districts</t>
        </is>
      </c>
      <c r="C121" t="inlineStr">
        <is>
          <t>Schools Listing</t>
        </is>
      </c>
      <c r="D121" t="inlineStr">
        <is>
          <t>https://www.northglenn.org/residents/schools.php</t>
        </is>
      </c>
      <c r="E121" t="inlineStr">
        <is>
          <t>Northglenn school directory</t>
        </is>
      </c>
    </row>
    <row r="122">
      <c r="A122" t="inlineStr">
        <is>
          <t>Thornton</t>
        </is>
      </c>
      <c r="B122" t="inlineStr">
        <is>
          <t>Property Assessment</t>
        </is>
      </c>
      <c r="C122" t="inlineStr">
        <is>
          <t>Thornton CityView Property Locator</t>
        </is>
      </c>
      <c r="D122" t="inlineStr">
        <is>
          <t>https://cityviewportal.thorntonco.gov/Property</t>
        </is>
      </c>
      <c r="E122" t="inlineStr">
        <is>
          <t>City-run parcel info portal with permit history</t>
        </is>
      </c>
    </row>
    <row r="123">
      <c r="A123" t="inlineStr">
        <is>
          <t>Thornton</t>
        </is>
      </c>
      <c r="B123" t="inlineStr">
        <is>
          <t>Property Assessment</t>
        </is>
      </c>
      <c r="C123" t="inlineStr">
        <is>
          <t>Adams County Assessor (Property Lookup)</t>
        </is>
      </c>
      <c r="D123" t="inlineStr">
        <is>
          <t>https://adcogov.org/property-look</t>
        </is>
      </c>
      <c r="E123" t="inlineStr">
        <is>
          <t>County assessment data</t>
        </is>
      </c>
    </row>
    <row r="124">
      <c r="A124" t="inlineStr">
        <is>
          <t>Thornton</t>
        </is>
      </c>
      <c r="B124" t="inlineStr">
        <is>
          <t>Property Tax / Treasurer</t>
        </is>
      </c>
      <c r="C124" t="inlineStr">
        <is>
          <t>Online Tax Payment</t>
        </is>
      </c>
      <c r="D124" t="inlineStr">
        <is>
          <t>https://adcotax.com/treasurer/web/login.jsp</t>
        </is>
      </c>
      <c r="E124" t="inlineStr">
        <is>
          <t>Adams County tax payment portal</t>
        </is>
      </c>
    </row>
    <row r="125">
      <c r="A125" t="inlineStr">
        <is>
          <t>Thornton</t>
        </is>
      </c>
      <c r="B125" t="inlineStr">
        <is>
          <t>Property Tax / Treasurer</t>
        </is>
      </c>
      <c r="C125" t="inlineStr">
        <is>
          <t>Property Tax Inquiry</t>
        </is>
      </c>
      <c r="D125" t="inlineStr">
        <is>
          <t>https://adamsil.devnetwedge.com/</t>
        </is>
      </c>
      <c r="E125" t="inlineStr">
        <is>
          <t>Tax balance and history lookup</t>
        </is>
      </c>
    </row>
    <row r="126">
      <c r="A126" t="inlineStr">
        <is>
          <t>Thornton</t>
        </is>
      </c>
      <c r="B126" t="inlineStr">
        <is>
          <t>Deed / Title Records</t>
        </is>
      </c>
      <c r="C126" t="inlineStr">
        <is>
          <t>Landmark Web Document Search</t>
        </is>
      </c>
      <c r="D126" t="inlineStr">
        <is>
          <t>https://recording.adcogov.org/landmarkweb</t>
        </is>
      </c>
      <c r="E126" t="inlineStr">
        <is>
          <t>Adams County deed/title records</t>
        </is>
      </c>
    </row>
    <row r="127">
      <c r="A127" t="inlineStr">
        <is>
          <t>Thornton</t>
        </is>
      </c>
      <c r="B127" t="inlineStr">
        <is>
          <t>GIS / Mapping</t>
        </is>
      </c>
      <c r="C127" t="inlineStr">
        <is>
          <t>Open Data Site (ArcGIS)</t>
        </is>
      </c>
      <c r="D127" t="inlineStr">
        <is>
          <t>https://data-cityofthornton.opendata.arcgis.com/</t>
        </is>
      </c>
      <c r="E127" t="inlineStr">
        <is>
          <t>Downloadable GIS datasets including zoning</t>
        </is>
      </c>
    </row>
    <row r="128">
      <c r="A128" t="inlineStr">
        <is>
          <t>Thornton</t>
        </is>
      </c>
      <c r="B128" t="inlineStr">
        <is>
          <t>GIS / Mapping</t>
        </is>
      </c>
      <c r="C128" t="inlineStr">
        <is>
          <t>Interactive GIS Map Viewer</t>
        </is>
      </c>
      <c r="D128" t="inlineStr">
        <is>
          <t>https://maps.thorntonco.gov/portal/apps/webappviewer/index.html?id=3ca678047c5b48568a9322c364808f7e</t>
        </is>
      </c>
      <c r="E128" t="inlineStr">
        <is>
          <t>Full interactive city GIS map</t>
        </is>
      </c>
    </row>
    <row r="129">
      <c r="A129" t="inlineStr">
        <is>
          <t>Thornton</t>
        </is>
      </c>
      <c r="B129" t="inlineStr">
        <is>
          <t>GIS / Mapping</t>
        </is>
      </c>
      <c r="C129" t="inlineStr">
        <is>
          <t>Development Code Hub (ArcGIS)</t>
        </is>
      </c>
      <c r="D129" t="inlineStr">
        <is>
          <t>https://city-of-thornton-development-code-cityofthornton.hub.arcgis.com/</t>
        </is>
      </c>
      <c r="E129" t="inlineStr">
        <is>
          <t>Zoning and development code in map format</t>
        </is>
      </c>
    </row>
    <row r="130">
      <c r="A130" t="inlineStr">
        <is>
          <t>Thornton</t>
        </is>
      </c>
      <c r="B130" t="inlineStr">
        <is>
          <t>Permits</t>
        </is>
      </c>
      <c r="C130" t="inlineStr">
        <is>
          <t>CityView Portal</t>
        </is>
      </c>
      <c r="D130" t="inlineStr">
        <is>
          <t>https://cityviewportal.thorntonco.gov/</t>
        </is>
      </c>
      <c r="E130" t="inlineStr">
        <is>
          <t>Permits search and property info</t>
        </is>
      </c>
    </row>
    <row r="131">
      <c r="A131" t="inlineStr">
        <is>
          <t>Thornton</t>
        </is>
      </c>
      <c r="B131" t="inlineStr">
        <is>
          <t>Permits</t>
        </is>
      </c>
      <c r="C131" t="inlineStr">
        <is>
          <t>Permits &amp; Inspections Portal</t>
        </is>
      </c>
      <c r="D131" t="inlineStr">
        <is>
          <t>https://permits.thorntonco.gov/</t>
        </is>
      </c>
      <c r="E131" t="inlineStr">
        <is>
          <t>Online permit applications and tracking</t>
        </is>
      </c>
    </row>
    <row r="132">
      <c r="A132" t="inlineStr">
        <is>
          <t>Thornton</t>
        </is>
      </c>
      <c r="B132" t="inlineStr">
        <is>
          <t>Code Enforcement</t>
        </is>
      </c>
      <c r="C132" t="inlineStr">
        <is>
          <t>Code Compliance</t>
        </is>
      </c>
      <c r="D132" t="inlineStr">
        <is>
          <t>https://www.thorntonco.gov/city-services/code-compliance</t>
        </is>
      </c>
      <c r="E132" t="inlineStr">
        <is>
          <t>Code compliance department</t>
        </is>
      </c>
    </row>
    <row r="133">
      <c r="A133" t="inlineStr">
        <is>
          <t>Thornton</t>
        </is>
      </c>
      <c r="B133" t="inlineStr">
        <is>
          <t>Zoning / Planning</t>
        </is>
      </c>
      <c r="C133" t="inlineStr">
        <is>
          <t>Current Planning &amp; Zoning</t>
        </is>
      </c>
      <c r="D133" t="inlineStr">
        <is>
          <t>https://www.thorntonco.gov/business-development/city-development/current-planning-zoning</t>
        </is>
      </c>
      <c r="E133" t="inlineStr">
        <is>
          <t>Zoning department main page</t>
        </is>
      </c>
    </row>
    <row r="134">
      <c r="A134" t="inlineStr">
        <is>
          <t>Thornton</t>
        </is>
      </c>
      <c r="B134" t="inlineStr">
        <is>
          <t>Zoning / Planning</t>
        </is>
      </c>
      <c r="C134" t="inlineStr">
        <is>
          <t>Zoning Districts Uses and Regulations</t>
        </is>
      </c>
      <c r="D134" t="inlineStr">
        <is>
          <t>https://www.thorntonco.gov/business-development/city-development/current-planning-zoning/zoning-districts-uses-and-regulations</t>
        </is>
      </c>
      <c r="E134" t="inlineStr">
        <is>
          <t>Detailed zoning district regulations</t>
        </is>
      </c>
    </row>
    <row r="135">
      <c r="A135" t="inlineStr">
        <is>
          <t>Thornton</t>
        </is>
      </c>
      <c r="B135" t="inlineStr">
        <is>
          <t>Zoning / Planning</t>
        </is>
      </c>
      <c r="C135" t="inlineStr">
        <is>
          <t>Active Development</t>
        </is>
      </c>
      <c r="D135" t="inlineStr">
        <is>
          <t>https://www.thorntonco.gov/business-development/active-development</t>
        </is>
      </c>
      <c r="E135" t="inlineStr">
        <is>
          <t>Active and pending development projects</t>
        </is>
      </c>
    </row>
    <row r="136">
      <c r="A136" t="inlineStr">
        <is>
          <t>Thornton</t>
        </is>
      </c>
      <c r="B136" t="inlineStr">
        <is>
          <t>Zoning / Planning</t>
        </is>
      </c>
      <c r="C136" t="inlineStr">
        <is>
          <t>Long Range Planning</t>
        </is>
      </c>
      <c r="D136" t="inlineStr">
        <is>
          <t>https://www.thorntonco.gov/business-development/city-development/long-range-planning</t>
        </is>
      </c>
      <c r="E136" t="inlineStr">
        <is>
          <t>Long range planning division</t>
        </is>
      </c>
    </row>
    <row r="137">
      <c r="A137" t="inlineStr">
        <is>
          <t>Thornton</t>
        </is>
      </c>
      <c r="B137" t="inlineStr">
        <is>
          <t>Zoning / Planning</t>
        </is>
      </c>
      <c r="C137" t="inlineStr">
        <is>
          <t>Comprehensive Plan</t>
        </is>
      </c>
      <c r="D137" t="inlineStr">
        <is>
          <t>https://www.thorntonco.gov/business-development/city-development/long-range-planning/plans/thornton-comprehensive-plan</t>
        </is>
      </c>
      <c r="E137" t="inlineStr">
        <is>
          <t>City comprehensive plan</t>
        </is>
      </c>
    </row>
    <row r="138">
      <c r="A138" t="inlineStr">
        <is>
          <t>Thornton</t>
        </is>
      </c>
      <c r="B138" t="inlineStr">
        <is>
          <t>Zoning / Planning</t>
        </is>
      </c>
      <c r="C138" t="inlineStr">
        <is>
          <t>Functional Strategic &amp; Master Plans</t>
        </is>
      </c>
      <c r="D138" t="inlineStr">
        <is>
          <t>https://www.thorntonco.gov/business-development/city-development/long-range-planning/plans/functional-strategic-master-plans</t>
        </is>
      </c>
      <c r="E138" t="inlineStr">
        <is>
          <t>All city master plans</t>
        </is>
      </c>
    </row>
    <row r="139">
      <c r="A139" t="inlineStr">
        <is>
          <t>Thornton</t>
        </is>
      </c>
      <c r="B139" t="inlineStr">
        <is>
          <t>Flood Zone</t>
        </is>
      </c>
      <c r="C139" t="inlineStr">
        <is>
          <t>FEMA Map Service Center</t>
        </is>
      </c>
      <c r="D139" t="inlineStr">
        <is>
          <t>https://msc.fema.gov/</t>
        </is>
      </c>
      <c r="E139" t="inlineStr">
        <is>
          <t>Address-specific FEMA FIRM lookup</t>
        </is>
      </c>
    </row>
    <row r="140">
      <c r="A140" t="inlineStr">
        <is>
          <t>Thornton</t>
        </is>
      </c>
      <c r="B140" t="inlineStr">
        <is>
          <t>Flood Zone</t>
        </is>
      </c>
      <c r="C140" t="inlineStr">
        <is>
          <t>Adams County Floodplain Management</t>
        </is>
      </c>
      <c r="D140" t="inlineStr">
        <is>
          <t>https://adamscountyco.gov/our-county/community-economic-development/floodplain-management/</t>
        </is>
      </c>
      <c r="E140" t="inlineStr">
        <is>
          <t>County floodplain resources</t>
        </is>
      </c>
    </row>
    <row r="141">
      <c r="A141" t="inlineStr">
        <is>
          <t>Thornton</t>
        </is>
      </c>
      <c r="B141" t="inlineStr">
        <is>
          <t>Economic Development</t>
        </is>
      </c>
      <c r="C141" t="inlineStr">
        <is>
          <t>City Development</t>
        </is>
      </c>
      <c r="D141" t="inlineStr">
        <is>
          <t>https://www.thorntonco.gov/business-development/city-development</t>
        </is>
      </c>
      <c r="E141" t="inlineStr">
        <is>
          <t>Business and development services</t>
        </is>
      </c>
    </row>
    <row r="142">
      <c r="A142" t="inlineStr">
        <is>
          <t>Thornton</t>
        </is>
      </c>
      <c r="B142" t="inlineStr">
        <is>
          <t>Business License</t>
        </is>
      </c>
      <c r="C142" t="inlineStr">
        <is>
          <t>Business Licenses</t>
        </is>
      </c>
      <c r="D142" t="inlineStr">
        <is>
          <t>https://www.thorntonco.gov/business-development/business-licenses</t>
        </is>
      </c>
      <c r="E142" t="inlineStr">
        <is>
          <t>Business license portal</t>
        </is>
      </c>
    </row>
    <row r="143">
      <c r="A143" t="inlineStr">
        <is>
          <t>Thornton</t>
        </is>
      </c>
      <c r="B143" t="inlineStr">
        <is>
          <t>Short-Term Rental</t>
        </is>
      </c>
      <c r="C143" t="inlineStr">
        <is>
          <t>STR Ordinance</t>
        </is>
      </c>
      <c r="D143" t="inlineStr">
        <is>
          <t>https://www.thorntonco.gov/media/file/short-term-rental-ordinance</t>
        </is>
      </c>
      <c r="E143" t="inlineStr">
        <is>
          <t>$180 annual fee; primary residence only</t>
        </is>
      </c>
    </row>
    <row r="144">
      <c r="A144" t="inlineStr">
        <is>
          <t>Thornton</t>
        </is>
      </c>
      <c r="B144" t="inlineStr">
        <is>
          <t>Crime / Safety</t>
        </is>
      </c>
      <c r="C144" t="inlineStr">
        <is>
          <t>Thornton PD Crime Info</t>
        </is>
      </c>
      <c r="D144" t="inlineStr">
        <is>
          <t>https://www.thorntonpd.org/crime-info</t>
        </is>
      </c>
      <c r="E144" t="inlineStr">
        <is>
          <t>Crime statistics and reports</t>
        </is>
      </c>
    </row>
    <row r="145">
      <c r="A145" t="inlineStr">
        <is>
          <t>Thornton</t>
        </is>
      </c>
      <c r="B145" t="inlineStr">
        <is>
          <t>Utilities</t>
        </is>
      </c>
      <c r="C145" t="inlineStr">
        <is>
          <t>Water</t>
        </is>
      </c>
      <c r="D145" t="inlineStr">
        <is>
          <t>https://www.thorntonco.gov/city-services/water</t>
        </is>
      </c>
      <c r="E145" t="inlineStr">
        <is>
          <t>City water services</t>
        </is>
      </c>
    </row>
    <row r="146">
      <c r="A146" t="inlineStr">
        <is>
          <t>Thornton</t>
        </is>
      </c>
      <c r="B146" t="inlineStr">
        <is>
          <t>Utilities</t>
        </is>
      </c>
      <c r="C146" t="inlineStr">
        <is>
          <t>Thornton Water Authority</t>
        </is>
      </c>
      <c r="D146" t="inlineStr">
        <is>
          <t>https://www.thorntonwater.com/</t>
        </is>
      </c>
      <c r="E146" t="inlineStr">
        <is>
          <t>Thornton water authority</t>
        </is>
      </c>
    </row>
    <row r="147">
      <c r="A147" t="inlineStr">
        <is>
          <t>Thornton</t>
        </is>
      </c>
      <c r="B147" t="inlineStr">
        <is>
          <t>Utilities</t>
        </is>
      </c>
      <c r="C147" t="inlineStr">
        <is>
          <t>Utility Billing</t>
        </is>
      </c>
      <c r="D147" t="inlineStr">
        <is>
          <t>https://www.thorntonco.gov/city-services/utility-billing</t>
        </is>
      </c>
      <c r="E147" t="inlineStr">
        <is>
          <t>Utility billing portal</t>
        </is>
      </c>
    </row>
    <row r="148">
      <c r="A148" t="inlineStr">
        <is>
          <t>Thornton</t>
        </is>
      </c>
      <c r="B148" t="inlineStr">
        <is>
          <t>Utilities</t>
        </is>
      </c>
      <c r="C148" t="inlineStr">
        <is>
          <t>Electric &amp; Gas Utility Services</t>
        </is>
      </c>
      <c r="D148" t="inlineStr">
        <is>
          <t>https://www.thorntonco.gov/electric-gas-utility-services</t>
        </is>
      </c>
      <c r="E148" t="inlineStr">
        <is>
          <t>Xcel Energy or United Power depending on location</t>
        </is>
      </c>
    </row>
    <row r="149">
      <c r="A149" t="inlineStr">
        <is>
          <t>Thornton</t>
        </is>
      </c>
      <c r="B149" t="inlineStr">
        <is>
          <t>Utilities</t>
        </is>
      </c>
      <c r="C149" t="inlineStr">
        <is>
          <t>United Power</t>
        </is>
      </c>
      <c r="D149" t="inlineStr">
        <is>
          <t>https://www.unitedpower.com/</t>
        </is>
      </c>
      <c r="E149" t="inlineStr">
        <is>
          <t>Electric co-op serving parts of Thornton</t>
        </is>
      </c>
    </row>
    <row r="150">
      <c r="A150" t="inlineStr">
        <is>
          <t>Thornton</t>
        </is>
      </c>
      <c r="B150" t="inlineStr">
        <is>
          <t>Utilities</t>
        </is>
      </c>
      <c r="C150" t="inlineStr">
        <is>
          <t>Xcel Energy</t>
        </is>
      </c>
      <c r="D150" t="inlineStr">
        <is>
          <t>https://www.xcelenergy.com/</t>
        </is>
      </c>
      <c r="E150" t="inlineStr">
        <is>
          <t>Electric/gas provider for parts of Thornton</t>
        </is>
      </c>
    </row>
    <row r="151">
      <c r="A151" t="inlineStr">
        <is>
          <t>Thornton</t>
        </is>
      </c>
      <c r="B151" t="inlineStr">
        <is>
          <t>School Districts</t>
        </is>
      </c>
      <c r="C151" t="inlineStr">
        <is>
          <t>Adams 12 Five Star Schools</t>
        </is>
      </c>
      <c r="D151" t="inlineStr">
        <is>
          <t>https://www.adams12.org/</t>
        </is>
      </c>
      <c r="E151" t="inlineStr">
        <is>
          <t>Primary school district for Thornton</t>
        </is>
      </c>
    </row>
    <row r="152">
      <c r="A152" t="inlineStr">
        <is>
          <t>Thornton</t>
        </is>
      </c>
      <c r="B152" t="inlineStr">
        <is>
          <t>School Districts</t>
        </is>
      </c>
      <c r="C152" t="inlineStr">
        <is>
          <t>School District 27J</t>
        </is>
      </c>
      <c r="D152" t="inlineStr">
        <is>
          <t>https://www.sd27j.org/</t>
        </is>
      </c>
      <c r="E152" t="inlineStr">
        <is>
          <t>Serves northeast Thornton</t>
        </is>
      </c>
    </row>
    <row r="153">
      <c r="A153" t="inlineStr">
        <is>
          <t>Westminster</t>
        </is>
      </c>
      <c r="B153" t="inlineStr">
        <is>
          <t>Property Assessment</t>
        </is>
      </c>
      <c r="C153" t="inlineStr">
        <is>
          <t>Westminster eTRAKiT Parcel Search</t>
        </is>
      </c>
      <c r="D153" t="inlineStr">
        <is>
          <t>https://develop.cityofwestminster.us/ETRAKIT/Search/parcel.aspx</t>
        </is>
      </c>
      <c r="E153" t="inlineStr">
        <is>
          <t>City parcel/permit search</t>
        </is>
      </c>
    </row>
    <row r="154">
      <c r="A154" t="inlineStr">
        <is>
          <t>Westminster</t>
        </is>
      </c>
      <c r="B154" t="inlineStr">
        <is>
          <t>Property Assessment</t>
        </is>
      </c>
      <c r="C154" t="inlineStr">
        <is>
          <t>Adams County Assessor (Adams Co. portion)</t>
        </is>
      </c>
      <c r="D154" t="inlineStr">
        <is>
          <t>https://adcogov.org/property-look</t>
        </is>
      </c>
      <c r="E154" t="inlineStr">
        <is>
          <t>For parcels in eastern Westminster (Adams County)</t>
        </is>
      </c>
    </row>
    <row r="155">
      <c r="A155" t="inlineStr">
        <is>
          <t>Westminster</t>
        </is>
      </c>
      <c r="B155" t="inlineStr">
        <is>
          <t>Property Assessment</t>
        </is>
      </c>
      <c r="C155" t="inlineStr">
        <is>
          <t>Jefferson County Assessor (Jefferson Co. portion)</t>
        </is>
      </c>
      <c r="D155" t="inlineStr">
        <is>
          <t>https://propertysearch.jeffco.us/</t>
        </is>
      </c>
      <c r="E155" t="inlineStr">
        <is>
          <t>For parcels in western Westminster (Jefferson County)</t>
        </is>
      </c>
    </row>
    <row r="156">
      <c r="A156" t="inlineStr">
        <is>
          <t>Westminster</t>
        </is>
      </c>
      <c r="B156" t="inlineStr">
        <is>
          <t>Property Tax / Treasurer</t>
        </is>
      </c>
      <c r="C156" t="inlineStr">
        <is>
          <t>Adams County Tax Payment (Adams Co. portion)</t>
        </is>
      </c>
      <c r="D156" t="inlineStr">
        <is>
          <t>https://adcotax.com/treasurer/web/login.jsp</t>
        </is>
      </c>
      <c r="E156" t="inlineStr">
        <is>
          <t>For Adams County parcels</t>
        </is>
      </c>
    </row>
    <row r="157">
      <c r="A157" t="inlineStr">
        <is>
          <t>Westminster</t>
        </is>
      </c>
      <c r="B157" t="inlineStr">
        <is>
          <t>Property Tax / Treasurer</t>
        </is>
      </c>
      <c r="C157" t="inlineStr">
        <is>
          <t>Jefferson County Treasurer (Jefferson Co. portion)</t>
        </is>
      </c>
      <c r="D157" t="inlineStr">
        <is>
          <t>https://jeffco.us/1293/Treasurer</t>
        </is>
      </c>
      <c r="E157" t="inlineStr">
        <is>
          <t>For Jefferson County parcels</t>
        </is>
      </c>
    </row>
    <row r="158">
      <c r="A158" t="inlineStr">
        <is>
          <t>Westminster</t>
        </is>
      </c>
      <c r="B158" t="inlineStr">
        <is>
          <t>Deed / Title Records</t>
        </is>
      </c>
      <c r="C158" t="inlineStr">
        <is>
          <t>Adams Co. Landmark Web Document Search</t>
        </is>
      </c>
      <c r="D158" t="inlineStr">
        <is>
          <t>https://recording.adcogov.org/landmarkweb</t>
        </is>
      </c>
      <c r="E158" t="inlineStr">
        <is>
          <t>For Adams County parcels</t>
        </is>
      </c>
    </row>
    <row r="159">
      <c r="A159" t="inlineStr">
        <is>
          <t>Westminster</t>
        </is>
      </c>
      <c r="B159" t="inlineStr">
        <is>
          <t>Deed / Title Records</t>
        </is>
      </c>
      <c r="C159" t="inlineStr">
        <is>
          <t>Jefferson County Clerk &amp; Recorder</t>
        </is>
      </c>
      <c r="D159" t="inlineStr">
        <is>
          <t>https://www.jeffco.us/1288/Clerk-Recorder</t>
        </is>
      </c>
      <c r="E159" t="inlineStr">
        <is>
          <t>For Jefferson County parcels</t>
        </is>
      </c>
    </row>
    <row r="160">
      <c r="A160" t="inlineStr">
        <is>
          <t>Westminster</t>
        </is>
      </c>
      <c r="B160" t="inlineStr">
        <is>
          <t>GIS / Mapping</t>
        </is>
      </c>
      <c r="C160" t="inlineStr">
        <is>
          <t>Westminster Open Data Hub (ArcGIS)</t>
        </is>
      </c>
      <c r="D160" t="inlineStr">
        <is>
          <t>https://opendata-westminster.hub.arcgis.com/</t>
        </is>
      </c>
      <c r="E160" t="inlineStr">
        <is>
          <t>Downloadable GIS datasets</t>
        </is>
      </c>
    </row>
    <row r="161">
      <c r="A161" t="inlineStr">
        <is>
          <t>Westminster</t>
        </is>
      </c>
      <c r="B161" t="inlineStr">
        <is>
          <t>GIS / Mapping</t>
        </is>
      </c>
      <c r="C161" t="inlineStr">
        <is>
          <t>Westminster Zoning Map (ArcGIS)</t>
        </is>
      </c>
      <c r="D161" t="inlineStr">
        <is>
          <t>https://maps.cityofwestminster.us/portal/apps/webappviewer/index.html?id=840164f9c48d49109f884695afe3f714</t>
        </is>
      </c>
      <c r="E161" t="inlineStr">
        <is>
          <t>Official interactive zoning map</t>
        </is>
      </c>
    </row>
    <row r="162">
      <c r="A162" t="inlineStr">
        <is>
          <t>Westminster</t>
        </is>
      </c>
      <c r="B162" t="inlineStr">
        <is>
          <t>GIS / Mapping</t>
        </is>
      </c>
      <c r="C162" t="inlineStr">
        <is>
          <t>Maps Page</t>
        </is>
      </c>
      <c r="D162" t="inlineStr">
        <is>
          <t>https://www.westminsterco.gov/471/Maps</t>
        </is>
      </c>
      <c r="E162" t="inlineStr">
        <is>
          <t>City maps</t>
        </is>
      </c>
    </row>
    <row r="163">
      <c r="A163" t="inlineStr">
        <is>
          <t>Westminster</t>
        </is>
      </c>
      <c r="B163" t="inlineStr">
        <is>
          <t>Permits</t>
        </is>
      </c>
      <c r="C163" t="inlineStr">
        <is>
          <t>eTRAKiT Portal</t>
        </is>
      </c>
      <c r="D163" t="inlineStr">
        <is>
          <t>https://develop.cityofwestminster.us/etrakit/</t>
        </is>
      </c>
      <c r="E163" t="inlineStr">
        <is>
          <t>Online permit search and applications</t>
        </is>
      </c>
    </row>
    <row r="164">
      <c r="A164" t="inlineStr">
        <is>
          <t>Westminster</t>
        </is>
      </c>
      <c r="B164" t="inlineStr">
        <is>
          <t>Permits</t>
        </is>
      </c>
      <c r="C164" t="inlineStr">
        <is>
          <t>Permit Search</t>
        </is>
      </c>
      <c r="D164" t="inlineStr">
        <is>
          <t>https://develop.cityofwestminster.us/etrakit/Search/permit.aspx</t>
        </is>
      </c>
      <c r="E164" t="inlineStr">
        <is>
          <t>Direct permit lookup</t>
        </is>
      </c>
    </row>
    <row r="165">
      <c r="A165" t="inlineStr">
        <is>
          <t>Westminster</t>
        </is>
      </c>
      <c r="B165" t="inlineStr">
        <is>
          <t>Permits</t>
        </is>
      </c>
      <c r="C165" t="inlineStr">
        <is>
          <t>Apply for a Permit</t>
        </is>
      </c>
      <c r="D165" t="inlineStr">
        <is>
          <t>https://www.westminsterco.gov/617/Apply-for-a-Permit-Project</t>
        </is>
      </c>
      <c r="E165" t="inlineStr">
        <is>
          <t>Permit application guide</t>
        </is>
      </c>
    </row>
    <row r="166">
      <c r="A166" t="inlineStr">
        <is>
          <t>Westminster</t>
        </is>
      </c>
      <c r="B166" t="inlineStr">
        <is>
          <t>Permits</t>
        </is>
      </c>
      <c r="C166" t="inlineStr">
        <is>
          <t>Building Division</t>
        </is>
      </c>
      <c r="D166" t="inlineStr">
        <is>
          <t>https://www.westminsterco.gov/621/Building-Division</t>
        </is>
      </c>
      <c r="E166" t="inlineStr">
        <is>
          <t>Building department</t>
        </is>
      </c>
    </row>
    <row r="167">
      <c r="A167" t="inlineStr">
        <is>
          <t>Westminster</t>
        </is>
      </c>
      <c r="B167" t="inlineStr">
        <is>
          <t>Permits</t>
        </is>
      </c>
      <c r="C167" t="inlineStr">
        <is>
          <t>Right-of-Way Permits</t>
        </is>
      </c>
      <c r="D167" t="inlineStr">
        <is>
          <t>https://www.westminsterco.gov/746/Right-of-Way-Permits</t>
        </is>
      </c>
      <c r="E167" t="inlineStr">
        <is>
          <t>ROW encroachment permits</t>
        </is>
      </c>
    </row>
    <row r="168">
      <c r="A168" t="inlineStr">
        <is>
          <t>Westminster</t>
        </is>
      </c>
      <c r="B168" t="inlineStr">
        <is>
          <t>Zoning / Planning</t>
        </is>
      </c>
      <c r="C168" t="inlineStr">
        <is>
          <t>Planning Main Page</t>
        </is>
      </c>
      <c r="D168" t="inlineStr">
        <is>
          <t>https://www.westminsterco.gov/707/Planning</t>
        </is>
      </c>
      <c r="E168" t="inlineStr">
        <is>
          <t>Planning department</t>
        </is>
      </c>
    </row>
    <row r="169">
      <c r="A169" t="inlineStr">
        <is>
          <t>Westminster</t>
        </is>
      </c>
      <c r="B169" t="inlineStr">
        <is>
          <t>Zoning / Planning</t>
        </is>
      </c>
      <c r="C169" t="inlineStr">
        <is>
          <t>Develop in Westminster</t>
        </is>
      </c>
      <c r="D169" t="inlineStr">
        <is>
          <t>https://www.westminsterco.gov/703/Develop-in-Westminster</t>
        </is>
      </c>
      <c r="E169" t="inlineStr">
        <is>
          <t>Development guide</t>
        </is>
      </c>
    </row>
    <row r="170">
      <c r="A170" t="inlineStr">
        <is>
          <t>Westminster</t>
        </is>
      </c>
      <c r="B170" t="inlineStr">
        <is>
          <t>Zoning / Planning</t>
        </is>
      </c>
      <c r="C170" t="inlineStr">
        <is>
          <t>Comprehensive Plan Executive Summary</t>
        </is>
      </c>
      <c r="D170" t="inlineStr">
        <is>
          <t>https://www.westminsterco.gov/DocumentCenter/View/1467/Executive-Summary-PDF</t>
        </is>
      </c>
      <c r="E170" t="inlineStr">
        <is>
          <t>City comprehensive plan summary</t>
        </is>
      </c>
    </row>
    <row r="171">
      <c r="A171" t="inlineStr">
        <is>
          <t>Westminster</t>
        </is>
      </c>
      <c r="B171" t="inlineStr">
        <is>
          <t>Flood Zone</t>
        </is>
      </c>
      <c r="C171" t="inlineStr">
        <is>
          <t>FEMA Map Service Center</t>
        </is>
      </c>
      <c r="D171" t="inlineStr">
        <is>
          <t>https://msc.fema.gov/</t>
        </is>
      </c>
      <c r="E171" t="inlineStr">
        <is>
          <t>Address-specific FEMA FIRM lookup</t>
        </is>
      </c>
    </row>
    <row r="172">
      <c r="A172" t="inlineStr">
        <is>
          <t>Westminster</t>
        </is>
      </c>
      <c r="B172" t="inlineStr">
        <is>
          <t>Flood Zone</t>
        </is>
      </c>
      <c r="C172" t="inlineStr">
        <is>
          <t>Adams County Floodplain (eastern Westminster)</t>
        </is>
      </c>
      <c r="D172" t="inlineStr">
        <is>
          <t>https://adamscountyco.gov/our-county/community-economic-development/floodplain-management/</t>
        </is>
      </c>
      <c r="E172" t="inlineStr">
        <is>
          <t>For Adams County portion</t>
        </is>
      </c>
    </row>
    <row r="173">
      <c r="A173" t="inlineStr">
        <is>
          <t>Westminster</t>
        </is>
      </c>
      <c r="B173" t="inlineStr">
        <is>
          <t>Economic Development</t>
        </is>
      </c>
      <c r="C173" t="inlineStr">
        <is>
          <t>Westminster Economic Development</t>
        </is>
      </c>
      <c r="D173" t="inlineStr">
        <is>
          <t>https://www.westminstereconomicdevelopment.org/</t>
        </is>
      </c>
      <c r="E173" t="inlineStr">
        <is>
          <t>Economic development office</t>
        </is>
      </c>
    </row>
    <row r="174">
      <c r="A174" t="inlineStr">
        <is>
          <t>Westminster</t>
        </is>
      </c>
      <c r="B174" t="inlineStr">
        <is>
          <t>Economic Development</t>
        </is>
      </c>
      <c r="C174" t="inlineStr">
        <is>
          <t>Proposed Developments Map</t>
        </is>
      </c>
      <c r="D174" t="inlineStr">
        <is>
          <t>https://www.westminstereconomicdevelopment.org/area-maps/</t>
        </is>
      </c>
      <c r="E174" t="inlineStr">
        <is>
          <t>Development pipeline and comp plan maps</t>
        </is>
      </c>
    </row>
    <row r="175">
      <c r="A175" t="inlineStr">
        <is>
          <t>Westminster</t>
        </is>
      </c>
      <c r="B175" t="inlineStr">
        <is>
          <t>Economic Development</t>
        </is>
      </c>
      <c r="C175" t="inlineStr">
        <is>
          <t>Utilities &amp; Tax Info</t>
        </is>
      </c>
      <c r="D175" t="inlineStr">
        <is>
          <t>https://www.westminstereconomicdevelopment.org/about-westminster/water-utilities-taxes/</t>
        </is>
      </c>
      <c r="E175" t="inlineStr">
        <is>
          <t>Utility providers and tax information</t>
        </is>
      </c>
    </row>
    <row r="176">
      <c r="A176" t="inlineStr">
        <is>
          <t>Westminster</t>
        </is>
      </c>
      <c r="B176" t="inlineStr">
        <is>
          <t>Short-Term Rental</t>
        </is>
      </c>
      <c r="C176" t="inlineStr">
        <is>
          <t>Short-Term Rentals</t>
        </is>
      </c>
      <c r="D176" t="inlineStr">
        <is>
          <t>https://www.westminsterco.gov/Short-TermRentals</t>
        </is>
      </c>
      <c r="E176" t="inlineStr">
        <is>
          <t>STR regulations and licensing</t>
        </is>
      </c>
    </row>
    <row r="177">
      <c r="A177" t="inlineStr">
        <is>
          <t>Westminster</t>
        </is>
      </c>
      <c r="B177" t="inlineStr">
        <is>
          <t>Crime / Safety</t>
        </is>
      </c>
      <c r="C177" t="inlineStr">
        <is>
          <t>CrimeMapping.com (Westminster PD)</t>
        </is>
      </c>
      <c r="D177" t="inlineStr">
        <is>
          <t>https://www.crimemapping.com/map/co/westminster</t>
        </is>
      </c>
      <c r="E177" t="inlineStr">
        <is>
          <t>Interactive crime map</t>
        </is>
      </c>
    </row>
    <row r="178">
      <c r="A178" t="inlineStr">
        <is>
          <t>Westminster</t>
        </is>
      </c>
      <c r="B178" t="inlineStr">
        <is>
          <t>Crime / Safety</t>
        </is>
      </c>
      <c r="C178" t="inlineStr">
        <is>
          <t>Westminster PD News / Crime Mapping</t>
        </is>
      </c>
      <c r="D178" t="inlineStr">
        <is>
          <t>https://www.westminsterpdnews.com/crime-mapping</t>
        </is>
      </c>
      <c r="E178" t="inlineStr">
        <is>
          <t>PD crime map</t>
        </is>
      </c>
    </row>
    <row r="179">
      <c r="A179" t="inlineStr">
        <is>
          <t>Westminster</t>
        </is>
      </c>
      <c r="B179" t="inlineStr">
        <is>
          <t>Utilities</t>
        </is>
      </c>
      <c r="C179" t="inlineStr">
        <is>
          <t>Public Works &amp; Utilities (Water)</t>
        </is>
      </c>
      <c r="D179" t="inlineStr">
        <is>
          <t>https://www.westminsterco.gov/water</t>
        </is>
      </c>
      <c r="E179" t="inlineStr">
        <is>
          <t>City water utility</t>
        </is>
      </c>
    </row>
    <row r="180">
      <c r="A180" t="inlineStr">
        <is>
          <t>Westminster</t>
        </is>
      </c>
      <c r="B180" t="inlineStr">
        <is>
          <t>School Districts</t>
        </is>
      </c>
      <c r="C180" t="inlineStr">
        <is>
          <t>Adams 12 Five Star Schools (east Westminster)</t>
        </is>
      </c>
      <c r="D180" t="inlineStr">
        <is>
          <t>https://www.adams12.org/</t>
        </is>
      </c>
      <c r="E180" t="inlineStr">
        <is>
          <t>Serves eastern Adams County portion</t>
        </is>
      </c>
    </row>
    <row r="181">
      <c r="A181" t="inlineStr">
        <is>
          <t>Westminster</t>
        </is>
      </c>
      <c r="B181" t="inlineStr">
        <is>
          <t>School Districts</t>
        </is>
      </c>
      <c r="C181" t="inlineStr">
        <is>
          <t>Jefferson County Public Schools (west Westminster)</t>
        </is>
      </c>
      <c r="D181" t="inlineStr">
        <is>
          <t>https://www.jeffcopublicschools.org/</t>
        </is>
      </c>
      <c r="E181" t="inlineStr">
        <is>
          <t>Serves western Jefferson County portion</t>
        </is>
      </c>
    </row>
    <row r="182">
      <c r="A182" t="inlineStr">
        <is>
          <t>Aurora</t>
        </is>
      </c>
      <c r="B182" t="inlineStr">
        <is>
          <t>Property Assessment</t>
        </is>
      </c>
      <c r="C182" t="inlineStr">
        <is>
          <t>Aurora Property Info Portal</t>
        </is>
      </c>
      <c r="D182" t="inlineStr">
        <is>
          <t>https://ags.auroragov.org/propinfo/propinfo.html</t>
        </is>
      </c>
      <c r="E182" t="inlineStr">
        <is>
          <t>City-run parcel info portal (all Aurora regardless of county)</t>
        </is>
      </c>
    </row>
    <row r="183">
      <c r="A183" t="inlineStr">
        <is>
          <t>Aurora</t>
        </is>
      </c>
      <c r="B183" t="inlineStr">
        <is>
          <t>Property Assessment</t>
        </is>
      </c>
      <c r="C183" t="inlineStr">
        <is>
          <t>Aurora Property Information Page</t>
        </is>
      </c>
      <c r="D183" t="inlineStr">
        <is>
          <t>https://www.auroragov.org/city_hall/maps/property_information</t>
        </is>
      </c>
      <c r="E183" t="inlineStr">
        <is>
          <t>Property info map links</t>
        </is>
      </c>
    </row>
    <row r="184">
      <c r="A184" t="inlineStr">
        <is>
          <t>Aurora</t>
        </is>
      </c>
      <c r="B184" t="inlineStr">
        <is>
          <t>Property Assessment</t>
        </is>
      </c>
      <c r="C184" t="inlineStr">
        <is>
          <t>Adams County Assessor (Adams Co. portion)</t>
        </is>
      </c>
      <c r="D184" t="inlineStr">
        <is>
          <t>https://adcogov.org/property-look</t>
        </is>
      </c>
      <c r="E184" t="inlineStr">
        <is>
          <t>For parcels in northern Aurora (Adams County)</t>
        </is>
      </c>
    </row>
    <row r="185">
      <c r="A185" t="inlineStr">
        <is>
          <t>Aurora</t>
        </is>
      </c>
      <c r="B185" t="inlineStr">
        <is>
          <t>Property Assessment</t>
        </is>
      </c>
      <c r="C185" t="inlineStr">
        <is>
          <t>Arapahoe County Assessor</t>
        </is>
      </c>
      <c r="D185" t="inlineStr">
        <is>
          <t>https://www.arapahoegov.com/assessor</t>
        </is>
      </c>
      <c r="E185" t="inlineStr">
        <is>
          <t>For parcels in central/southern Aurora (Arapahoe County)</t>
        </is>
      </c>
    </row>
    <row r="186">
      <c r="A186" t="inlineStr">
        <is>
          <t>Aurora</t>
        </is>
      </c>
      <c r="B186" t="inlineStr">
        <is>
          <t>Property Assessment</t>
        </is>
      </c>
      <c r="C186" t="inlineStr">
        <is>
          <t>Douglas County Assessor</t>
        </is>
      </c>
      <c r="D186" t="inlineStr">
        <is>
          <t>https://www.douglas.co.us/assessor/</t>
        </is>
      </c>
      <c r="E186" t="inlineStr">
        <is>
          <t>For parcels in southern Aurora (Douglas County)</t>
        </is>
      </c>
    </row>
    <row r="187">
      <c r="A187" t="inlineStr">
        <is>
          <t>Aurora</t>
        </is>
      </c>
      <c r="B187" t="inlineStr">
        <is>
          <t>Property Tax / Treasurer</t>
        </is>
      </c>
      <c r="C187" t="inlineStr">
        <is>
          <t>Adams County Tax Payment</t>
        </is>
      </c>
      <c r="D187" t="inlineStr">
        <is>
          <t>https://adcotax.com/treasurer/web/login.jsp</t>
        </is>
      </c>
      <c r="E187" t="inlineStr">
        <is>
          <t>For Adams County parcels</t>
        </is>
      </c>
    </row>
    <row r="188">
      <c r="A188" t="inlineStr">
        <is>
          <t>Aurora</t>
        </is>
      </c>
      <c r="B188" t="inlineStr">
        <is>
          <t>Property Tax / Treasurer</t>
        </is>
      </c>
      <c r="C188" t="inlineStr">
        <is>
          <t>Arapahoe County Treasurer</t>
        </is>
      </c>
      <c r="D188" t="inlineStr">
        <is>
          <t>https://www.arapahoegov.com/1053/Treasurer</t>
        </is>
      </c>
      <c r="E188" t="inlineStr">
        <is>
          <t>For Arapahoe County parcels</t>
        </is>
      </c>
    </row>
    <row r="189">
      <c r="A189" t="inlineStr">
        <is>
          <t>Aurora</t>
        </is>
      </c>
      <c r="B189" t="inlineStr">
        <is>
          <t>Property Tax / Treasurer</t>
        </is>
      </c>
      <c r="C189" t="inlineStr">
        <is>
          <t>Douglas County Treasurer</t>
        </is>
      </c>
      <c r="D189" t="inlineStr">
        <is>
          <t>https://www.douglas.co.us/treasurer/</t>
        </is>
      </c>
      <c r="E189" t="inlineStr">
        <is>
          <t>For Douglas County parcels</t>
        </is>
      </c>
    </row>
    <row r="190">
      <c r="A190" t="inlineStr">
        <is>
          <t>Aurora</t>
        </is>
      </c>
      <c r="B190" t="inlineStr">
        <is>
          <t>Deed / Title Records</t>
        </is>
      </c>
      <c r="C190" t="inlineStr">
        <is>
          <t>Adams Co. Landmark Web Document Search</t>
        </is>
      </c>
      <c r="D190" t="inlineStr">
        <is>
          <t>https://recording.adcogov.org/landmarkweb</t>
        </is>
      </c>
      <c r="E190" t="inlineStr">
        <is>
          <t>For Adams County parcels</t>
        </is>
      </c>
    </row>
    <row r="191">
      <c r="A191" t="inlineStr">
        <is>
          <t>Aurora</t>
        </is>
      </c>
      <c r="B191" t="inlineStr">
        <is>
          <t>Deed / Title Records</t>
        </is>
      </c>
      <c r="C191" t="inlineStr">
        <is>
          <t>Arapahoe County Clerk &amp; Recorder</t>
        </is>
      </c>
      <c r="D191" t="inlineStr">
        <is>
          <t>https://www.arapahoegov.com/1043/Clerk-Recorder</t>
        </is>
      </c>
      <c r="E191" t="inlineStr">
        <is>
          <t>For Arapahoe County parcels</t>
        </is>
      </c>
    </row>
    <row r="192">
      <c r="A192" t="inlineStr">
        <is>
          <t>Aurora</t>
        </is>
      </c>
      <c r="B192" t="inlineStr">
        <is>
          <t>GIS / Mapping</t>
        </is>
      </c>
      <c r="C192" t="inlineStr">
        <is>
          <t>Aurora Open Data (ArcGIS Hub)</t>
        </is>
      </c>
      <c r="D192" t="inlineStr">
        <is>
          <t>https://data-auroraco.opendata.arcgis.com/</t>
        </is>
      </c>
      <c r="E192" t="inlineStr">
        <is>
          <t>Downloadable GIS datasets</t>
        </is>
      </c>
    </row>
    <row r="193">
      <c r="A193" t="inlineStr">
        <is>
          <t>Aurora</t>
        </is>
      </c>
      <c r="B193" t="inlineStr">
        <is>
          <t>GIS / Mapping</t>
        </is>
      </c>
      <c r="C193" t="inlineStr">
        <is>
          <t>Aurora Open Data Portal</t>
        </is>
      </c>
      <c r="D193" t="inlineStr">
        <is>
          <t>https://opendata-cityofaurora.hub.arcgis.com/</t>
        </is>
      </c>
      <c r="E193" t="inlineStr">
        <is>
          <t>Additional open data hub</t>
        </is>
      </c>
    </row>
    <row r="194">
      <c r="A194" t="inlineStr">
        <is>
          <t>Aurora</t>
        </is>
      </c>
      <c r="B194" t="inlineStr">
        <is>
          <t>GIS / Mapping</t>
        </is>
      </c>
      <c r="C194" t="inlineStr">
        <is>
          <t>Maps Page</t>
        </is>
      </c>
      <c r="D194" t="inlineStr">
        <is>
          <t>https://www.auroragov.org/city_hall/maps</t>
        </is>
      </c>
      <c r="E194" t="inlineStr">
        <is>
          <t>All Aurora map portals</t>
        </is>
      </c>
    </row>
    <row r="195">
      <c r="A195" t="inlineStr">
        <is>
          <t>Aurora</t>
        </is>
      </c>
      <c r="B195" t="inlineStr">
        <is>
          <t>GIS / Mapping</t>
        </is>
      </c>
      <c r="C195" t="inlineStr">
        <is>
          <t>Planning &amp; Zoning Maps</t>
        </is>
      </c>
      <c r="D195" t="inlineStr">
        <is>
          <t>https://www.auroragov.org/city_hall/maps/planning_and_zoning_maps</t>
        </is>
      </c>
      <c r="E195" t="inlineStr">
        <is>
          <t>Planning and zoning map viewer</t>
        </is>
      </c>
    </row>
    <row r="196">
      <c r="A196" t="inlineStr">
        <is>
          <t>Aurora</t>
        </is>
      </c>
      <c r="B196" t="inlineStr">
        <is>
          <t>GIS / Mapping</t>
        </is>
      </c>
      <c r="C196" t="inlineStr">
        <is>
          <t>Development Maps</t>
        </is>
      </c>
      <c r="D196" t="inlineStr">
        <is>
          <t>https://www.auroragov.org/city_hall/maps/development_maps</t>
        </is>
      </c>
      <c r="E196" t="inlineStr">
        <is>
          <t>Active development and pipeline maps</t>
        </is>
      </c>
    </row>
    <row r="197">
      <c r="A197" t="inlineStr">
        <is>
          <t>Aurora</t>
        </is>
      </c>
      <c r="B197" t="inlineStr">
        <is>
          <t>Permits</t>
        </is>
      </c>
      <c r="C197" t="inlineStr">
        <is>
          <t>Permits Main Page</t>
        </is>
      </c>
      <c r="D197" t="inlineStr">
        <is>
          <t>https://www.auroragov.org/business_services/building_division/permits</t>
        </is>
      </c>
      <c r="E197" t="inlineStr">
        <is>
          <t>Building permit info</t>
        </is>
      </c>
    </row>
    <row r="198">
      <c r="A198" t="inlineStr">
        <is>
          <t>Aurora</t>
        </is>
      </c>
      <c r="B198" t="inlineStr">
        <is>
          <t>Permits</t>
        </is>
      </c>
      <c r="C198" t="inlineStr">
        <is>
          <t>Licensing &amp; Permits Maps</t>
        </is>
      </c>
      <c r="D198" t="inlineStr">
        <is>
          <t>https://www.auroragov.org/city_hall/maps/licensing_and_permits_maps</t>
        </is>
      </c>
      <c r="E198" t="inlineStr">
        <is>
          <t>Permit map viewer</t>
        </is>
      </c>
    </row>
    <row r="199">
      <c r="A199" t="inlineStr">
        <is>
          <t>Aurora</t>
        </is>
      </c>
      <c r="B199" t="inlineStr">
        <is>
          <t>Permits</t>
        </is>
      </c>
      <c r="C199" t="inlineStr">
        <is>
          <t>Building Permit Statistics</t>
        </is>
      </c>
      <c r="D199" t="inlineStr">
        <is>
          <t>https://www.auroragov.org/business_services/building_division/building_permit_statistics</t>
        </is>
      </c>
      <c r="E199" t="inlineStr">
        <is>
          <t>Permit issuance stats and trends</t>
        </is>
      </c>
    </row>
    <row r="200">
      <c r="A200" t="inlineStr">
        <is>
          <t>Aurora</t>
        </is>
      </c>
      <c r="B200" t="inlineStr">
        <is>
          <t>Permits</t>
        </is>
      </c>
      <c r="C200" t="inlineStr">
        <is>
          <t>Aurora Experience Permit Map (ArcGIS)</t>
        </is>
      </c>
      <c r="D200" t="inlineStr">
        <is>
          <t>https://experience.arcgis.com/experience/25e68ba47119437cb4bf6bdeea6fbea4</t>
        </is>
      </c>
      <c r="E200" t="inlineStr">
        <is>
          <t>Interactive permit activity map</t>
        </is>
      </c>
    </row>
    <row r="201">
      <c r="A201" t="inlineStr">
        <is>
          <t>Aurora</t>
        </is>
      </c>
      <c r="B201" t="inlineStr">
        <is>
          <t>Zoning / Planning</t>
        </is>
      </c>
      <c r="C201" t="inlineStr">
        <is>
          <t>Zoning Navigator</t>
        </is>
      </c>
      <c r="D201" t="inlineStr">
        <is>
          <t>https://zoning.auroragov.org/</t>
        </is>
      </c>
      <c r="E201" t="inlineStr">
        <is>
          <t>Primary zoning lookup tool — address-based</t>
        </is>
      </c>
    </row>
    <row r="202">
      <c r="A202" t="inlineStr">
        <is>
          <t>Aurora</t>
        </is>
      </c>
      <c r="B202" t="inlineStr">
        <is>
          <t>Zoning / Planning</t>
        </is>
      </c>
      <c r="C202" t="inlineStr">
        <is>
          <t>Planning &amp; Zoning Maps</t>
        </is>
      </c>
      <c r="D202" t="inlineStr">
        <is>
          <t>https://www.auroragov.org/city_hall/maps/planning_and_zoning_maps</t>
        </is>
      </c>
      <c r="E202" t="inlineStr">
        <is>
          <t>Planning and zoning map viewer</t>
        </is>
      </c>
    </row>
    <row r="203">
      <c r="A203" t="inlineStr">
        <is>
          <t>Aurora</t>
        </is>
      </c>
      <c r="B203" t="inlineStr">
        <is>
          <t>Zoning / Planning</t>
        </is>
      </c>
      <c r="C203" t="inlineStr">
        <is>
          <t>Comprehensive Plan PlaceTypes (ArcGIS)</t>
        </is>
      </c>
      <c r="D203" t="inlineStr">
        <is>
          <t>https://data-auroraco.opendata.arcgis.com/datasets/9cfb0cffe16b41b68e38bcafbc4c037a_153/about</t>
        </is>
      </c>
      <c r="E203" t="inlineStr">
        <is>
          <t>Future land use / place types dataset</t>
        </is>
      </c>
    </row>
    <row r="204">
      <c r="A204" t="inlineStr">
        <is>
          <t>Aurora</t>
        </is>
      </c>
      <c r="B204" t="inlineStr">
        <is>
          <t>Flood Zone</t>
        </is>
      </c>
      <c r="C204" t="inlineStr">
        <is>
          <t>FEMA Map Service Center</t>
        </is>
      </c>
      <c r="D204" t="inlineStr">
        <is>
          <t>https://msc.fema.gov/</t>
        </is>
      </c>
      <c r="E204" t="inlineStr">
        <is>
          <t>Address-specific FEMA FIRM lookup</t>
        </is>
      </c>
    </row>
    <row r="205">
      <c r="A205" t="inlineStr">
        <is>
          <t>Aurora</t>
        </is>
      </c>
      <c r="B205" t="inlineStr">
        <is>
          <t>Flood Zone</t>
        </is>
      </c>
      <c r="C205" t="inlineStr">
        <is>
          <t>Colorado Hazard Mapping / RiskMAP</t>
        </is>
      </c>
      <c r="D205" t="inlineStr">
        <is>
          <t>https://coloradohazardmapping.com/hazardMapping/floodplainMapping</t>
        </is>
      </c>
      <c r="E205" t="inlineStr">
        <is>
          <t>State-level flood mapping portal</t>
        </is>
      </c>
    </row>
    <row r="206">
      <c r="A206" t="inlineStr">
        <is>
          <t>Aurora</t>
        </is>
      </c>
      <c r="B206" t="inlineStr">
        <is>
          <t>Economic Development</t>
        </is>
      </c>
      <c r="C206" t="inlineStr">
        <is>
          <t>Economic &amp; Business Development</t>
        </is>
      </c>
      <c r="D206" t="inlineStr">
        <is>
          <t>https://www.auroragov.org/business_services/economic___business_development</t>
        </is>
      </c>
      <c r="E206" t="inlineStr">
        <is>
          <t>City economic development office</t>
        </is>
      </c>
    </row>
    <row r="207">
      <c r="A207" t="inlineStr">
        <is>
          <t>Aurora</t>
        </is>
      </c>
      <c r="B207" t="inlineStr">
        <is>
          <t>Crime / Safety</t>
        </is>
      </c>
      <c r="C207" t="inlineStr">
        <is>
          <t>Crime Data Portal</t>
        </is>
      </c>
      <c r="D207" t="inlineStr">
        <is>
          <t>https://www.auroragov.org/residents/public_safety/police/crime_data</t>
        </is>
      </c>
      <c r="E207" t="inlineStr">
        <is>
          <t>Transparency and accountability crime data</t>
        </is>
      </c>
    </row>
    <row r="208">
      <c r="A208" t="inlineStr">
        <is>
          <t>Aurora</t>
        </is>
      </c>
      <c r="B208" t="inlineStr">
        <is>
          <t>Crime / Safety</t>
        </is>
      </c>
      <c r="C208" t="inlineStr">
        <is>
          <t>Police and Fire Maps</t>
        </is>
      </c>
      <c r="D208" t="inlineStr">
        <is>
          <t>https://www.auroragov.org/city_hall/maps/police_and_fire_maps</t>
        </is>
      </c>
      <c r="E208" t="inlineStr">
        <is>
          <t>PD/fire district maps</t>
        </is>
      </c>
    </row>
    <row r="209">
      <c r="A209" t="inlineStr">
        <is>
          <t>Aurora</t>
        </is>
      </c>
      <c r="B209" t="inlineStr">
        <is>
          <t>Demographics</t>
        </is>
      </c>
      <c r="C209" t="inlineStr">
        <is>
          <t>Data &amp; Demographics</t>
        </is>
      </c>
      <c r="D209" t="inlineStr">
        <is>
          <t>https://www.auroragov.org/city_hall/about_aurora/data___demographics</t>
        </is>
      </c>
      <c r="E209" t="inlineStr">
        <is>
          <t>City demographic and statistical data</t>
        </is>
      </c>
    </row>
    <row r="210">
      <c r="A210" t="inlineStr">
        <is>
          <t>Aurora</t>
        </is>
      </c>
      <c r="B210" t="inlineStr">
        <is>
          <t>Short-Term Rental</t>
        </is>
      </c>
      <c r="C210" t="inlineStr">
        <is>
          <t>STR Info / FAQ</t>
        </is>
      </c>
      <c r="D210" t="inlineStr">
        <is>
          <t>https://www.auroragov.org/common/pages/GetFile.ashx?key=0Fc6ARWp</t>
        </is>
      </c>
      <c r="E210" t="inlineStr">
        <is>
          <t>STR rules: primary residence only; $43 initial / $26 renewal; 8% lodger's tax</t>
        </is>
      </c>
    </row>
    <row r="211">
      <c r="A211" t="inlineStr">
        <is>
          <t>Aurora</t>
        </is>
      </c>
      <c r="B211" t="inlineStr">
        <is>
          <t>School Districts</t>
        </is>
      </c>
      <c r="C211" t="inlineStr">
        <is>
          <t>Aurora Public Schools</t>
        </is>
      </c>
      <c r="D211" t="inlineStr">
        <is>
          <t>https://www.aurorak12.org/</t>
        </is>
      </c>
      <c r="E211" t="inlineStr">
        <is>
          <t>Primary district for most of Aurora</t>
        </is>
      </c>
    </row>
    <row r="212">
      <c r="A212" t="inlineStr">
        <is>
          <t>Aurora</t>
        </is>
      </c>
      <c r="B212" t="inlineStr">
        <is>
          <t>School Districts</t>
        </is>
      </c>
      <c r="C212" t="inlineStr">
        <is>
          <t>Cherry Creek School District</t>
        </is>
      </c>
      <c r="D212" t="inlineStr">
        <is>
          <t>https://www.cherrycreekschools.org/</t>
        </is>
      </c>
      <c r="E212" t="inlineStr">
        <is>
          <t>Serves parts of Aurora (Arapahoe Co. portion)</t>
        </is>
      </c>
    </row>
    <row r="213">
      <c r="A213" t="inlineStr">
        <is>
          <t>Aurora</t>
        </is>
      </c>
      <c r="B213" t="inlineStr">
        <is>
          <t>School Districts</t>
        </is>
      </c>
      <c r="C213" t="inlineStr">
        <is>
          <t>Adams 12 Five Star Schools</t>
        </is>
      </c>
      <c r="D213" t="inlineStr">
        <is>
          <t>https://www.adams12.org/</t>
        </is>
      </c>
      <c r="E213" t="inlineStr">
        <is>
          <t>Serves northern Aurora (Adams Co. portion)</t>
        </is>
      </c>
    </row>
    <row r="214">
      <c r="A214" t="inlineStr">
        <is>
          <t>Bennett</t>
        </is>
      </c>
      <c r="B214" t="inlineStr">
        <is>
          <t>Property Assessment</t>
        </is>
      </c>
      <c r="C214" t="inlineStr">
        <is>
          <t>Adams County Assessor (Property Lookup)</t>
        </is>
      </c>
      <c r="D214" t="inlineStr">
        <is>
          <t>https://adcogov.org/property-look</t>
        </is>
      </c>
      <c r="E214" t="inlineStr">
        <is>
          <t>Bennett is fully within Adams County</t>
        </is>
      </c>
    </row>
    <row r="215">
      <c r="A215" t="inlineStr">
        <is>
          <t>Bennett</t>
        </is>
      </c>
      <c r="B215" t="inlineStr">
        <is>
          <t>Property Tax / Treasurer</t>
        </is>
      </c>
      <c r="C215" t="inlineStr">
        <is>
          <t>Online Tax Payment</t>
        </is>
      </c>
      <c r="D215" t="inlineStr">
        <is>
          <t>https://adcotax.com/treasurer/web/login.jsp</t>
        </is>
      </c>
      <c r="E215" t="inlineStr">
        <is>
          <t>Adams County tax payment portal</t>
        </is>
      </c>
    </row>
    <row r="216">
      <c r="A216" t="inlineStr">
        <is>
          <t>Bennett</t>
        </is>
      </c>
      <c r="B216" t="inlineStr">
        <is>
          <t>Property Tax / Treasurer</t>
        </is>
      </c>
      <c r="C216" t="inlineStr">
        <is>
          <t>Property Tax Inquiry</t>
        </is>
      </c>
      <c r="D216" t="inlineStr">
        <is>
          <t>https://adamsil.devnetwedge.com/</t>
        </is>
      </c>
      <c r="E216" t="inlineStr">
        <is>
          <t>Tax balance and history lookup</t>
        </is>
      </c>
    </row>
    <row r="217">
      <c r="A217" t="inlineStr">
        <is>
          <t>Bennett</t>
        </is>
      </c>
      <c r="B217" t="inlineStr">
        <is>
          <t>Deed / Title Records</t>
        </is>
      </c>
      <c r="C217" t="inlineStr">
        <is>
          <t>Landmark Web Document Search</t>
        </is>
      </c>
      <c r="D217" t="inlineStr">
        <is>
          <t>https://recording.adcogov.org/landmarkweb</t>
        </is>
      </c>
      <c r="E217" t="inlineStr">
        <is>
          <t>Adams County deed/title records</t>
        </is>
      </c>
    </row>
    <row r="218">
      <c r="A218" t="inlineStr">
        <is>
          <t>Bennett</t>
        </is>
      </c>
      <c r="B218" t="inlineStr">
        <is>
          <t>GIS / Mapping</t>
        </is>
      </c>
      <c r="C218" t="inlineStr">
        <is>
          <t>Bennett Zoning Map</t>
        </is>
      </c>
      <c r="D218" t="inlineStr">
        <is>
          <t>https://www.bennettco.gov/business/page/bennett-zoning-map</t>
        </is>
      </c>
      <c r="E218" t="inlineStr">
        <is>
          <t>Official zoning map</t>
        </is>
      </c>
    </row>
    <row r="219">
      <c r="A219" t="inlineStr">
        <is>
          <t>Bennett</t>
        </is>
      </c>
      <c r="B219" t="inlineStr">
        <is>
          <t>GIS / Mapping</t>
        </is>
      </c>
      <c r="C219" t="inlineStr">
        <is>
          <t>Interactive ArcGIS Map</t>
        </is>
      </c>
      <c r="D219" t="inlineStr">
        <is>
          <t>https://www.arcgis.com/apps/webappviewer/index.html?id=d36fe1b73c514d29ba9b6d2d818e183e</t>
        </is>
      </c>
      <c r="E219" t="inlineStr">
        <is>
          <t>Interactive city map</t>
        </is>
      </c>
    </row>
    <row r="220">
      <c r="A220" t="inlineStr">
        <is>
          <t>Bennett</t>
        </is>
      </c>
      <c r="B220" t="inlineStr">
        <is>
          <t>GIS / Mapping</t>
        </is>
      </c>
      <c r="C220" t="inlineStr">
        <is>
          <t>2021 Comp Plan (ArcGIS Experience)</t>
        </is>
      </c>
      <c r="D220" t="inlineStr">
        <is>
          <t>https://experience.arcgis.com/experience/3d3babff4d9e4ac998d13ed805412374</t>
        </is>
      </c>
      <c r="E220" t="inlineStr">
        <is>
          <t>Comprehensive plan interactive viewer</t>
        </is>
      </c>
    </row>
    <row r="221">
      <c r="A221" t="inlineStr">
        <is>
          <t>Bennett</t>
        </is>
      </c>
      <c r="B221" t="inlineStr">
        <is>
          <t>Permits</t>
        </is>
      </c>
      <c r="C221" t="inlineStr">
        <is>
          <t>Building Department</t>
        </is>
      </c>
      <c r="D221" t="inlineStr">
        <is>
          <t>https://www.bennettco.gov/community-development/page/building-department</t>
        </is>
      </c>
      <c r="E221" t="inlineStr">
        <is>
          <t>Building permits info</t>
        </is>
      </c>
    </row>
    <row r="222">
      <c r="A222" t="inlineStr">
        <is>
          <t>Bennett</t>
        </is>
      </c>
      <c r="B222" t="inlineStr">
        <is>
          <t>Permits</t>
        </is>
      </c>
      <c r="C222" t="inlineStr">
        <is>
          <t>SmartGov Public Portal</t>
        </is>
      </c>
      <c r="D222" t="inlineStr">
        <is>
          <t>https://twn-bennett-co.smartgovcommunity.com/</t>
        </is>
      </c>
      <c r="E222" t="inlineStr">
        <is>
          <t>Online permit applications and search</t>
        </is>
      </c>
    </row>
    <row r="223">
      <c r="A223" t="inlineStr">
        <is>
          <t>Bennett</t>
        </is>
      </c>
      <c r="B223" t="inlineStr">
        <is>
          <t>Permits</t>
        </is>
      </c>
      <c r="C223" t="inlineStr">
        <is>
          <t>Development Page</t>
        </is>
      </c>
      <c r="D223" t="inlineStr">
        <is>
          <t>https://www.bennettco.gov/development</t>
        </is>
      </c>
      <c r="E223" t="inlineStr">
        <is>
          <t>Development resources</t>
        </is>
      </c>
    </row>
    <row r="224">
      <c r="A224" t="inlineStr">
        <is>
          <t>Bennett</t>
        </is>
      </c>
      <c r="B224" t="inlineStr">
        <is>
          <t>Zoning / Planning</t>
        </is>
      </c>
      <c r="C224" t="inlineStr">
        <is>
          <t>Planning and Zoning</t>
        </is>
      </c>
      <c r="D224" t="inlineStr">
        <is>
          <t>https://www.bennettco.gov/planning-economic-development/page/planning-and-zoning</t>
        </is>
      </c>
      <c r="E224" t="inlineStr">
        <is>
          <t>Zoning department</t>
        </is>
      </c>
    </row>
    <row r="225">
      <c r="A225" t="inlineStr">
        <is>
          <t>Bennett</t>
        </is>
      </c>
      <c r="B225" t="inlineStr">
        <is>
          <t>Zoning / Planning</t>
        </is>
      </c>
      <c r="C225" t="inlineStr">
        <is>
          <t>Planning &amp; Economic Development Dept</t>
        </is>
      </c>
      <c r="D225" t="inlineStr">
        <is>
          <t>https://www.bennettco.gov/planning-economic-development</t>
        </is>
      </c>
      <c r="E225" t="inlineStr">
        <is>
          <t>Planning and econ dev combined</t>
        </is>
      </c>
    </row>
    <row r="226">
      <c r="A226" t="inlineStr">
        <is>
          <t>Bennett</t>
        </is>
      </c>
      <c r="B226" t="inlineStr">
        <is>
          <t>Flood Zone</t>
        </is>
      </c>
      <c r="C226" t="inlineStr">
        <is>
          <t>FEMA Map Service Center</t>
        </is>
      </c>
      <c r="D226" t="inlineStr">
        <is>
          <t>https://msc.fema.gov/</t>
        </is>
      </c>
      <c r="E226" t="inlineStr">
        <is>
          <t>Address-specific FEMA FIRM lookup</t>
        </is>
      </c>
    </row>
    <row r="227">
      <c r="A227" t="inlineStr">
        <is>
          <t>Bennett</t>
        </is>
      </c>
      <c r="B227" t="inlineStr">
        <is>
          <t>Flood Zone</t>
        </is>
      </c>
      <c r="C227" t="inlineStr">
        <is>
          <t>Adams County Floodplain Management</t>
        </is>
      </c>
      <c r="D227" t="inlineStr">
        <is>
          <t>https://adamscountyco.gov/our-county/community-economic-development/floodplain-management/</t>
        </is>
      </c>
      <c r="E227" t="inlineStr">
        <is>
          <t>County floodplain resources</t>
        </is>
      </c>
    </row>
    <row r="228">
      <c r="A228" t="inlineStr">
        <is>
          <t>Bennett</t>
        </is>
      </c>
      <c r="B228" t="inlineStr">
        <is>
          <t>Economic Development</t>
        </is>
      </c>
      <c r="C228" t="inlineStr">
        <is>
          <t>Why Bennett (Econ Dev Portal)</t>
        </is>
      </c>
      <c r="D228" t="inlineStr">
        <is>
          <t>https://whybennett.colorado.gov/</t>
        </is>
      </c>
      <c r="E228" t="inlineStr">
        <is>
          <t>Business attraction and site selection</t>
        </is>
      </c>
    </row>
    <row r="229">
      <c r="A229" t="inlineStr">
        <is>
          <t>Bennett</t>
        </is>
      </c>
      <c r="B229" t="inlineStr">
        <is>
          <t>Economic Development</t>
        </is>
      </c>
      <c r="C229" t="inlineStr">
        <is>
          <t>Infrastructure &amp; Utilities (Why Bennett)</t>
        </is>
      </c>
      <c r="D229" t="inlineStr">
        <is>
          <t>https://whybennett.colorado.gov/infrastructure-and-utilities</t>
        </is>
      </c>
      <c r="E229" t="inlineStr">
        <is>
          <t>Utility and infrastructure info for investors</t>
        </is>
      </c>
    </row>
    <row r="230">
      <c r="A230" t="inlineStr">
        <is>
          <t>Bennett</t>
        </is>
      </c>
      <c r="B230" t="inlineStr">
        <is>
          <t>Utilities</t>
        </is>
      </c>
      <c r="C230" t="inlineStr">
        <is>
          <t>Utilities</t>
        </is>
      </c>
      <c r="D230" t="inlineStr">
        <is>
          <t>https://www.bennettco.gov/site-selection/page/utilities</t>
        </is>
      </c>
      <c r="E230" t="inlineStr">
        <is>
          <t>Town water/wastewater utilities</t>
        </is>
      </c>
    </row>
    <row r="231">
      <c r="A231" t="inlineStr">
        <is>
          <t>Bennett</t>
        </is>
      </c>
      <c r="B231" t="inlineStr">
        <is>
          <t>School Districts</t>
        </is>
      </c>
      <c r="C231" t="inlineStr">
        <is>
          <t>Bennett School District 29J</t>
        </is>
      </c>
      <c r="D231" t="inlineStr">
        <is>
          <t>https://www.bsd29j.com/</t>
        </is>
      </c>
      <c r="E231" t="inlineStr">
        <is>
          <t>Local school district for Bennett</t>
        </is>
      </c>
    </row>
    <row r="232">
      <c r="A232" t="inlineStr">
        <is>
          <t>Lochbuie</t>
        </is>
      </c>
      <c r="B232" t="inlineStr">
        <is>
          <t>Property Assessment</t>
        </is>
      </c>
      <c r="C232" t="inlineStr">
        <is>
          <t>Adams County Assessor (Adams Co. portion)</t>
        </is>
      </c>
      <c r="D232" t="inlineStr">
        <is>
          <t>https://adcogov.org/property-look</t>
        </is>
      </c>
      <c r="E232" t="inlineStr">
        <is>
          <t>For Adams County parcels in Lochbuie</t>
        </is>
      </c>
    </row>
    <row r="233">
      <c r="A233" t="inlineStr">
        <is>
          <t>Lochbuie</t>
        </is>
      </c>
      <c r="B233" t="inlineStr">
        <is>
          <t>Property Assessment</t>
        </is>
      </c>
      <c r="C233" t="inlineStr">
        <is>
          <t>Weld County Assessor (Weld Co. portion)</t>
        </is>
      </c>
      <c r="D233" t="inlineStr">
        <is>
          <t>https://www.weld.gov/Government/Departments/Assessor/Property-Data-Search</t>
        </is>
      </c>
      <c r="E233" t="inlineStr">
        <is>
          <t>For Weld County parcels in Lochbuie</t>
        </is>
      </c>
    </row>
    <row r="234">
      <c r="A234" t="inlineStr">
        <is>
          <t>Lochbuie</t>
        </is>
      </c>
      <c r="B234" t="inlineStr">
        <is>
          <t>Property Tax / Treasurer</t>
        </is>
      </c>
      <c r="C234" t="inlineStr">
        <is>
          <t>Adams County Tax Payment (Adams Co. portion)</t>
        </is>
      </c>
      <c r="D234" t="inlineStr">
        <is>
          <t>https://adcotax.com/treasurer/web/login.jsp</t>
        </is>
      </c>
      <c r="E234" t="inlineStr">
        <is>
          <t>For Adams County parcels</t>
        </is>
      </c>
    </row>
    <row r="235">
      <c r="A235" t="inlineStr">
        <is>
          <t>Lochbuie</t>
        </is>
      </c>
      <c r="B235" t="inlineStr">
        <is>
          <t>Property Tax / Treasurer</t>
        </is>
      </c>
      <c r="C235" t="inlineStr">
        <is>
          <t>Weld County Treasurer (Weld Co. portion)</t>
        </is>
      </c>
      <c r="D235" t="inlineStr">
        <is>
          <t>https://www.weldgov.com/departments/treasurer</t>
        </is>
      </c>
      <c r="E235" t="inlineStr">
        <is>
          <t>For Weld County parcels</t>
        </is>
      </c>
    </row>
    <row r="236">
      <c r="A236" t="inlineStr">
        <is>
          <t>Lochbuie</t>
        </is>
      </c>
      <c r="B236" t="inlineStr">
        <is>
          <t>Deed / Title Records</t>
        </is>
      </c>
      <c r="C236" t="inlineStr">
        <is>
          <t>Adams Co. Landmark Web Document Search</t>
        </is>
      </c>
      <c r="D236" t="inlineStr">
        <is>
          <t>https://recording.adcogov.org/landmarkweb</t>
        </is>
      </c>
      <c r="E236" t="inlineStr">
        <is>
          <t>For Adams County parcels</t>
        </is>
      </c>
    </row>
    <row r="237">
      <c r="A237" t="inlineStr">
        <is>
          <t>Lochbuie</t>
        </is>
      </c>
      <c r="B237" t="inlineStr">
        <is>
          <t>Deed / Title Records</t>
        </is>
      </c>
      <c r="C237" t="inlineStr">
        <is>
          <t>Weld County Clerk &amp; Recorder</t>
        </is>
      </c>
      <c r="D237" t="inlineStr">
        <is>
          <t>https://www.weld.gov/Government/Departments/Clerk-Recorder</t>
        </is>
      </c>
      <c r="E237" t="inlineStr">
        <is>
          <t>For Weld County parcels</t>
        </is>
      </c>
    </row>
    <row r="238">
      <c r="A238" t="inlineStr">
        <is>
          <t>Lochbuie</t>
        </is>
      </c>
      <c r="B238" t="inlineStr">
        <is>
          <t>GIS / Mapping</t>
        </is>
      </c>
      <c r="C238" t="inlineStr">
        <is>
          <t>Zoning Map</t>
        </is>
      </c>
      <c r="D238" t="inlineStr">
        <is>
          <t>https://www.lochbuie.org/administration/page/zoning-map</t>
        </is>
      </c>
      <c r="E238" t="inlineStr">
        <is>
          <t>Official town zoning map</t>
        </is>
      </c>
    </row>
    <row r="239">
      <c r="A239" t="inlineStr">
        <is>
          <t>Lochbuie</t>
        </is>
      </c>
      <c r="B239" t="inlineStr">
        <is>
          <t>Permits</t>
        </is>
      </c>
      <c r="C239" t="inlineStr">
        <is>
          <t>Building Permits &amp; Inspections</t>
        </is>
      </c>
      <c r="D239" t="inlineStr">
        <is>
          <t>https://www.lochbuie.org/community-dev/page/building-permits-and-inspections</t>
        </is>
      </c>
      <c r="E239" t="inlineStr">
        <is>
          <t>Building permits (contracted to SAFEbuilt)</t>
        </is>
      </c>
    </row>
    <row r="240">
      <c r="A240" t="inlineStr">
        <is>
          <t>Lochbuie</t>
        </is>
      </c>
      <c r="B240" t="inlineStr">
        <is>
          <t>Permits</t>
        </is>
      </c>
      <c r="C240" t="inlineStr">
        <is>
          <t>Do I Need a Permit?</t>
        </is>
      </c>
      <c r="D240" t="inlineStr">
        <is>
          <t>https://www.lochbuie.org/community-dev/page/do-i-need-permit</t>
        </is>
      </c>
      <c r="E240" t="inlineStr">
        <is>
          <t>Permit requirement guide</t>
        </is>
      </c>
    </row>
    <row r="241">
      <c r="A241" t="inlineStr">
        <is>
          <t>Lochbuie</t>
        </is>
      </c>
      <c r="B241" t="inlineStr">
        <is>
          <t>Permits</t>
        </is>
      </c>
      <c r="C241" t="inlineStr">
        <is>
          <t>Building Guides &amp; Checklists</t>
        </is>
      </c>
      <c r="D241" t="inlineStr">
        <is>
          <t>https://www.lochbuie.org/building/page/guides-and-checklists</t>
        </is>
      </c>
      <c r="E241" t="inlineStr">
        <is>
          <t>Application checklists</t>
        </is>
      </c>
    </row>
    <row r="242">
      <c r="A242" t="inlineStr">
        <is>
          <t>Lochbuie</t>
        </is>
      </c>
      <c r="B242" t="inlineStr">
        <is>
          <t>Zoning / Planning</t>
        </is>
      </c>
      <c r="C242" t="inlineStr">
        <is>
          <t>Current Planning</t>
        </is>
      </c>
      <c r="D242" t="inlineStr">
        <is>
          <t>https://www.lochbuie.org/community-dev/page/current-planning</t>
        </is>
      </c>
      <c r="E242" t="inlineStr">
        <is>
          <t>Active planning applications</t>
        </is>
      </c>
    </row>
    <row r="243">
      <c r="A243" t="inlineStr">
        <is>
          <t>Lochbuie</t>
        </is>
      </c>
      <c r="B243" t="inlineStr">
        <is>
          <t>Zoning / Planning</t>
        </is>
      </c>
      <c r="C243" t="inlineStr">
        <is>
          <t>Municipal Code (Municode)</t>
        </is>
      </c>
      <c r="D243" t="inlineStr">
        <is>
          <t>https://library.municode.com/co/lochbuie/codes/municipal_code</t>
        </is>
      </c>
      <c r="E243" t="inlineStr">
        <is>
          <t>Full zoning and municipal code</t>
        </is>
      </c>
    </row>
    <row r="244">
      <c r="A244" t="inlineStr">
        <is>
          <t>Lochbuie</t>
        </is>
      </c>
      <c r="B244" t="inlineStr">
        <is>
          <t>Flood Zone</t>
        </is>
      </c>
      <c r="C244" t="inlineStr">
        <is>
          <t>FEMA Map Service Center</t>
        </is>
      </c>
      <c r="D244" t="inlineStr">
        <is>
          <t>https://msc.fema.gov/</t>
        </is>
      </c>
      <c r="E244" t="inlineStr">
        <is>
          <t>Address-specific FEMA FIRM lookup</t>
        </is>
      </c>
    </row>
    <row r="245">
      <c r="A245" t="inlineStr">
        <is>
          <t>Lochbuie</t>
        </is>
      </c>
      <c r="B245" t="inlineStr">
        <is>
          <t>Flood Zone</t>
        </is>
      </c>
      <c r="C245" t="inlineStr">
        <is>
          <t>Adams County Floodplain (Adams portion)</t>
        </is>
      </c>
      <c r="D245" t="inlineStr">
        <is>
          <t>https://adamscountyco.gov/our-county/community-economic-development/floodplain-management/</t>
        </is>
      </c>
      <c r="E245" t="inlineStr">
        <is>
          <t>County floodplain resources for Adams Co. portion</t>
        </is>
      </c>
    </row>
    <row r="246">
      <c r="A246" t="inlineStr">
        <is>
          <t>Lochbuie</t>
        </is>
      </c>
      <c r="B246" t="inlineStr">
        <is>
          <t>School Districts</t>
        </is>
      </c>
      <c r="C246" t="inlineStr">
        <is>
          <t>School District 27J</t>
        </is>
      </c>
      <c r="D246" t="inlineStr">
        <is>
          <t>https://www.sd27j.org/</t>
        </is>
      </c>
      <c r="E246" t="inlineStr">
        <is>
          <t>Primary school district for Lochbuie</t>
        </is>
      </c>
    </row>
    <row r="247">
      <c r="A247" t="inlineStr">
        <is>
          <t>Arvada</t>
        </is>
      </c>
      <c r="B247" t="inlineStr">
        <is>
          <t>Property Assessment</t>
        </is>
      </c>
      <c r="C247" t="inlineStr">
        <is>
          <t>Adams County Assessor (small Adams Co. portion)</t>
        </is>
      </c>
      <c r="D247" t="inlineStr">
        <is>
          <t>https://adcogov.org/property-look</t>
        </is>
      </c>
      <c r="E247" t="inlineStr">
        <is>
          <t>For the small eastern Adams County portion of Arvada</t>
        </is>
      </c>
    </row>
    <row r="248">
      <c r="A248" t="inlineStr">
        <is>
          <t>Arvada</t>
        </is>
      </c>
      <c r="B248" t="inlineStr">
        <is>
          <t>Property Assessment</t>
        </is>
      </c>
      <c r="C248" t="inlineStr">
        <is>
          <t>Jefferson County Assessor (primary)</t>
        </is>
      </c>
      <c r="D248" t="inlineStr">
        <is>
          <t>https://propertysearch.jeffco.us/</t>
        </is>
      </c>
      <c r="E248" t="inlineStr">
        <is>
          <t>For the primary Jefferson County portion of Arvada</t>
        </is>
      </c>
    </row>
    <row r="249">
      <c r="A249" t="inlineStr">
        <is>
          <t>Arvada</t>
        </is>
      </c>
      <c r="B249" t="inlineStr">
        <is>
          <t>Property Tax / Treasurer</t>
        </is>
      </c>
      <c r="C249" t="inlineStr">
        <is>
          <t>Jefferson County Treasurer (primary)</t>
        </is>
      </c>
      <c r="D249" t="inlineStr">
        <is>
          <t>https://jeffco.us/1293/Treasurer</t>
        </is>
      </c>
      <c r="E249" t="inlineStr">
        <is>
          <t>For Jefferson County parcels</t>
        </is>
      </c>
    </row>
    <row r="250">
      <c r="A250" t="inlineStr">
        <is>
          <t>Arvada</t>
        </is>
      </c>
      <c r="B250" t="inlineStr">
        <is>
          <t>Property Tax / Treasurer</t>
        </is>
      </c>
      <c r="C250" t="inlineStr">
        <is>
          <t>Adams County Tax Payment (Adams Co. portion)</t>
        </is>
      </c>
      <c r="D250" t="inlineStr">
        <is>
          <t>https://adcotax.com/treasurer/web/login.jsp</t>
        </is>
      </c>
      <c r="E250" t="inlineStr">
        <is>
          <t>For Adams County parcels</t>
        </is>
      </c>
    </row>
    <row r="251">
      <c r="A251" t="inlineStr">
        <is>
          <t>Arvada</t>
        </is>
      </c>
      <c r="B251" t="inlineStr">
        <is>
          <t>Deed / Title Records</t>
        </is>
      </c>
      <c r="C251" t="inlineStr">
        <is>
          <t>Jefferson County Clerk &amp; Recorder</t>
        </is>
      </c>
      <c r="D251" t="inlineStr">
        <is>
          <t>https://www.jeffco.us/1288/Clerk-Recorder</t>
        </is>
      </c>
      <c r="E251" t="inlineStr">
        <is>
          <t>For Jefferson County parcels</t>
        </is>
      </c>
    </row>
    <row r="252">
      <c r="A252" t="inlineStr">
        <is>
          <t>Arvada</t>
        </is>
      </c>
      <c r="B252" t="inlineStr">
        <is>
          <t>Deed / Title Records</t>
        </is>
      </c>
      <c r="C252" t="inlineStr">
        <is>
          <t>Adams Co. Landmark Web Document Search</t>
        </is>
      </c>
      <c r="D252" t="inlineStr">
        <is>
          <t>https://recording.adcogov.org/landmarkweb</t>
        </is>
      </c>
      <c r="E252" t="inlineStr">
        <is>
          <t>For Adams County parcels</t>
        </is>
      </c>
    </row>
    <row r="253">
      <c r="A253" t="inlineStr">
        <is>
          <t>Arvada</t>
        </is>
      </c>
      <c r="B253" t="inlineStr">
        <is>
          <t>GIS / Mapping</t>
        </is>
      </c>
      <c r="C253" t="inlineStr">
        <is>
          <t>Arvada Open Data / GIS Hub (ArcGIS)</t>
        </is>
      </c>
      <c r="D253" t="inlineStr">
        <is>
          <t>https://gis-arvada.opendata.arcgis.com/</t>
        </is>
      </c>
      <c r="E253" t="inlineStr">
        <is>
          <t>Downloadable GIS datasets including parcels</t>
        </is>
      </c>
    </row>
    <row r="254">
      <c r="A254" t="inlineStr">
        <is>
          <t>Arvada</t>
        </is>
      </c>
      <c r="B254" t="inlineStr">
        <is>
          <t>GIS / Mapping</t>
        </is>
      </c>
      <c r="C254" t="inlineStr">
        <is>
          <t>Maps and Property Search</t>
        </is>
      </c>
      <c r="D254" t="inlineStr">
        <is>
          <t>https://www.arvadaco.gov/702/Maps-and-Property-Search</t>
        </is>
      </c>
      <c r="E254" t="inlineStr">
        <is>
          <t>City map and property portal</t>
        </is>
      </c>
    </row>
    <row r="255">
      <c r="A255" t="inlineStr">
        <is>
          <t>Arvada</t>
        </is>
      </c>
      <c r="B255" t="inlineStr">
        <is>
          <t>GIS / Mapping</t>
        </is>
      </c>
      <c r="C255" t="inlineStr">
        <is>
          <t>Economic Development Maps</t>
        </is>
      </c>
      <c r="D255" t="inlineStr">
        <is>
          <t>https://arvadaeconomicdevelopment.org/intel/maps/</t>
        </is>
      </c>
      <c r="E255" t="inlineStr">
        <is>
          <t>Development pipeline and market maps</t>
        </is>
      </c>
    </row>
    <row r="256">
      <c r="A256" t="inlineStr">
        <is>
          <t>Arvada</t>
        </is>
      </c>
      <c r="B256" t="inlineStr">
        <is>
          <t>Permits</t>
        </is>
      </c>
      <c r="C256" t="inlineStr">
        <is>
          <t>eTRAKiT Portal</t>
        </is>
      </c>
      <c r="D256" t="inlineStr">
        <is>
          <t>https://arvadapermits.org/</t>
        </is>
      </c>
      <c r="E256" t="inlineStr">
        <is>
          <t>Online permit search and applications</t>
        </is>
      </c>
    </row>
    <row r="257">
      <c r="A257" t="inlineStr">
        <is>
          <t>Arvada</t>
        </is>
      </c>
      <c r="B257" t="inlineStr">
        <is>
          <t>Permits</t>
        </is>
      </c>
      <c r="C257" t="inlineStr">
        <is>
          <t>Building Permits Page</t>
        </is>
      </c>
      <c r="D257" t="inlineStr">
        <is>
          <t>https://www.arvadaco.gov/332/Building-Permits</t>
        </is>
      </c>
      <c r="E257" t="inlineStr">
        <is>
          <t>Building permit info</t>
        </is>
      </c>
    </row>
    <row r="258">
      <c r="A258" t="inlineStr">
        <is>
          <t>Arvada</t>
        </is>
      </c>
      <c r="B258" t="inlineStr">
        <is>
          <t>Permits</t>
        </is>
      </c>
      <c r="C258" t="inlineStr">
        <is>
          <t>Check Permit Status / Schedule Inspection</t>
        </is>
      </c>
      <c r="D258" t="inlineStr">
        <is>
          <t>https://www.arvadaco.gov/729/Check-the-Status-of-a-Permit-Schedule-a-</t>
        </is>
      </c>
      <c r="E258" t="inlineStr">
        <is>
          <t>Permit status and inspection scheduling</t>
        </is>
      </c>
    </row>
    <row r="259">
      <c r="A259" t="inlineStr">
        <is>
          <t>Arvada</t>
        </is>
      </c>
      <c r="B259" t="inlineStr">
        <is>
          <t>Permits</t>
        </is>
      </c>
      <c r="C259" t="inlineStr">
        <is>
          <t>eTRAKiT Permit Search</t>
        </is>
      </c>
      <c r="D259" t="inlineStr">
        <is>
          <t>https://permits.arvada.org/etrakit3/Search/permit.aspx</t>
        </is>
      </c>
      <c r="E259" t="inlineStr">
        <is>
          <t>Direct permit lookup</t>
        </is>
      </c>
    </row>
    <row r="260">
      <c r="A260" t="inlineStr">
        <is>
          <t>Arvada</t>
        </is>
      </c>
      <c r="B260" t="inlineStr">
        <is>
          <t>Zoning / Planning</t>
        </is>
      </c>
      <c r="C260" t="inlineStr">
        <is>
          <t>Zoning Main Page</t>
        </is>
      </c>
      <c r="D260" t="inlineStr">
        <is>
          <t>https://www.arvadaco.gov/168/Zoning</t>
        </is>
      </c>
      <c r="E260" t="inlineStr">
        <is>
          <t>Zoning department with interactive zoning district map</t>
        </is>
      </c>
    </row>
    <row r="261">
      <c r="A261" t="inlineStr">
        <is>
          <t>Arvada</t>
        </is>
      </c>
      <c r="B261" t="inlineStr">
        <is>
          <t>Zoning / Planning</t>
        </is>
      </c>
      <c r="C261" t="inlineStr">
        <is>
          <t>Speak Up Arvada (Community / Planning)</t>
        </is>
      </c>
      <c r="D261" t="inlineStr">
        <is>
          <t>https://speakup.arvadaco.gov/</t>
        </is>
      </c>
      <c r="E261" t="inlineStr">
        <is>
          <t>Community engagement for planning and comprehensive plan</t>
        </is>
      </c>
    </row>
    <row r="262">
      <c r="A262" t="inlineStr">
        <is>
          <t>Arvada</t>
        </is>
      </c>
      <c r="B262" t="inlineStr">
        <is>
          <t>Flood Zone</t>
        </is>
      </c>
      <c r="C262" t="inlineStr">
        <is>
          <t>Jefferson County Floodplain (primary)</t>
        </is>
      </c>
      <c r="D262" t="inlineStr">
        <is>
          <t>https://www.jeffco.us/2019/Flood-Mapping-and-Information</t>
        </is>
      </c>
      <c r="E262" t="inlineStr">
        <is>
          <t>For Jefferson County portion</t>
        </is>
      </c>
    </row>
    <row r="263">
      <c r="A263" t="inlineStr">
        <is>
          <t>Arvada</t>
        </is>
      </c>
      <c r="B263" t="inlineStr">
        <is>
          <t>Flood Zone</t>
        </is>
      </c>
      <c r="C263" t="inlineStr">
        <is>
          <t>Adams County Floodplain (Adams portion)</t>
        </is>
      </c>
      <c r="D263" t="inlineStr">
        <is>
          <t>https://adamscountyco.gov/our-county/community-economic-development/floodplain-management/</t>
        </is>
      </c>
      <c r="E263" t="inlineStr">
        <is>
          <t>For Adams County portion</t>
        </is>
      </c>
    </row>
    <row r="264">
      <c r="A264" t="inlineStr">
        <is>
          <t>Arvada</t>
        </is>
      </c>
      <c r="B264" t="inlineStr">
        <is>
          <t>Flood Zone</t>
        </is>
      </c>
      <c r="C264" t="inlineStr">
        <is>
          <t>FEMA Map Service Center</t>
        </is>
      </c>
      <c r="D264" t="inlineStr">
        <is>
          <t>https://msc.fema.gov/</t>
        </is>
      </c>
      <c r="E264" t="inlineStr">
        <is>
          <t>Address-specific FEMA FIRM lookup</t>
        </is>
      </c>
    </row>
    <row r="265">
      <c r="A265" t="inlineStr">
        <is>
          <t>Arvada</t>
        </is>
      </c>
      <c r="B265" t="inlineStr">
        <is>
          <t>Economic Development</t>
        </is>
      </c>
      <c r="C265" t="inlineStr">
        <is>
          <t>Arvada Economic Development Association</t>
        </is>
      </c>
      <c r="D265" t="inlineStr">
        <is>
          <t>https://arvadaeconomicdevelopment.org/</t>
        </is>
      </c>
      <c r="E265" t="inlineStr">
        <is>
          <t>City economic development organization</t>
        </is>
      </c>
    </row>
    <row r="266">
      <c r="A266" t="inlineStr">
        <is>
          <t>Arvada</t>
        </is>
      </c>
      <c r="B266" t="inlineStr">
        <is>
          <t>Short-Term Rental</t>
        </is>
      </c>
      <c r="C266" t="inlineStr">
        <is>
          <t>STR License</t>
        </is>
      </c>
      <c r="D266" t="inlineStr">
        <is>
          <t>https://www.arvadaco.gov/</t>
        </is>
      </c>
      <c r="E266" t="inlineStr">
        <is>
          <t>Annual license required; $350 fee</t>
        </is>
      </c>
    </row>
    <row r="267">
      <c r="A267" t="inlineStr">
        <is>
          <t>Arvada</t>
        </is>
      </c>
      <c r="B267" t="inlineStr">
        <is>
          <t>Crime / Safety</t>
        </is>
      </c>
      <c r="C267" t="inlineStr">
        <is>
          <t>Crime Maps &amp; Statistics</t>
        </is>
      </c>
      <c r="D267" t="inlineStr">
        <is>
          <t>https://www.arvadaco.gov/538/Crime-Maps-Statistics</t>
        </is>
      </c>
      <c r="E267" t="inlineStr">
        <is>
          <t>LexisNexis Community Crime Map</t>
        </is>
      </c>
    </row>
    <row r="268">
      <c r="A268" t="inlineStr">
        <is>
          <t>Arvada</t>
        </is>
      </c>
      <c r="B268" t="inlineStr">
        <is>
          <t>School Districts</t>
        </is>
      </c>
      <c r="C268" t="inlineStr">
        <is>
          <t>Jefferson County Public Schools (primary)</t>
        </is>
      </c>
      <c r="D268" t="inlineStr">
        <is>
          <t>https://www.jeffcopublicschools.org/</t>
        </is>
      </c>
      <c r="E268" t="inlineStr">
        <is>
          <t>Primary district for most of Arvada</t>
        </is>
      </c>
    </row>
    <row r="269">
      <c r="A269" t="inlineStr">
        <is>
          <t>Arvada</t>
        </is>
      </c>
      <c r="B269" t="inlineStr">
        <is>
          <t>School Districts</t>
        </is>
      </c>
      <c r="C269" t="inlineStr">
        <is>
          <t>Adams 12 Five Star Schools (Adams Co. portion)</t>
        </is>
      </c>
      <c r="D269" t="inlineStr">
        <is>
          <t>https://www.adams12.org/</t>
        </is>
      </c>
      <c r="E269" t="inlineStr">
        <is>
          <t>For the small Adams County portion</t>
        </is>
      </c>
    </row>
    <row r="270">
      <c r="A270" t="inlineStr">
        <is>
          <t>REGIONAL / ALL MUNICIPALITIES</t>
        </is>
      </c>
      <c r="B270" t="inlineStr">
        <is>
          <t>Property Assessment</t>
        </is>
      </c>
      <c r="C270" t="inlineStr">
        <is>
          <t>Adams County Assessor — Main</t>
        </is>
      </c>
      <c r="D270" t="inlineStr">
        <is>
          <t>https://adcogov.org/assessor</t>
        </is>
      </c>
      <c r="E270" t="inlineStr">
        <is>
          <t>Covers all Adams County parcels regardless of city</t>
        </is>
      </c>
    </row>
    <row r="271">
      <c r="A271" t="inlineStr">
        <is>
          <t>REGIONAL / ALL MUNICIPALITIES</t>
        </is>
      </c>
      <c r="B271" t="inlineStr">
        <is>
          <t>Deed / Title Records</t>
        </is>
      </c>
      <c r="C271" t="inlineStr">
        <is>
          <t>Adams County Clerk &amp; Recorder</t>
        </is>
      </c>
      <c r="D271" t="inlineStr">
        <is>
          <t>https://adcogov.org/recording</t>
        </is>
      </c>
      <c r="E271" t="inlineStr">
        <is>
          <t>Official deeds and recording office</t>
        </is>
      </c>
    </row>
    <row r="272">
      <c r="A272" t="inlineStr">
        <is>
          <t>REGIONAL / ALL MUNICIPALITIES</t>
        </is>
      </c>
      <c r="B272" t="inlineStr">
        <is>
          <t>Deed / Title Records</t>
        </is>
      </c>
      <c r="C272" t="inlineStr">
        <is>
          <t>Landmark Web Document Search</t>
        </is>
      </c>
      <c r="D272" t="inlineStr">
        <is>
          <t>https://recording.adcogov.org/landmarkweb</t>
        </is>
      </c>
      <c r="E272" t="inlineStr">
        <is>
          <t>Grantor/Grantee search for all Adams County</t>
        </is>
      </c>
    </row>
    <row r="273">
      <c r="A273" t="inlineStr">
        <is>
          <t>REGIONAL / ALL MUNICIPALITIES</t>
        </is>
      </c>
      <c r="B273" t="inlineStr">
        <is>
          <t>GIS / Mapping</t>
        </is>
      </c>
      <c r="C273" t="inlineStr">
        <is>
          <t>Adams County Open Data Hub</t>
        </is>
      </c>
      <c r="D273" t="inlineStr">
        <is>
          <t>https://data-adcogov.opendata.arcgis.com/</t>
        </is>
      </c>
      <c r="E273" t="inlineStr">
        <is>
          <t>County-wide GIS datasets</t>
        </is>
      </c>
    </row>
    <row r="274">
      <c r="A274" t="inlineStr">
        <is>
          <t>REGIONAL / ALL MUNICIPALITIES</t>
        </is>
      </c>
      <c r="B274" t="inlineStr">
        <is>
          <t>GIS / Mapping</t>
        </is>
      </c>
      <c r="C274" t="inlineStr">
        <is>
          <t>DRCOG Regional Data Catalog</t>
        </is>
      </c>
      <c r="D274" t="inlineStr">
        <is>
          <t>https://data.drcog.org/</t>
        </is>
      </c>
      <c r="E274" t="inlineStr">
        <is>
          <t>Metro Denver regional data</t>
        </is>
      </c>
    </row>
    <row r="275">
      <c r="A275" t="inlineStr">
        <is>
          <t>REGIONAL / ALL MUNICIPALITIES</t>
        </is>
      </c>
      <c r="B275" t="inlineStr">
        <is>
          <t>GIS / Mapping</t>
        </is>
      </c>
      <c r="C275" t="inlineStr">
        <is>
          <t>DRCOG Data &amp; Maps</t>
        </is>
      </c>
      <c r="D275" t="inlineStr">
        <is>
          <t>https://www.drcog.org/data-maps-modeling</t>
        </is>
      </c>
      <c r="E275" t="inlineStr">
        <is>
          <t>Regional planning maps</t>
        </is>
      </c>
    </row>
    <row r="276">
      <c r="A276" t="inlineStr">
        <is>
          <t>REGIONAL / ALL MUNICIPALITIES</t>
        </is>
      </c>
      <c r="B276" t="inlineStr">
        <is>
          <t>GIS / Mapping</t>
        </is>
      </c>
      <c r="C276" t="inlineStr">
        <is>
          <t>DRCOG Community Profiles</t>
        </is>
      </c>
      <c r="D276" t="inlineStr">
        <is>
          <t>https://www.drcog.org/data-maps-modeling/community-profiles</t>
        </is>
      </c>
      <c r="E276" t="inlineStr">
        <is>
          <t>Demographic and growth profiles by municipality</t>
        </is>
      </c>
    </row>
    <row r="277">
      <c r="A277" t="inlineStr">
        <is>
          <t>REGIONAL / ALL MUNICIPALITIES</t>
        </is>
      </c>
      <c r="B277" t="inlineStr">
        <is>
          <t>GIS / Mapping</t>
        </is>
      </c>
      <c r="C277" t="inlineStr">
        <is>
          <t>Colorado Geospatial Portal</t>
        </is>
      </c>
      <c r="D277" t="inlineStr">
        <is>
          <t>https://geodata.colorado.gov/</t>
        </is>
      </c>
      <c r="E277" t="inlineStr">
        <is>
          <t>Statewide GIS data portal</t>
        </is>
      </c>
    </row>
    <row r="278">
      <c r="A278" t="inlineStr">
        <is>
          <t>REGIONAL / ALL MUNICIPALITIES</t>
        </is>
      </c>
      <c r="B278" t="inlineStr">
        <is>
          <t>GIS / Mapping</t>
        </is>
      </c>
      <c r="C278" t="inlineStr">
        <is>
          <t>Colorado Division of Water Resources GIS</t>
        </is>
      </c>
      <c r="D278" t="inlineStr">
        <is>
          <t>https://dwr.colorado.gov/services/data-information/gis</t>
        </is>
      </c>
      <c r="E278" t="inlineStr">
        <is>
          <t>Water rights and irrigation GIS data</t>
        </is>
      </c>
    </row>
    <row r="279">
      <c r="A279" t="inlineStr">
        <is>
          <t>REGIONAL / ALL MUNICIPALITIES</t>
        </is>
      </c>
      <c r="B279" t="inlineStr">
        <is>
          <t>Traffic / Transportation</t>
        </is>
      </c>
      <c r="C279" t="inlineStr">
        <is>
          <t>CDOT Traffic Counts (OTIS)</t>
        </is>
      </c>
      <c r="D279" t="inlineStr">
        <is>
          <t>https://dtdapps.coloradodot.info/otis</t>
        </is>
      </c>
      <c r="E279" t="inlineStr">
        <is>
          <t>Official Colorado traffic count data by highway/road</t>
        </is>
      </c>
    </row>
    <row r="280">
      <c r="A280" t="inlineStr">
        <is>
          <t>REGIONAL / ALL MUNICIPALITIES</t>
        </is>
      </c>
      <c r="B280" t="inlineStr">
        <is>
          <t>Traffic / Transportation</t>
        </is>
      </c>
      <c r="C280" t="inlineStr">
        <is>
          <t>CDOT Open Data (ArcGIS)</t>
        </is>
      </c>
      <c r="D280" t="inlineStr">
        <is>
          <t>https://data-cdot.opendata.arcgis.com/</t>
        </is>
      </c>
      <c r="E280" t="inlineStr">
        <is>
          <t>Statewide transportation datasets</t>
        </is>
      </c>
    </row>
    <row r="281">
      <c r="A281" t="inlineStr">
        <is>
          <t>REGIONAL / ALL MUNICIPALITIES</t>
        </is>
      </c>
      <c r="B281" t="inlineStr">
        <is>
          <t>Traffic / Transportation</t>
        </is>
      </c>
      <c r="C281" t="inlineStr">
        <is>
          <t>CDOT Highway Traffic Counts Dataset</t>
        </is>
      </c>
      <c r="D281" t="inlineStr">
        <is>
          <t>https://data-cdot.opendata.arcgis.com/datasets/highways-traffic-counts/about</t>
        </is>
      </c>
      <c r="E281" t="inlineStr">
        <is>
          <t>Downloadable traffic count dataset</t>
        </is>
      </c>
    </row>
    <row r="282">
      <c r="A282" t="inlineStr">
        <is>
          <t>REGIONAL / ALL MUNICIPALITIES</t>
        </is>
      </c>
      <c r="B282" t="inlineStr">
        <is>
          <t>Entity / Ownership Lookup</t>
        </is>
      </c>
      <c r="C282" t="inlineStr">
        <is>
          <t>Colorado Secretary of State — Business Entity Search</t>
        </is>
      </c>
      <c r="D282" t="inlineStr">
        <is>
          <t>https://www.sos.state.co.us/biz/BusinessEntityCriteriaExt.do</t>
        </is>
      </c>
      <c r="E282" t="inlineStr">
        <is>
          <t>Look up LLCs and ownership entities</t>
        </is>
      </c>
    </row>
    <row r="283">
      <c r="A283" t="inlineStr">
        <is>
          <t>REGIONAL / ALL MUNICIPALITIES</t>
        </is>
      </c>
      <c r="B283" t="inlineStr">
        <is>
          <t>Entity / Ownership Lookup</t>
        </is>
      </c>
      <c r="C283" t="inlineStr">
        <is>
          <t>Colorado Secretary of State — Advanced Search</t>
        </is>
      </c>
      <c r="D283" t="inlineStr">
        <is>
          <t>https://www.sos.state.co.us/biz/AdvancedSearchCriteria.do</t>
        </is>
      </c>
      <c r="E283" t="inlineStr">
        <is>
          <t>Advanced entity search</t>
        </is>
      </c>
    </row>
    <row r="284">
      <c r="A284" t="inlineStr">
        <is>
          <t>REGIONAL / ALL MUNICIPALITIES</t>
        </is>
      </c>
      <c r="B284" t="inlineStr">
        <is>
          <t>Licensing / Regulation</t>
        </is>
      </c>
      <c r="C284" t="inlineStr">
        <is>
          <t>Colorado Division of Real Estate (DORA)</t>
        </is>
      </c>
      <c r="D284" t="inlineStr">
        <is>
          <t>https://dre.colorado.gov/</t>
        </is>
      </c>
      <c r="E284" t="inlineStr">
        <is>
          <t>State real estate license lookups and regulations</t>
        </is>
      </c>
    </row>
    <row r="285">
      <c r="A285" t="inlineStr">
        <is>
          <t>REGIONAL / ALL MUNICIPALITIES</t>
        </is>
      </c>
      <c r="B285" t="inlineStr">
        <is>
          <t>Licensing / Regulation</t>
        </is>
      </c>
      <c r="C285" t="inlineStr">
        <is>
          <t>Colorado CORA (Open Records Act) — SOS</t>
        </is>
      </c>
      <c r="D285" t="inlineStr">
        <is>
          <t>https://www.sos.state.co.us/pubs/info_center/cora.html</t>
        </is>
      </c>
      <c r="E285" t="inlineStr">
        <is>
          <t>How to make public records requests</t>
        </is>
      </c>
    </row>
    <row r="286">
      <c r="A286" t="inlineStr">
        <is>
          <t>REGIONAL / ALL MUNICIPALITIES</t>
        </is>
      </c>
      <c r="B286" t="inlineStr">
        <is>
          <t>Flood Zone</t>
        </is>
      </c>
      <c r="C286" t="inlineStr">
        <is>
          <t>FEMA Map Service Center</t>
        </is>
      </c>
      <c r="D286" t="inlineStr">
        <is>
          <t>https://msc.fema.gov/</t>
        </is>
      </c>
      <c r="E286" t="inlineStr">
        <is>
          <t>FEMA FIRM — address-specific flood zone lookup</t>
        </is>
      </c>
    </row>
    <row r="287">
      <c r="A287" t="inlineStr">
        <is>
          <t>REGIONAL / ALL MUNICIPALITIES</t>
        </is>
      </c>
      <c r="B287" t="inlineStr">
        <is>
          <t>Flood Zone</t>
        </is>
      </c>
      <c r="C287" t="inlineStr">
        <is>
          <t>Colorado Hazard Mapping / RiskMAP</t>
        </is>
      </c>
      <c r="D287" t="inlineStr">
        <is>
          <t>https://coloradohazardmapping.com/hazardMapping/floodplainMapping</t>
        </is>
      </c>
      <c r="E287" t="inlineStr">
        <is>
          <t>State-level flood mapping portal</t>
        </is>
      </c>
    </row>
    <row r="288">
      <c r="A288" t="inlineStr">
        <is>
          <t>REGIONAL / ALL MUNICIPALITIES</t>
        </is>
      </c>
      <c r="B288" t="inlineStr">
        <is>
          <t>MLS / Listings</t>
        </is>
      </c>
      <c r="C288" t="inlineStr">
        <is>
          <t>REcolorado MLS (licensed professionals)</t>
        </is>
      </c>
      <c r="D288" t="inlineStr">
        <is>
          <t>https://recolorado.com/</t>
        </is>
      </c>
      <c r="E288" t="inlineStr">
        <is>
          <t>Primary Denver metro MLS</t>
        </is>
      </c>
    </row>
    <row r="289">
      <c r="A289" t="inlineStr">
        <is>
          <t>REGIONAL / ALL MUNICIPALITIES</t>
        </is>
      </c>
      <c r="B289" t="inlineStr">
        <is>
          <t>MLS / Listings</t>
        </is>
      </c>
      <c r="C289" t="inlineStr">
        <is>
          <t>ColoProperty.com (public listings portal)</t>
        </is>
      </c>
      <c r="D289" t="inlineStr">
        <is>
          <t>https://coloproperty.com/</t>
        </is>
      </c>
      <c r="E289" t="inlineStr">
        <is>
          <t>Public-facing MLS listings</t>
        </is>
      </c>
    </row>
    <row r="290">
      <c r="A290" t="inlineStr">
        <is>
          <t>REGIONAL / ALL MUNICIPALITIES</t>
        </is>
      </c>
      <c r="B290" t="inlineStr">
        <is>
          <t>MLS / Listings</t>
        </is>
      </c>
      <c r="C290" t="inlineStr">
        <is>
          <t>IRES MLS</t>
        </is>
      </c>
      <c r="D290" t="inlineStr">
        <is>
          <t>https://iresmls.com/</t>
        </is>
      </c>
      <c r="E290" t="inlineStr">
        <is>
          <t>Northern Colorado MLS</t>
        </is>
      </c>
    </row>
    <row r="291">
      <c r="A291" t="inlineStr">
        <is>
          <t>REGIONAL / ALL MUNICIPALITIES</t>
        </is>
      </c>
      <c r="B291" t="inlineStr">
        <is>
          <t>School Districts</t>
        </is>
      </c>
      <c r="C291" t="inlineStr">
        <is>
          <t>Adams 12 Five Star Schools</t>
        </is>
      </c>
      <c r="D291" t="inlineStr">
        <is>
          <t>https://www.adams12.org/</t>
        </is>
      </c>
      <c r="E291" t="inlineStr">
        <is>
          <t>Serves Brighton</t>
        </is>
      </c>
      <c r="F291" t="inlineStr">
        <is>
          <t xml:space="preserve"> Commerce City</t>
        </is>
      </c>
      <c r="G291" t="inlineStr">
        <is>
          <t xml:space="preserve"> Federal Heights</t>
        </is>
      </c>
      <c r="H291" t="inlineStr">
        <is>
          <t xml:space="preserve"> Northglenn</t>
        </is>
      </c>
      <c r="I291" t="inlineStr">
        <is>
          <t xml:space="preserve"> Thornton</t>
        </is>
      </c>
      <c r="J291" t="inlineStr">
        <is>
          <t xml:space="preserve"> Westminster (Adams Co. portion)</t>
        </is>
      </c>
    </row>
    <row r="292">
      <c r="A292" t="inlineStr">
        <is>
          <t>REGIONAL / ALL MUNICIPALITIES</t>
        </is>
      </c>
      <c r="B292" t="inlineStr">
        <is>
          <t>School Districts</t>
        </is>
      </c>
      <c r="C292" t="inlineStr">
        <is>
          <t>School District 27J (Brighton)</t>
        </is>
      </c>
      <c r="D292" t="inlineStr">
        <is>
          <t>https://www.sd27j.org/</t>
        </is>
      </c>
      <c r="E292" t="inlineStr">
        <is>
          <t>Serves Brighton</t>
        </is>
      </c>
      <c r="F292" t="inlineStr">
        <is>
          <t xml:space="preserve"> northeast Thornton</t>
        </is>
      </c>
      <c r="G292" t="inlineStr">
        <is>
          <t xml:space="preserve"> Lochbuie</t>
        </is>
      </c>
    </row>
    <row r="293">
      <c r="A293" t="inlineStr">
        <is>
          <t>REGIONAL / ALL MUNICIPALITIES</t>
        </is>
      </c>
      <c r="B293" t="inlineStr">
        <is>
          <t>School Districts</t>
        </is>
      </c>
      <c r="C293" t="inlineStr">
        <is>
          <t>Mapleton School District 1</t>
        </is>
      </c>
      <c r="D293" t="inlineStr">
        <is>
          <t>https://www.mapleton.us/</t>
        </is>
      </c>
      <c r="E293" t="inlineStr">
        <is>
          <t>Serves portions of Commerce City and unincorporated Adams County</t>
        </is>
      </c>
    </row>
    <row r="294">
      <c r="A294" t="inlineStr">
        <is>
          <t>REGIONAL / ALL MUNICIPALITIES</t>
        </is>
      </c>
      <c r="B294" t="inlineStr">
        <is>
          <t>School Districts</t>
        </is>
      </c>
      <c r="C294" t="inlineStr">
        <is>
          <t>Aurora Public Schools</t>
        </is>
      </c>
      <c r="D294" t="inlineStr">
        <is>
          <t>https://www.aurorak12.org/</t>
        </is>
      </c>
      <c r="E294" t="inlineStr">
        <is>
          <t>Serves Aurora</t>
        </is>
      </c>
    </row>
    <row r="295">
      <c r="A295" t="inlineStr">
        <is>
          <t>REGIONAL / ALL MUNICIPALITIES</t>
        </is>
      </c>
      <c r="B295" t="inlineStr">
        <is>
          <t>School Districts</t>
        </is>
      </c>
      <c r="C295" t="inlineStr">
        <is>
          <t>Cherry Creek School District</t>
        </is>
      </c>
      <c r="D295" t="inlineStr">
        <is>
          <t>https://www.cherrycreekschools.org/</t>
        </is>
      </c>
      <c r="E295" t="inlineStr">
        <is>
          <t>Serves parts of Aurora (Arapahoe Co. portion)</t>
        </is>
      </c>
    </row>
    <row r="296">
      <c r="A296" t="inlineStr">
        <is>
          <t>REGIONAL / ALL MUNICIPALITIES</t>
        </is>
      </c>
      <c r="B296" t="inlineStr">
        <is>
          <t>School Districts</t>
        </is>
      </c>
      <c r="C296" t="inlineStr">
        <is>
          <t>Bennett School District 29J</t>
        </is>
      </c>
      <c r="D296" t="inlineStr">
        <is>
          <t>https://www.bsd29j.com/</t>
        </is>
      </c>
      <c r="E296" t="inlineStr">
        <is>
          <t>Serves Bennett</t>
        </is>
      </c>
    </row>
    <row r="297">
      <c r="A297" t="inlineStr">
        <is>
          <t>REGIONAL / ALL MUNICIPALITIES</t>
        </is>
      </c>
      <c r="B297" t="inlineStr">
        <is>
          <t>School Districts</t>
        </is>
      </c>
      <c r="C297" t="inlineStr">
        <is>
          <t>Jefferson County Public Schools</t>
        </is>
      </c>
      <c r="D297" t="inlineStr">
        <is>
          <t>https://www.jeffcopublicschools.org/</t>
        </is>
      </c>
      <c r="E297" t="inlineStr">
        <is>
          <t>Serves Westminster and Arvada (Jefferson Co. portions)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2026-06-07T04:17:12Z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