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ables/table1.xml" ContentType="application/vnd.openxmlformats-officedocument.spreadsheetml.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55" yWindow="285" windowWidth="25410" windowHeight="15150" tabRatio="851" firstSheet="0" activeTab="8" autoFilterDateGrouping="1"/>
  </bookViews>
  <sheets>
    <sheet name="Property Info" sheetId="1" state="visible" r:id="rId1"/>
    <sheet name="FE" sheetId="2" state="visible" r:id="rId2"/>
    <sheet name="Market Neighborhood" sheetId="3" state="hidden" r:id="rId3"/>
    <sheet name="Site Information" sheetId="4" state="hidden" r:id="rId4"/>
    <sheet name="Improvements" sheetId="5" state="hidden" r:id="rId5"/>
    <sheet name="H&amp;BU" sheetId="6" state="hidden" r:id="rId6"/>
    <sheet name="Final Value" sheetId="7" state="visible" r:id="rId7"/>
    <sheet name="Land Sales" sheetId="8" state="hidden" r:id="rId8"/>
    <sheet name="M&amp;S Inputs" sheetId="9" state="visible" r:id="rId9"/>
    <sheet name="Cost Approach" sheetId="10" state="hidden" r:id="rId10"/>
    <sheet name="Construction Costs" sheetId="11" state="hidden" r:id="rId11"/>
    <sheet name="Export030823" sheetId="12" state="visible" r:id="rId12"/>
    <sheet name="Basic Sales Grid" sheetId="13" state="visible" r:id="rId13"/>
    <sheet name="Detailed Sales Grid" sheetId="14" state="hidden" r:id="rId14"/>
    <sheet name="LA" sheetId="15" state="hidden" r:id="rId15"/>
    <sheet name="LAG Percent" sheetId="16" state="hidden" r:id="rId16"/>
    <sheet name="IS Summary" sheetId="17" state="hidden" r:id="rId17"/>
    <sheet name="HOA" sheetId="18" state="hidden" r:id="rId18"/>
    <sheet name="CED" sheetId="19" state="hidden" r:id="rId19"/>
    <sheet name="OECC" sheetId="20" state="hidden" r:id="rId20"/>
    <sheet name="PF" sheetId="21" state="hidden" r:id="rId21"/>
    <sheet name="Cap Rate Lease-Up" sheetId="22" state="hidden" r:id="rId22"/>
    <sheet name="IA Values" sheetId="23" state="hidden" r:id="rId23"/>
    <sheet name="Income Approach" sheetId="24" state="visible" r:id="rId24"/>
    <sheet name="Resources" sheetId="25" state="visible"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Fill" hidden="1">'[1]Key Assumptions'!#REF!</definedName>
    <definedName name="_Order1" hidden="1">255</definedName>
    <definedName name="AccessCode" hidden="1">""""</definedName>
    <definedName name="Accrued_Physical">[2]ImpAnalysis!$I$26</definedName>
    <definedName name="Actual_Age">[2]Inputs!$C$159</definedName>
    <definedName name="Actual_Taxes">[2]Tax!$G$21</definedName>
    <definedName name="Adj_Pro_Assessed_Val">[2]Tax!$K$12</definedName>
    <definedName name="AdjCatNo">'[2]IS Grid'!$A$81</definedName>
    <definedName name="Ambient_Area">[2]Inputs!$C$96</definedName>
    <definedName name="AmtBdgt">[3]OpActuals!$I:$I</definedName>
    <definedName name="AMTY1">[3]OpActuals!$C:$C</definedName>
    <definedName name="AMTY2">[3]OpActuals!$D:$D</definedName>
    <definedName name="AMTY3">[3]OpActuals!$E:$E</definedName>
    <definedName name="AMTY4">[3]OpActuals!$F:$F</definedName>
    <definedName name="AMTY5">[3]OpActuals!$H:$H</definedName>
    <definedName name="AnalysisType">[4]Assumptions!$C$2:$C$3</definedName>
    <definedName name="Anchor_1_Name">[2]Inputs!$C$119</definedName>
    <definedName name="Anchor_1_SF">[2]Inputs!$C$120</definedName>
    <definedName name="Anchor_2_Name">[2]Inputs!$C$121</definedName>
    <definedName name="Anchor_2_SF">[2]Inputs!$C$122</definedName>
    <definedName name="Anchor_3_Name">[2]Inputs!$C$123</definedName>
    <definedName name="Anchor_3_SF">[2]Inputs!$C$124</definedName>
    <definedName name="Anchor_4_Name">[2]Inputs!$C$125</definedName>
    <definedName name="Anchor_4_SF">[2]Inputs!$C$126</definedName>
    <definedName name="Anchor_5_Name">[2]Inputs!$C$127</definedName>
    <definedName name="Anchor_5_SF">[2]Inputs!$C$128</definedName>
    <definedName name="Anchor_6_Name">[2]Inputs!$C$129</definedName>
    <definedName name="Anchor_6_SF">[2]Inputs!$C$130</definedName>
    <definedName name="Annual_Mkt_Rent">'[2]Mkt Rent'!$BE$85</definedName>
    <definedName name="Appraisal_Fee">[2]Inputs!$C$58</definedName>
    <definedName name="Appraiser">[2]Inputs!$C$9</definedName>
    <definedName name="Apt.Concessions">'[2]Dir Cap'!$H$8</definedName>
    <definedName name="Apt.Concessions.Percent">'[2]Dir Cap'!$E$8</definedName>
    <definedName name="Apt.LosstoLease">'[2]Dir Cap'!$H$7</definedName>
    <definedName name="Apt.LosstoLease.Percent">'[2]Dir Cap'!$E$7</definedName>
    <definedName name="Apt_Row_Cost">[2]Cost!#REF!</definedName>
    <definedName name="ARC.Homesites">'[1]ARC Financials'!$F$240</definedName>
    <definedName name="ARC.No">[1]Instructions!$B$3</definedName>
    <definedName name="ARC.PropAddress">'[1]ARC Property List'!$D$9:$D$67</definedName>
    <definedName name="ARC.PropCity">'[1]ARC Property List'!$E$9:$E$67</definedName>
    <definedName name="ARC.PropCode">'[1]ARC Property List'!$B$9:$B$67</definedName>
    <definedName name="ARC.PropName">'[1]ARC Property List'!$C$9:$C$67</definedName>
    <definedName name="ARC.PropState">'[1]ARC Property List'!$F$9:$F$67</definedName>
    <definedName name="ARC.PropZip">'[1]ARC Property List'!$G$9:$G$67</definedName>
    <definedName name="ARI">'[2]Dir Cap'!$H$9</definedName>
    <definedName name="ArrTot">[6]Assumptions!$F$9:$G$21</definedName>
    <definedName name="ArrTotal">[4]Assumptions!$F$9:$G$21</definedName>
    <definedName name="As_Is_Value">[2]Values!$M$21</definedName>
    <definedName name="bbDateOfValueEffectiveDate">'[7]Valuation Scenarios'!$D$85</definedName>
    <definedName name="bbDateReport">[7]Assignment!$B$44</definedName>
    <definedName name="bbMarketValues">'[7]Valuation Scenarios'!$D$76</definedName>
    <definedName name="bbPropertyOwner">[7]Assignment!$B$27</definedName>
    <definedName name="bbValuationType">'[7]Valuation Scenarios'!$D$79</definedName>
    <definedName name="bbValueConditionScen1">'[3]Valuation Scenarios'!$B$8</definedName>
    <definedName name="bbValueDateScen1">'[3]Valuation Scenarios'!$B$5</definedName>
    <definedName name="bbValueInterestScen1">'[3]Valuation Scenarios'!$B$7</definedName>
    <definedName name="bbValueNameScen1">'[3]Valuation Scenarios'!$B$4</definedName>
    <definedName name="Building_Area">[2]Inputs!$C$146</definedName>
    <definedName name="Building_Class_List">[2]InputsRangeNames!$J$4:$J$8</definedName>
    <definedName name="Building_Class_Value">[2]InputsRangeNames!$J$2</definedName>
    <definedName name="Building_Class_Value_List">[2]InputsRangeNames!$I$4:$I$8</definedName>
    <definedName name="caDeferredMaint">[3]Cost!$F$44</definedName>
    <definedName name="caLandValueRND">[3]LSaleAdj!$E$48</definedName>
    <definedName name="caLandValueRNDPresent">#REF!</definedName>
    <definedName name="Cap_Rate">'[2]Dir Cap'!$H$48</definedName>
    <definedName name="caRCN">'Cost Approach'!$G$33</definedName>
    <definedName name="caRCNDeprec">'Cost Approach'!$G$46</definedName>
    <definedName name="Category">[3]OpActuals!$A:$A</definedName>
    <definedName name="caValue">'Cost Approach'!$G$51</definedName>
    <definedName name="caValueRND">[9]Cost!$G$58</definedName>
    <definedName name="caValueRNDPresent">'[10]Value Indications'!$C$5</definedName>
    <definedName name="clCompanyAddressCity">[7]Assignment!$B$17</definedName>
    <definedName name="clCompanyAddressState">[7]Assignment!$B$18</definedName>
    <definedName name="clCompanyAddressStreet1">[7]Assignment!$B$15</definedName>
    <definedName name="clCompanyAddressStreet2">[7]Assignment!$B$16</definedName>
    <definedName name="clCompanyAddressZip">[7]Assignment!$B$19</definedName>
    <definedName name="Clear_Height">[2]Inputs!$C$102</definedName>
    <definedName name="Client.Ref.No">[2]Inputs!$C$57</definedName>
    <definedName name="Client_City">[2]Inputs!$C$25</definedName>
    <definedName name="Client_Company">[2]Inputs!$C$21</definedName>
    <definedName name="Client_EMail">[2]Inputs!$C$20</definedName>
    <definedName name="Client_Fax">[2]Inputs!$C$19</definedName>
    <definedName name="Client_Phone">[2]Inputs!$C$18</definedName>
    <definedName name="Client_State">[2]Inputs!$C$26</definedName>
    <definedName name="Client_Street">[2]Inputs!$C$24</definedName>
    <definedName name="Client_Zip">[2]Inputs!$C$27</definedName>
    <definedName name="clInspectionContactName">[7]Assignment!$B$22</definedName>
    <definedName name="Cmp1Rents">#REF!</definedName>
    <definedName name="Cmp2Rents">#REF!</definedName>
    <definedName name="Cmp3Rents">#REF!</definedName>
    <definedName name="Cmp4Rents">#REF!</definedName>
    <definedName name="Cmp5Rents">#REF!</definedName>
    <definedName name="Cmp6Rents">#REF!</definedName>
    <definedName name="Cmp7Rents">#REF!</definedName>
    <definedName name="CmpArea_0">#REF!</definedName>
    <definedName name="CmpArea_1">#REF!</definedName>
    <definedName name="CmpArea_2">#REF!</definedName>
    <definedName name="CmpArea_3">#REF!</definedName>
    <definedName name="CmpEff">#REF!</definedName>
    <definedName name="CmpFooter">#REF!</definedName>
    <definedName name="CmpOne">#REF!</definedName>
    <definedName name="CmpRef">#REF!</definedName>
    <definedName name="CmpThree">#REF!</definedName>
    <definedName name="CmpTwo">#REF!</definedName>
    <definedName name="Cold_Storage_Area">[2]Inputs!$C$99</definedName>
    <definedName name="Communities">#REF!</definedName>
    <definedName name="Comparison_No.">'[2]Dir Cap'!$K$2:$K$5</definedName>
    <definedName name="Comparison_Totals">'[2]Dir Cap'!$M$2:$M$5</definedName>
    <definedName name="Comparison_Type">'[2]Dir Cap'!$L$2:$L$5</definedName>
    <definedName name="Condition">[2]Inputs!$C$158</definedName>
    <definedName name="Condition_List">[2]InputsRangeNames!$X$4:$X$8</definedName>
    <definedName name="Condition_Value">[2]InputsRangeNames!$X$2</definedName>
    <definedName name="Construction_Period">[2]Inputs!$C$37</definedName>
    <definedName name="Cooler_Area">[2]Inputs!$C$97</definedName>
    <definedName name="Cost.Basis.Value">[2]Cost!$K$11</definedName>
    <definedName name="Cost.Component.Value">[2]Cost!$K$12</definedName>
    <definedName name="Cost_Value">[2]Cost!$H$89</definedName>
    <definedName name="CostEstimates">[11]Sheet2!$B$4:$B$5</definedName>
    <definedName name="Cover_Ratio">[2]Improv!$F$47</definedName>
    <definedName name="Current_As_Complete_Value">[2]Values!$N$21</definedName>
    <definedName name="Current_As_Stabilized_Value">[2]Values!$O$21</definedName>
    <definedName name="Current_Assessment">[2]Tax!$G$12</definedName>
    <definedName name="Current_Occ_SF">[2]Inputs!#REF!</definedName>
    <definedName name="Current_Occ_Units">[2]Inputs!$C$93</definedName>
    <definedName name="Current_Occupancy">[2]Inputs!$C$149</definedName>
    <definedName name="Current_Zoning">[2]Zoning!$D$4</definedName>
    <definedName name="Date_of_Insp">[2]Inputs!$C$31</definedName>
    <definedName name="Date_of_Report">[2]Inputs!$C$32</definedName>
    <definedName name="Date_of_Value">[2]Inputs!$C$43</definedName>
    <definedName name="DCF_Apt_Value">'[2]APT DCF'!$AB$99</definedName>
    <definedName name="DCF_Value">[2]Values!$E$8</definedName>
    <definedName name="Deferred_Maint">[2]ImpAnalysis!$D$15</definedName>
    <definedName name="Demos_Begin">[2]Demos!$K$10</definedName>
    <definedName name="Depr_Repl_Cost">[2]Cost!$H$82</definedName>
    <definedName name="Diff.">[2]Inputs!#REF!</definedName>
    <definedName name="Dir_Cap_Unit_Values">'[2]Dir Cap'!$G$6,'[2]Dir Cap'!$G$14,'[2]Dir Cap'!$G$22,'[2]Dir Cap'!$G$25,'[2]Dir Cap'!$G$45,'[2]Dir Cap'!$G$9,'[2]Dir Cap'!$G$47</definedName>
    <definedName name="Dir_Cap_Unit_Values_2">'[2]Dir Cap'!$G$10:$G$13,'[2]Dir Cap'!$G$16:$G$21,'[2]Dir Cap'!$G$26:$G$44</definedName>
    <definedName name="Dir_Cap_Value">'[2]Dir Cap'!$H$54</definedName>
    <definedName name="DirCap2Premise">[2]Inputs!$E$52</definedName>
    <definedName name="Disc_Rate">'[2]DCF Assum'!$D$46</definedName>
    <definedName name="Draft_Value">[2]Inputs!#REF!</definedName>
    <definedName name="Due_Date">[2]Inputs!$C$30</definedName>
    <definedName name="ECh_Cat_1">'[2]Exp Charts'!$D:$D,'[2]Exp Charts'!$I:$I</definedName>
    <definedName name="ECh_Cat_2">'[2]Exp Charts'!$F:$F,'[2]Exp Charts'!$K:$K</definedName>
    <definedName name="ECh_Cat_3">'[2]Exp Charts'!$G:$G,'[2]Exp Charts'!$M:$M</definedName>
    <definedName name="ECh_Yr_1">'[2]Exp Charts'!$8:$8+'[2]Exp Charts'!$8:$8,'[2]Exp Charts'!$17:$17,'[2]Exp Charts'!$26:$26,'[2]Exp Charts'!$35:$35,'[2]Exp Charts'!$44:$44,'[2]Exp Charts'!$58:$58</definedName>
    <definedName name="ECh_Yr_2">'[2]Exp Charts'!$7:$7,'[2]Exp Charts'!$16:$16,'[2]Exp Charts'!$25:$25,'[2]Exp Charts'!$34:$34,'[2]Exp Charts'!$43:$43,'[2]Exp Charts'!$57:$57</definedName>
    <definedName name="ECh_Yr_3">'[2]Exp Charts'!$6:$6,'[2]Exp Charts'!$15:$15,'[2]Exp Charts'!$24:$24,'[2]Exp Charts'!$33:$33,'[2]Exp Charts'!$42:$42,'[2]Exp Charts'!$56:$56</definedName>
    <definedName name="Economic_Life">[2]Inputs!$C$161</definedName>
    <definedName name="Effective_Age">[2]Inputs!$C$160</definedName>
    <definedName name="EGI">'[2]Dir Cap'!$H$22</definedName>
    <definedName name="Est._Exposure_Time">[2]Exposure!$I$21</definedName>
    <definedName name="Est._Marketing_Time">[2]Exposure!$I$21</definedName>
    <definedName name="Ex_L_amounts">[2]InputsRangeNames!$Q$4:$Q$6</definedName>
    <definedName name="Exc_Land_IS">'[2]IS Concl'!#REF!</definedName>
    <definedName name="Excess_Land__ac.">[2]Inputs!$C$81</definedName>
    <definedName name="Excess_Land__allowable_units">[2]Inputs!$C$80</definedName>
    <definedName name="Excess_Land__sf">[2]Inputs!$C$82</definedName>
    <definedName name="Excess_Land_Value">'[2]L Grid (2)'!$T$67</definedName>
    <definedName name="Exp_Cat_8">'[2]Dir Cap'!#REF!</definedName>
    <definedName name="Exp_Cat_9">'[2]Dir Cap'!#REF!</definedName>
    <definedName name="Exp_Comp_1">'[2]Exp Comps'!$E$5</definedName>
    <definedName name="Exp_Comp_2">'[2]Exp Comps'!$I$5</definedName>
    <definedName name="Exp_Comp_3">'[2]Exp Comps'!$Q$5</definedName>
    <definedName name="Exp_Comp_4">'[2]Exp Comps'!$R$5</definedName>
    <definedName name="Exp_Comp_5">'[2]Exp Comps'!$S$5</definedName>
    <definedName name="Exp_Comp_6">'[2]Exp Comps'!$M$5</definedName>
    <definedName name="Exp_Comps">'[2]Exp Comps'!$C$5:$S$35</definedName>
    <definedName name="Exp_Hist">'[2]Op History'!$G$5:$Z$39</definedName>
    <definedName name="Exp_Prof">'[2]Dir Cap'!$D$6:$H$47</definedName>
    <definedName name="ExpCompPubVal">'[2]Exp Charts'!$N$48</definedName>
    <definedName name="ExpCompVal">'[2]Exp Charts'!$N$40</definedName>
    <definedName name="Expense_Category_1">[2]Inputs!$C$173</definedName>
    <definedName name="Expense_Category_10">[2]Inputs!$C$182</definedName>
    <definedName name="Expense_Category_11">[2]Inputs!$C$183</definedName>
    <definedName name="Expense_Category_12">[2]Inputs!$C$184</definedName>
    <definedName name="Expense_Category_13">[2]Inputs!$C$185</definedName>
    <definedName name="Expense_Category_14">[2]Inputs!$C$186</definedName>
    <definedName name="Expense_Category_15">[2]Inputs!$C$187</definedName>
    <definedName name="Expense_Category_16">[2]Inputs!$C$188</definedName>
    <definedName name="Expense_Category_17">[2]Inputs!$C$189</definedName>
    <definedName name="Expense_Category_18">[2]Inputs!$C$190</definedName>
    <definedName name="Expense_Category_19">[2]Inputs!$C$191</definedName>
    <definedName name="Expense_Category_2">[2]Inputs!$C$174</definedName>
    <definedName name="Expense_Category_20">[2]Inputs!$C$192</definedName>
    <definedName name="Expense_Category_3">[2]Inputs!$C$175</definedName>
    <definedName name="Expense_Category_4">[2]Inputs!$C$176</definedName>
    <definedName name="Expense_Category_5">[2]Inputs!$C$177</definedName>
    <definedName name="Expense_Category_6">[2]Inputs!$C$178</definedName>
    <definedName name="Expense_Category_7">[2]Inputs!$C$179</definedName>
    <definedName name="Expense_Category_8">[2]Inputs!$C$180</definedName>
    <definedName name="Expense_Category_9">[2]Inputs!$C$181</definedName>
    <definedName name="ExpYr1">'[2]Op History'!$W$5</definedName>
    <definedName name="ExpYr1Val">'[2]Op History'!$AL$3</definedName>
    <definedName name="ExpYr2">'[2]Op History'!$R$5</definedName>
    <definedName name="ExpYr2Val">'[2]Op History'!$AK$3</definedName>
    <definedName name="ExpYr3">'[2]Op History'!$M$5</definedName>
    <definedName name="ExpYr3Val">'[2]Op History'!$AJ$3</definedName>
    <definedName name="ExpYr4">'[2]Op History'!$H$5</definedName>
    <definedName name="ExpYr4Val">'[2]Op History'!$AI$3</definedName>
    <definedName name="External">[2]Cost!$M$102</definedName>
    <definedName name="f">#REF!</definedName>
    <definedName name="File_No.">[2]Inputs!$C$4</definedName>
    <definedName name="Final_Value">[2]Values!$AC$44</definedName>
    <definedName name="Final_Value__Second_Appraisal_Premise">[2]Values!$V$32</definedName>
    <definedName name="Final_Value__Third_Appraisal_Premise">[2]Values!$V$37</definedName>
    <definedName name="Financial.Source">#REF!</definedName>
    <definedName name="First_Appraisal_Premise">[2]Inputs!$C$39</definedName>
    <definedName name="Floorplan_1">'[2]Mkt Rent'!#REF!</definedName>
    <definedName name="Floorplans">'[2]Mkt Rent'!#REF!</definedName>
    <definedName name="Floorplans_2">'[2]Mkt Rent'!#REF!</definedName>
    <definedName name="Floorplans_3">'[2]Mkt Rent'!#REF!</definedName>
    <definedName name="Freezer_Area">[2]Inputs!$C$98</definedName>
    <definedName name="frmRRCatListInUse">[9]RentRoll_Macro!$A$2:$A$11</definedName>
    <definedName name="Functional">[2]Cost!$G$79</definedName>
    <definedName name="fw4aerhah">#REF!</definedName>
    <definedName name="GBA">'[3]Improvement Description'!$B$11</definedName>
    <definedName name="GRI">'[2]Dir Cap'!$H$6</definedName>
    <definedName name="HA_Operating_History">#REF!</definedName>
    <definedName name="HBU_As_Improved">[2]Inputs!$C$75</definedName>
    <definedName name="HBU_As_Vacant">[2]Inputs!$C$74</definedName>
    <definedName name="HBU_Value">[2]InputsRangeNames!$G$2</definedName>
    <definedName name="Highest___Best_Use">[2]Inputs!$C$73</definedName>
    <definedName name="HJData">'[1]Key Assumptions'!$C$4:$X$4</definedName>
    <definedName name="iaBOIRate">#REF!</definedName>
    <definedName name="iaDateValue">PF!$D$2</definedName>
    <definedName name="iaIntRateBase">#REF!</definedName>
    <definedName name="iaLoanAmo">#REF!</definedName>
    <definedName name="iaLoanMtgConstant">#REF!</definedName>
    <definedName name="iaLoanTV">#REF!</definedName>
    <definedName name="iaNumberTenants">[7]tblRentRoll!$V$1</definedName>
    <definedName name="iaOAR">[3]ProForma!$B$44</definedName>
    <definedName name="iaOARBandofInvestment">#REF!</definedName>
    <definedName name="iaOARBrokers">#REF!</definedName>
    <definedName name="iaOARDCR">#REF!</definedName>
    <definedName name="iaOARInvestors">#REF!</definedName>
    <definedName name="iaProjMgmtPct">PF!#REF!</definedName>
    <definedName name="iaProjVcyPct">[3]LeaseComps!$S$32</definedName>
    <definedName name="iaValueDirectCapRND">[3]ProForma!$D$50</definedName>
    <definedName name="iaValueDirectCapRNDPresent">#REF!</definedName>
    <definedName name="iaValueYieldCapRNDPresent">#REF!</definedName>
    <definedName name="imp.value.range.sf">'[2]IS Grid'!$E$90:$J$90</definedName>
    <definedName name="imp.value.range.unit">'[2]IS Grid'!$E$92:$J$92</definedName>
    <definedName name="Inc_App_Val">[2]Values!$E$9</definedName>
    <definedName name="Income_Approach_Value">[2]Inputs!#REF!</definedName>
    <definedName name="INHOUSE">'[1]Key Assumptions'!$B$2:$E$2</definedName>
    <definedName name="Ins_Apt_Row">'[2]Ins Val'!#REF!</definedName>
    <definedName name="Ins_Value">'[2]Ins Val'!$H$56</definedName>
    <definedName name="Inspection_Date">[2]Inputs!$C$31</definedName>
    <definedName name="Investment_Class_Value">[2]InputsRangeNames!$K$2</definedName>
    <definedName name="Investment_Class_Value_List">[2]InputsRangeNames!$K$4:$K$18</definedName>
    <definedName name="IS_Concl_Values">'[2]IS Concl'!#REF!,'[2]IS Concl'!#REF!,'[2]IS Concl'!$D$39,'[2]IS Concl'!$M$12:$M$13,'[2]IS Concl'!$C$40:$D$46,'[2]IS Concl'!#REF!</definedName>
    <definedName name="IS_Grid_2_BasisForAdj">'[2]IS Grid (2)'!$35:$35,'[2]IS Grid (2)'!$37:$37,'[2]IS Grid (2)'!$39:$39,'[2]IS Grid (2)'!$41:$41,'[2]IS Grid (2)'!$46:$46,'[2]IS Grid (2)'!$48:$48,'[2]IS Grid (2)'!$50:$50,'[2]IS Grid (2)'!$52:$52,'[2]IS Grid (2)'!$54:$54,'[2]IS Grid (2)'!$56:$56,'[2]IS Grid (2)'!$58:$58,'[2]IS Grid (2)'!$60:$60,'[2]IS Grid (2)'!$62:$62,'[2]IS Grid (2)'!$64:$64,'[2]IS Grid (2)'!$66:$66,'[2]IS Grid (2)'!$68:$68,'[2]IS Grid (2)'!$70:$70,'[2]IS Grid (2)'!$72:$72,'[2]IS Grid (2)'!$74:$74</definedName>
    <definedName name="IS_Grid_BasisForAdj">'[2]IS Grid'!$35:$35,'[2]IS Grid'!$37:$37,'[2]IS Grid'!$39:$39,'[2]IS Grid'!$41:$41,'[2]IS Grid'!$46:$46,'[2]IS Grid'!$48:$48,'[2]IS Grid'!$50:$50,'[2]IS Grid'!$52:$52,'[2]IS Grid'!$54:$54,'[2]IS Grid'!$56:$56,'[2]IS Grid'!$58:$58,'[2]IS Grid'!$60:$60,'[2]IS Grid'!$62:$62,'[2]IS Grid'!$64:$64,'[2]IS Grid'!$66:$66,'[2]IS Grid'!$68:$68,'[2]IS Grid'!$70:$70,'[2]IS Grid'!$72:$72,'[2]IS Grid'!$74:$74</definedName>
    <definedName name="IS_Grid_Rows2">'[2]IS Grid'!$B$2</definedName>
    <definedName name="IS_Grid_Rows2_2">'[2]IS Grid (2)'!$B$2</definedName>
    <definedName name="IS_Grid_Values">'[2]IS Grid'!#REF!,'[2]IS Grid'!$E$30:$L$30,'[2]IS Grid'!$E$36:$L$36,'[2]IS Grid'!$E$55:$L$55</definedName>
    <definedName name="ISaleDataLU">[3]ISaleData!$A$2:$AH$11</definedName>
    <definedName name="isOARRange">#REF!</definedName>
    <definedName name="KeyAssumpRange">'[1]Key Assumptions'!$A$1:$Y$5</definedName>
    <definedName name="L_adjsalespr">'[2]WA Import'!$AV$32:$AV$34</definedName>
    <definedName name="L_Amounts_List">[2]InputsRangeNames!$O$4:$O$6</definedName>
    <definedName name="L_Amounts_Value">[2]InputsRangeNames!$O$2</definedName>
    <definedName name="L_city">'[2]WA Import'!$Q$32:$Q$34</definedName>
    <definedName name="L_loc1">'[2]WA Import'!$O$32:$O$34</definedName>
    <definedName name="L_loc2">'[2]WA Import'!$P$32:$P$34</definedName>
    <definedName name="L_name">'[2]WA Import'!$L$32:$L$34</definedName>
    <definedName name="L_numunits">'[2]WA Import'!$AK$32:$AK$34</definedName>
    <definedName name="L_propuse">'[2]WA Import'!$AZ$32:$AZ$34</definedName>
    <definedName name="L_salemoyr">'[2]WA Import'!$AM$32:$AM$34</definedName>
    <definedName name="L_saleprice">'[2]WA Import'!$AR$32:$AR$34</definedName>
    <definedName name="L_state">'[2]WA Import'!$T$32:$T$34</definedName>
    <definedName name="L_t_xn">'[2]WA Import'!$DM$32:$DM$34</definedName>
    <definedName name="L_Type_List">[2]InputsRangeNames!$P$4:$P$6</definedName>
    <definedName name="L_Type_Value">[2]InputsRangeNames!$P$2</definedName>
    <definedName name="L_Units_List">[2]InputsRangeNames!$N$4:$N$6</definedName>
    <definedName name="L_Units_Value">[2]InputsRangeNames!$N$2</definedName>
    <definedName name="L_usabacres">'[2]WA Import'!$AA$32:$AA$34</definedName>
    <definedName name="L_usabsqft">'[2]WA Import'!$AB$32:$AB$34</definedName>
    <definedName name="L_zip">'[2]WA Import'!$R$32:$R$34</definedName>
    <definedName name="L_zoning">'[2]WA Import'!$AH$32:$AH$34</definedName>
    <definedName name="L2_adjsalespr">'[2]WA Import'!$AV$44:$AV$49</definedName>
    <definedName name="L2_city">'[2]WA Import'!$Q$44:$Q$49</definedName>
    <definedName name="L2_loc1">'[2]WA Import'!$O$44:$O$49</definedName>
    <definedName name="L2_loc2">'[2]WA Import'!$P$44:$P$49</definedName>
    <definedName name="L2_name">'[2]WA Import'!$L$44:$L$49</definedName>
    <definedName name="L2_numunits">'[2]WA Import'!$AK$44:$AK$49</definedName>
    <definedName name="L2_propuse">'[2]WA Import'!$AZ$44:$AZ$49</definedName>
    <definedName name="L2_salemoyr">'[2]WA Import'!$AM$44:$AM$49</definedName>
    <definedName name="L2_saleprice">'[2]WA Import'!$AR$44:$AR$49</definedName>
    <definedName name="L2_state">'[2]WA Import'!$T$44:$T$49</definedName>
    <definedName name="L2_t_xn">'[2]WA Import'!$DM$44:$DM$49</definedName>
    <definedName name="L2_usabacres">'[2]WA Import'!$AA$44:$AA$49</definedName>
    <definedName name="L2_usabsqft">'[2]WA Import'!$AB$44:$AB$49</definedName>
    <definedName name="L2_zip">'[2]WA Import'!$R$44:$R$49</definedName>
    <definedName name="L2_zoning">'[2]WA Import'!$AH$44:$AH$49</definedName>
    <definedName name="land.value.range">'[2]L Grid'!$G$58:$L$58</definedName>
    <definedName name="Land__ac.">[2]Inputs!$C$78</definedName>
    <definedName name="Land__allowable_units">[2]Inputs!$C$77</definedName>
    <definedName name="Land__sf">[2]Inputs!$C$79</definedName>
    <definedName name="Land_Area">[2]Inputs!$C$78</definedName>
    <definedName name="Land_Area_SF">[2]Inputs!$C$79</definedName>
    <definedName name="Land_Bldg_Ratio">[2]Improv!$F$48</definedName>
    <definedName name="Land_Grid_2_BasisForAdj">'[2]L Grid (2)'!$24:$24,'[2]L Grid (2)'!$26:$26,'[2]L Grid (2)'!$28:$28,'[2]L Grid (2)'!$30:$30,'[2]L Grid (2)'!$33:$33,'[2]L Grid (2)'!$35:$35,'[2]L Grid (2)'!$37:$37,'[2]L Grid (2)'!$39:$39,'[2]L Grid (2)'!$41:$41,'[2]L Grid (2)'!$43:$43,'[2]L Grid (2)'!$45:$45,'[2]L Grid (2)'!$47:$47,'[2]L Grid (2)'!$49:$49</definedName>
    <definedName name="Land_Grid_BasisForAdj">'[2]L Grid'!$25:$25,'[2]L Grid'!$27:$27,'[2]L Grid'!$29:$29,'[2]L Grid'!$31:$31,'[2]L Grid'!$34:$34,'[2]L Grid'!$36:$36,'[2]L Grid'!$38:$38,'[2]L Grid'!$40:$40,'[2]L Grid'!$42:$42,'[2]L Grid'!$44:$44,'[2]L Grid'!$46:$46,'[2]L Grid'!$48:$48,'[2]L Grid'!$50:$50</definedName>
    <definedName name="Land_Grid_Values">'[2]L Grid'!$G$23:$N$23,'[2]L Grid'!$G$32:$N$32,'[2]L Grid'!$G$52:$N$52,'[2]L Grid'!$P$59:$P$60</definedName>
    <definedName name="Land_UOC">'[2]L Sum'!$E$2</definedName>
    <definedName name="Land_Value">'[2]L Grid'!$T$61</definedName>
    <definedName name="Lease_Chart">'[2]Mkt Rent'!#REF!</definedName>
    <definedName name="Lease_Up">[2]LUD!$H$68</definedName>
    <definedName name="Lease_Up_Period">[2]LUD!$D$2</definedName>
    <definedName name="Leased_Fee_Land">'[2]Ground Lease'!$L$38</definedName>
    <definedName name="Leasehold_Value">'[2]Ground Lease'!$P$45</definedName>
    <definedName name="List_Arrows">[9]Lists!$H$2:$H$4</definedName>
    <definedName name="List_Qualitative">[9]Lists!$AA$2:$AA$10</definedName>
    <definedName name="List_VC_Unit">[9]Lists!$BV$2:$BV$4</definedName>
    <definedName name="LS_Units">'[2]L Grid'!$C$5</definedName>
    <definedName name="lstCondition">[3]CertificationsOptions!$G$34:$G$46</definedName>
    <definedName name="LUD_Rate">[2]LUD!$D$5</definedName>
    <definedName name="LUD_Rate_Value">[2]LUD!$BE$5</definedName>
    <definedName name="LUD_Schedule">[2]LUD!$D$4</definedName>
    <definedName name="LUD_Schedule_Value">[2]LUD!$C$4</definedName>
    <definedName name="LUD_Type">[2]LUD!$D$3</definedName>
    <definedName name="LUD_Type_Value">[2]LUD!$BE$3</definedName>
    <definedName name="MACROS">'[1]Key Assumptions'!#REF!</definedName>
    <definedName name="MANAGERS">'[1]Key Assumptions'!#REF!</definedName>
    <definedName name="Mkt.Cat.1">[2]Inputs!$C$133</definedName>
    <definedName name="Mkt.Cat.1.SF">[2]Inputs!$C$134</definedName>
    <definedName name="Mkt.Cat.2">[2]Inputs!$C$135</definedName>
    <definedName name="Mkt.Cat.2.SF">[2]Inputs!$C$136</definedName>
    <definedName name="Mkt.Cat.3">[2]Inputs!$C$137</definedName>
    <definedName name="Mkt.Cat.3.SF">[2]Inputs!$C$138</definedName>
    <definedName name="Mkt.Cat.4">[2]Inputs!$C$139</definedName>
    <definedName name="Mkt.Cat.4.SF">[2]Inputs!$C$140</definedName>
    <definedName name="Mkt.Cat.5">[2]Inputs!$C$141</definedName>
    <definedName name="Mkt.Cat.5.SF">[2]Inputs!$C$142</definedName>
    <definedName name="Mkt.Cat.6">[2]Inputs!$C$143</definedName>
    <definedName name="Mkt.Cat.6.SF">[2]Inputs!$C$144</definedName>
    <definedName name="Mkt.Cat.List">[2]InputsRangeNames!$Y$4:$Y$38</definedName>
    <definedName name="Mkt.Rent">'[2]Mkt Rent'!$BN$70</definedName>
    <definedName name="Mkt_Rent_Categories">[2]Inputs!$D$132</definedName>
    <definedName name="Mkt_Rnt_PSF">'[2]Mkt Rent'!#REF!</definedName>
    <definedName name="Mo_Mkt_Rent">'[2]Mkt Rent'!#REF!</definedName>
    <definedName name="MPRI">'[2]Mkt Rent'!#REF!</definedName>
    <definedName name="No_Doors">[2]Inputs!$C$103</definedName>
    <definedName name="No_of_Bldgs">[2]Inputs!$C$154</definedName>
    <definedName name="No_of_Stories">[2]Inputs!$C$155</definedName>
    <definedName name="No_Screens">[2]Inputs!$C$118</definedName>
    <definedName name="No_Seats">[2]Inputs!$C$117</definedName>
    <definedName name="No_SF">[2]Inputs!$C$147</definedName>
    <definedName name="No_Units">[2]Inputs!$C$148</definedName>
    <definedName name="NOI">[3]ProForma!$D$36</definedName>
    <definedName name="NOI_Per_Unit">'[2]IS Concl'!$C$43:$C$50</definedName>
    <definedName name="NOI_Per_Units">'[2]IS Concl'!$C$44:$C$50</definedName>
    <definedName name="NRA">[3]LeaseAbstracts!$C$7</definedName>
    <definedName name="NRI">'[2]Dir Cap'!$H$14</definedName>
    <definedName name="OARSpread">#REF!</definedName>
    <definedName name="Office">[2]Inputs!$C$12</definedName>
    <definedName name="Office_Area">[2]Inputs!$C$95</definedName>
    <definedName name="OneBRData">#REF!</definedName>
    <definedName name="OneBRRents">#REF!</definedName>
    <definedName name="optFEMAid">[3]OptionsProperty!$A$29:$A$40</definedName>
    <definedName name="pdAccess">'[7]Site Information'!$C$29</definedName>
    <definedName name="pdActualAge">'[7]Improvement Description'!$C$100</definedName>
    <definedName name="pdADA">'[7]Improvement Description'!$C$50</definedName>
    <definedName name="pdAddressCity">[3]Assignment!$B$33</definedName>
    <definedName name="pdAddressCounty">[7]Assignment!$B$34</definedName>
    <definedName name="pdAddressState">[3]Assignment!$B$35</definedName>
    <definedName name="pdAddressStreet">[3]Assignment!$B$32</definedName>
    <definedName name="pdAddressZip">[7]Assignment!$B$36</definedName>
    <definedName name="pdBayDepth">'[7]Improvement Description'!$C$28</definedName>
    <definedName name="pdBldgAreaClubhouse">'[7]Improvement Description'!$C$14</definedName>
    <definedName name="pdBldgAreaGross">'[3]Improvement Description'!$B$11</definedName>
    <definedName name="pdBldgAreaMezz">'[7]Improvement Description'!$C$16</definedName>
    <definedName name="pdBldgAreaNet">'[3]Improvement Description'!$B$12</definedName>
    <definedName name="pdBldgAreaOther">'[7]Improvement Description'!$C$15</definedName>
    <definedName name="pdBldgCondition">'[7]Improvement Description'!$C$95</definedName>
    <definedName name="pdBldgCount">'[7]Improvement Description'!$C$7</definedName>
    <definedName name="pdBldgFootprint">'[7]Improvement Description'!$C$17</definedName>
    <definedName name="pdBldgQuality">'[7]Improvement Description'!$C$97</definedName>
    <definedName name="pdBldgStories">'[7]Improvement Description'!$C$8</definedName>
    <definedName name="pdBuildingClass">'[7]Improvement Description'!$C$9</definedName>
    <definedName name="pdCeilingHeights">'[7]Improvement Description'!$C$22</definedName>
    <definedName name="pdCeilings">'[7]Improvement Description'!$C$66</definedName>
    <definedName name="pdCensusTract">'[7]Site Information'!$C$22</definedName>
    <definedName name="pdClearHeights">'[3]Improvement Description'!$B$28</definedName>
    <definedName name="pdCommonName">[3]Assignment!$B$30</definedName>
    <definedName name="pdConfiguration">'[7]Site Information'!$C$12</definedName>
    <definedName name="pdConstruction">'[7]Improvement Description'!$C$56</definedName>
    <definedName name="pdCooling">'[7]Improvement Description'!$C$76</definedName>
    <definedName name="pdCosttoCure">'[7]Improvement Description'!$C$92</definedName>
    <definedName name="pdCoverageRatio">'[7]Improvement Description'!$C$31</definedName>
    <definedName name="pdDeferredMaintenance">'[7]Improvement Description'!$C$91</definedName>
    <definedName name="pdDesignFunctionality">'[7]Improvement Description'!$C$99</definedName>
    <definedName name="pdDockHigh">'[7]Improvement Description'!$C$37</definedName>
    <definedName name="pdEasements">'[7]Site Information'!$C$39</definedName>
    <definedName name="pdEffectiveAge">'[13]Improvement Description'!$C$96</definedName>
    <definedName name="pdElectrical">'[7]Improvement Description'!$C$78</definedName>
    <definedName name="pdElevators">'[7]Improvement Description'!$C$27</definedName>
    <definedName name="pdEnterpriseZone">'[7]Site Information'!$C$32</definedName>
    <definedName name="pdEnvironmental">'[7]Site Information'!$C$25</definedName>
    <definedName name="pdExpectedEconLife">'[13]Improvement Description'!$C$95</definedName>
    <definedName name="pdExteriorWalls">'[7]Improvement Description'!$C$58</definedName>
    <definedName name="pdFAR">'[7]Improvement Description'!$C$30</definedName>
    <definedName name="pdFencing">'[7]Improvement Description'!$C$86</definedName>
    <definedName name="pdFireProtection">'[7]Improvement Description'!$C$80</definedName>
    <definedName name="pdFloodDescription">'[7]Site Information'!$C$21</definedName>
    <definedName name="pdFloodID">'[7]Site Information'!$C$20</definedName>
    <definedName name="pdFloodMapDate">'[7]Site Information'!$C$19</definedName>
    <definedName name="pdFloodMapNo">'[7]Site Information'!$C$18</definedName>
    <definedName name="pdFloorCoverings">'[7]Improvement Description'!$C$67</definedName>
    <definedName name="pdFloorStructure">'[7]Improvement Description'!$C$57</definedName>
    <definedName name="pdFoundation">'[7]Improvement Description'!$C$55</definedName>
    <definedName name="pdFrontage">'[7]Site Information'!$C$28</definedName>
    <definedName name="pdGeneralLayout">'[7]Improvement Description'!$C$54</definedName>
    <definedName name="pdGenPropUse">[7]Menu!$D$15</definedName>
    <definedName name="pdGenPropUse2">[7]Menu!$D$17</definedName>
    <definedName name="pdHazards">'[7]Site Information'!$C$27</definedName>
    <definedName name="pdHBUAsIfVacant">'[7]H&amp;BU'!$B$2</definedName>
    <definedName name="pdHBUAsImproved">'[7]H&amp;BU'!$B$3</definedName>
    <definedName name="pdHeating">'[7]Improvement Description'!$C$75</definedName>
    <definedName name="pdIngressEgress">'[7]Improvement Description'!$C$39</definedName>
    <definedName name="pdInteriorWalls">'[7]Improvement Description'!$C$65</definedName>
    <definedName name="pdLandscaping">'[7]Improvement Description'!$C$84</definedName>
    <definedName name="pdLEEDRating">'[7]Improvement Description'!$C$29</definedName>
    <definedName name="pdLegalDesc">'[7]Site Information'!$C$38</definedName>
    <definedName name="pdLighting">'[7]Improvement Description'!$C$69</definedName>
    <definedName name="pdLocationDesc">'[7]Site Information'!$C$2</definedName>
    <definedName name="pdLtoBRatio">'[3]Improvement Description'!$B$26</definedName>
    <definedName name="pdMostProbablePurchaser">[7]MethodAssump!$B$4</definedName>
    <definedName name="pdOccupancy">[3]RentRoll!$C$9</definedName>
    <definedName name="pdOfficeBuildOut">'[3]Improvement Description'!$B$27</definedName>
    <definedName name="pdParkingGarage">'[7]Improvement Description'!$C$46</definedName>
    <definedName name="pdParkingOther">'[7]Improvement Description'!$C$45</definedName>
    <definedName name="pdParkingRatio">'[7]Improvement Description'!$C$48</definedName>
    <definedName name="pdParkingSpaces">'[3]Improvement Description'!$B$39</definedName>
    <definedName name="pdParkingSurface">'[7]Improvement Description'!$C$44</definedName>
    <definedName name="pdParkingType">'[7]Improvement Description'!$C$83</definedName>
    <definedName name="pdPlumbing">'[7]Improvement Description'!$C$77</definedName>
    <definedName name="pdPower">'[7]Improvement Description'!$C$35</definedName>
    <definedName name="pdPropertyDescription">'[7]Improvement Description'!$C$4</definedName>
    <definedName name="pdPropertyType">'[7]Improvement Description'!$C$2</definedName>
    <definedName name="pdPropertyUse">'[7]Improvement Description'!$C$3</definedName>
    <definedName name="pdRailAccess">'[7]Improvement Description'!$C$40</definedName>
    <definedName name="pdRemainingEconLife">'[7]Improvement Description'!$C$103</definedName>
    <definedName name="pdRenovations">'[7]Improvement Description'!$C$90</definedName>
    <definedName name="pdRestrooms">'[7]Improvement Description'!$C$70</definedName>
    <definedName name="pdRollUp">'[7]Improvement Description'!$C$38</definedName>
    <definedName name="pdRoofCover">'[7]Improvement Description'!$C$60</definedName>
    <definedName name="pdRoofType">'[7]Improvement Description'!$C$59</definedName>
    <definedName name="pdSignage">'[7]Improvement Description'!$C$85</definedName>
    <definedName name="pdSiteAreaNetAc">'[3]Site Information'!$B$6</definedName>
    <definedName name="pdSiteAreaNetSF">'[3]Site Information'!$B$5</definedName>
    <definedName name="pdSiteAreaSurplusAc">'[7]Site Information'!$C$11</definedName>
    <definedName name="pdSiteOther">'[7]Improvement Description'!$C$87</definedName>
    <definedName name="pdSiteUtilities">'[7]Site Information'!$C$16</definedName>
    <definedName name="pdSoilCondition">'[7]Site Information'!$C$24</definedName>
    <definedName name="pdStorageYard">'[7]Improvement Description'!$C$41</definedName>
    <definedName name="pdSurroundingUses">'[7]Site Information'!$C$31</definedName>
    <definedName name="pdTaxID">'[7]Site Information'!$C$37</definedName>
    <definedName name="pdTrafficCounts">'[7]Site Information'!$C$33</definedName>
    <definedName name="pdTransportationFacilities">'[7]Site Information'!$C$34</definedName>
    <definedName name="pdUnits">'[3]Improvement Description'!$B$16</definedName>
    <definedName name="pdUtilityMetering">'[7]Improvement Description'!$C$23</definedName>
    <definedName name="pdVisibility">'[7]Site Information'!$C$30</definedName>
    <definedName name="pdWindows">'[7]Improvement Description'!$C$61</definedName>
    <definedName name="pdYearBuilt">'[3]Improvement Description'!$B$5</definedName>
    <definedName name="pdYearRenov">'[7]Improvement Description'!$C$6</definedName>
    <definedName name="pdZoningCompliance">'Site Information'!$C$5</definedName>
    <definedName name="pdZoningDescription">'Site Information'!$C$3</definedName>
    <definedName name="pdZoningid">'Site Information'!$C$2</definedName>
    <definedName name="pdZoningNarr">'Site Information'!$C$4</definedName>
    <definedName name="Percent_AC">[2]Inputs!$C$109</definedName>
    <definedName name="Percent_Ambient">[2]Inputs!$C$105</definedName>
    <definedName name="Percent_Cold_Storage">[2]Inputs!$C$106</definedName>
    <definedName name="Percent_Cooler">[2]Inputs!$C$107</definedName>
    <definedName name="Percent_Freezer">[2]Inputs!$C$108</definedName>
    <definedName name="Percent_Office">[2]Inputs!$C$104</definedName>
    <definedName name="Premise_List">[2]InputsRangeNames!$S$4:$S$9</definedName>
    <definedName name="Price_Per_Unit">'[2]IS Concl'!$D$43:$D$50</definedName>
    <definedName name="Price_Per_Units">'[2]IS Concl'!$D$44:$D$50</definedName>
    <definedName name="Pro_Forma_AV1">[2]Tax!#REF!</definedName>
    <definedName name="Pro_Forma_AV2">[2]Tax!#REF!</definedName>
    <definedName name="Profit">[2]LUD!$D$6</definedName>
    <definedName name="Profit_Value">[2]LUD!$BE$6</definedName>
    <definedName name="Proj_Name">[2]Inputs!$C$56</definedName>
    <definedName name="Prop_Class_List_2">[2]InputsRangeNames!$W$4:$W$7</definedName>
    <definedName name="Prop_Class_Value_2">[2]InputsRangeNames!$W$2</definedName>
    <definedName name="Prop_Type_List">[2]InputsRangeNames!#REF!</definedName>
    <definedName name="Prop_Type_Value">[2]InputsRangeNames!#REF!</definedName>
    <definedName name="Prop_Type_Value_List">[2]InputsRangeNames!#REF!</definedName>
    <definedName name="Property.List">[2]InputsRangeNames!$T$4:$T$19</definedName>
    <definedName name="Property.List.2">[2]InputsRangeNames!$U$4:$U$19</definedName>
    <definedName name="Property.List.3">[2]InputsRangeNames!$V$4:$V$13</definedName>
    <definedName name="Property.Type">[2]Exposure!$C$1</definedName>
    <definedName name="Property.Type.1.Check">[2]Exposure!$D$1</definedName>
    <definedName name="Property.Type.2">[2]Exposure!$C$2</definedName>
    <definedName name="Property.Type.2.Check">[2]Exposure!$D$2</definedName>
    <definedName name="Property.Type.3">[2]Exposure!$C$3</definedName>
    <definedName name="Property.Type.3.Check">[2]Exposure!$D$3</definedName>
    <definedName name="Property.Value">[2]InputsRangeNames!$T$2</definedName>
    <definedName name="Property.Value.2">[2]InputsRangeNames!$U$2</definedName>
    <definedName name="Property.Value.3">[2]InputsRangeNames!$V$2</definedName>
    <definedName name="Property_City">[2]Inputs!$C$60</definedName>
    <definedName name="Property_Class">[2]Inputs!$C$70</definedName>
    <definedName name="Property_Class_2">[2]Inputs!$C$76</definedName>
    <definedName name="Property_County">[2]Inputs!$C$63</definedName>
    <definedName name="Property_Description">[2]Inputs!$C$65</definedName>
    <definedName name="Property_Entity">[2]Inputs!$D$63</definedName>
    <definedName name="Property_State">[2]Inputs!$C$61</definedName>
    <definedName name="Property_Street">[2]Inputs!$C$59</definedName>
    <definedName name="Property_Tenancy">[2]Inputs!$D$65</definedName>
    <definedName name="Property_Type">[2]Inputs!#REF!</definedName>
    <definedName name="Property_Zip">[2]Inputs!$C$62</definedName>
    <definedName name="Prospective_Val_Growth">[2]Inputs!$C$42</definedName>
    <definedName name="QualArray">[6]Assumptions!$E$9:$F$21</definedName>
    <definedName name="R_basis">'[2]WA Import'!$CR$56:$CR$60</definedName>
    <definedName name="R_bserentsqf">'[2]WA Import'!$CO$56:$CO$60</definedName>
    <definedName name="R_city">'[2]WA Import'!$S$56:$S$60</definedName>
    <definedName name="R_clrceiling">'[2]WA Import'!$AH$56:$AH$60</definedName>
    <definedName name="R_Display.Value">'[2]Rent Sum'!$C$2</definedName>
    <definedName name="R_exppasthru">'[2]WA Import'!$CS$56:$CS$60</definedName>
    <definedName name="R_glatot">'[2]WA Import'!$AS$56:$AS$60</definedName>
    <definedName name="R_grosbldare">'[2]WA Import'!$AC$56:$AC$60</definedName>
    <definedName name="R_ldate1">'[2]WA Import'!$CZ$56:$CZ$60</definedName>
    <definedName name="R_ldate2">'[2]WA Import'!$DB$56:$DB$60</definedName>
    <definedName name="R_ldate3">'[2]WA Import'!$DD$56:$DD$60</definedName>
    <definedName name="R_ldate4">'[2]WA Import'!$DF$56:$DF$60</definedName>
    <definedName name="R_lesc1">'[2]WA Import'!$EH$56:$EH$60</definedName>
    <definedName name="R_lesc2">'[2]WA Import'!$EI$56:$EI$60</definedName>
    <definedName name="R_lesc3">'[2]WA Import'!$EJ$56:$EJ$60</definedName>
    <definedName name="R_lesc4">'[2]WA Import'!$EK$56:$EK$60</definedName>
    <definedName name="R_loc1">'[2]WA Import'!$Q$56:$Q$60</definedName>
    <definedName name="R_loc2">'[2]WA Import'!$R$56:$R$60</definedName>
    <definedName name="R_lrent_avg">'[2]WA Import'!$EN$56:$EN$60</definedName>
    <definedName name="R_lrent1">'[2]WA Import'!$DS$56:$DS$60</definedName>
    <definedName name="R_lrent10">'[2]WA Import'!$EK$56:$EK$60</definedName>
    <definedName name="R_lrent11">'[2]WA Import'!$EL$56:$EL$60</definedName>
    <definedName name="R_lrent12">'[2]WA Import'!$EM$56:$EM$60</definedName>
    <definedName name="R_lrent2">'[2]WA Import'!$DT$56:$DT$60</definedName>
    <definedName name="R_lrent3">'[2]WA Import'!$DU$56:$DU$60</definedName>
    <definedName name="R_lrent4">'[2]WA Import'!$DV$56:$DV$60</definedName>
    <definedName name="R_lrent5">'[2]WA Import'!$DW$56:$DW$60</definedName>
    <definedName name="R_lrent6">'[2]WA Import'!$EG$56:$EG$60</definedName>
    <definedName name="R_lrent7">'[2]WA Import'!$EH$56:$EH$60</definedName>
    <definedName name="R_lrent8">'[2]WA Import'!$EI$56:$EI$60</definedName>
    <definedName name="R_lrent9">'[2]WA Import'!$EJ$56:$EJ$60</definedName>
    <definedName name="R_lrentpsf1">'[2]WA Import'!$EO$56:$EO$60</definedName>
    <definedName name="R_lrentpsf10">'[2]WA Import'!$EX$56:$EX$60</definedName>
    <definedName name="R_lrentpsf11">'[2]WA Import'!$EY$56:$EY$60</definedName>
    <definedName name="R_lrentpsf12">'[2]WA Import'!$EZ$56:$EZ$60</definedName>
    <definedName name="R_lrentpsf2">'[2]WA Import'!$EP$56:$EP$60</definedName>
    <definedName name="R_lrentpsf3">'[2]WA Import'!$EQ$56:$EQ$60</definedName>
    <definedName name="R_lrentpsf4">'[2]WA Import'!$ER$56:$ER$60</definedName>
    <definedName name="R_lrentpsf5">'[2]WA Import'!$ES$56:$ES$60</definedName>
    <definedName name="R_lrentpsf6">'[2]WA Import'!$ET$56:$ET$60</definedName>
    <definedName name="R_lrentpsf7">'[2]WA Import'!$EU$56:$EU$60</definedName>
    <definedName name="R_lrentpsf8">'[2]WA Import'!$EV$56:$EV$60</definedName>
    <definedName name="R_lrentpsf9">'[2]WA Import'!$EW$56:$EW$60</definedName>
    <definedName name="R_lsize1">'[2]WA Import'!$DI$56:$DI$60</definedName>
    <definedName name="R_lsize10">'[2]WA Import'!$DL$56:$DL$60</definedName>
    <definedName name="R_lsize11">'[2]WA Import'!$DM$56:$DM$60</definedName>
    <definedName name="R_lsize12">'[2]WA Import'!$DN$56:$DN$60</definedName>
    <definedName name="R_lsize2">'[2]WA Import'!$DJ$56:$DJ$60</definedName>
    <definedName name="R_lsize3">'[2]WA Import'!$DK$56:$DK$60</definedName>
    <definedName name="R_lsize4">'[2]WA Import'!$DL$56:$DL$60</definedName>
    <definedName name="R_lsize5">'[2]WA Import'!$DM$56:$DM$60</definedName>
    <definedName name="R_lsize6">'[2]WA Import'!$DH$56:$DH$60</definedName>
    <definedName name="R_lsize7">'[2]WA Import'!$DI$56:$DI$60</definedName>
    <definedName name="R_lsize8">'[2]WA Import'!$DJ$56:$DJ$60</definedName>
    <definedName name="R_lsize9">'[2]WA Import'!$DK$56:$DK$60</definedName>
    <definedName name="R_lten1">'[2]WA Import'!$DN$56:$DN$60</definedName>
    <definedName name="R_lten2">'[2]WA Import'!$DO$56:$DO$60</definedName>
    <definedName name="R_lten3">'[2]WA Import'!$DP$56:$DP$60</definedName>
    <definedName name="R_lten4">'[2]WA Import'!$DQ$56:$DQ$60</definedName>
    <definedName name="R_lterm1">'[2]WA Import'!$ER$56:$ER$60</definedName>
    <definedName name="R_lterm2">'[2]WA Import'!$ES$56:$ES$60</definedName>
    <definedName name="R_lterm3">'[2]WA Import'!$ET$56:$ET$60</definedName>
    <definedName name="R_lterm4">'[2]WA Import'!$EU$56:$EU$60</definedName>
    <definedName name="R_lti1">'[2]WA Import'!$DX$56:$DX$60</definedName>
    <definedName name="R_lti2">'[2]WA Import'!$DY$56:$DY$60</definedName>
    <definedName name="R_lti3">'[2]WA Import'!$DZ$56:$DZ$60</definedName>
    <definedName name="R_lti4">'[2]WA Import'!$EA$56:$EA$60</definedName>
    <definedName name="R_ltype1">'[2]WA Import'!$DP$56:$DP$60</definedName>
    <definedName name="R_ltype10">'[2]WA Import'!$DY$56:$DY$60</definedName>
    <definedName name="R_ltype11">'[2]WA Import'!$DZ$56:$DZ$60</definedName>
    <definedName name="R_ltype12">'[2]WA Import'!$EA$56:$EA$60</definedName>
    <definedName name="R_ltype2">'[2]WA Import'!$DQ$56:$DQ$60</definedName>
    <definedName name="R_ltype3">'[2]WA Import'!$DR$56:$DR$60</definedName>
    <definedName name="R_ltype4">'[2]WA Import'!$DS$56:$DS$60</definedName>
    <definedName name="R_ltype5">'[2]WA Import'!$DT$56:$DT$60</definedName>
    <definedName name="R_ltype6">'[2]WA Import'!$DU$56:$DU$60</definedName>
    <definedName name="R_ltype7">'[2]WA Import'!$DV$56:$DV$60</definedName>
    <definedName name="R_ltype8">'[2]WA Import'!$DW$56:$DW$60</definedName>
    <definedName name="R_ltype9">'[2]WA Import'!$DX$56:$DX$60</definedName>
    <definedName name="R_name">'[2]WA Import'!$J$56:$J$60</definedName>
    <definedName name="R_netrntarea">'[2]WA Import'!$AN$56:$AN$60</definedName>
    <definedName name="R_nunits">'[2]WA Import'!$AD$56:$AD$60</definedName>
    <definedName name="R_pctair">'[2]WA Import'!$AG$56:$AG$60</definedName>
    <definedName name="R_pctoccup">'[2]WA Import'!$CK$56:$CK$60</definedName>
    <definedName name="R_pctoccupo">'[2]WA Import'!$CL$56:$CL$60</definedName>
    <definedName name="R_pctoffice">'[2]WA Import'!$AP$56:$AP$60</definedName>
    <definedName name="R_rentescal">'[2]WA Import'!$CQ$56:$CQ$60</definedName>
    <definedName name="R_state">'[2]WA Import'!$V$56:$V$60</definedName>
    <definedName name="R_tenimprov">'[2]WA Import'!$CW$56:$CW$60</definedName>
    <definedName name="R_yrbuilt">'[2]WA Import'!$AU$56:$AU$60</definedName>
    <definedName name="R_zip">'[2]WA Import'!$T$56:$T$60</definedName>
    <definedName name="Rent_Area">[2]Inputs!$C$147</definedName>
    <definedName name="Rental.Trends">[2]MktStdyRents!$F$37:$F$39</definedName>
    <definedName name="Requester_Name">[2]Inputs!$C$15</definedName>
    <definedName name="Requester_Title">[2]Inputs!$C$16</definedName>
    <definedName name="Rev_Unit_Val">'[2]Dir Cap'!$K$6</definedName>
    <definedName name="Revenue_Category_1">[2]Inputs!$C$164</definedName>
    <definedName name="Revenue_Category_2">[2]Inputs!$C$165</definedName>
    <definedName name="Revenue_Category_3">[2]Inputs!$C$166</definedName>
    <definedName name="Revenue_Category_4">[2]Inputs!$C$167</definedName>
    <definedName name="Revenue_Category_5">[2]Inputs!$C$168</definedName>
    <definedName name="Revenue_Category_6">[2]Inputs!$C$169</definedName>
    <definedName name="Revenue_Category_7">[2]Inputs!$C$170</definedName>
    <definedName name="Revenue_Category_8">[2]Inputs!$C$171</definedName>
    <definedName name="Reviewer">[2]Inputs!$C$10</definedName>
    <definedName name="Rights_Appraised">[2]Inputs!$C$34</definedName>
    <definedName name="RR_basis">'[2]WA Import'!$CR$69:$CR$75</definedName>
    <definedName name="RR_bserentsqf">'[2]WA Import'!$CO$69:$CO$75</definedName>
    <definedName name="RR_city">'[2]WA Import'!$S$69:$S$75</definedName>
    <definedName name="RR_CLRCEILING">'[2]WA Import'!$AG$69:$AG$73</definedName>
    <definedName name="RR_Display.Value">'[2]Rent Sum (2)'!$C$2</definedName>
    <definedName name="RR_exppasthru">'[2]WA Import'!$CS$69:$CS$75</definedName>
    <definedName name="RR_glatot">'[2]WA Import'!$AS$69:$AS$75</definedName>
    <definedName name="RR_GROSBLDARE">'[2]WA Import'!$AA$69:$AA$73</definedName>
    <definedName name="RR_ldate1">'[2]WA Import'!$CZ$69:$CZ$75</definedName>
    <definedName name="RR_ldate2">'[2]WA Import'!$DB$69:$DB$75</definedName>
    <definedName name="RR_ldate3">'[2]WA Import'!$DD$69:$DD$75</definedName>
    <definedName name="RR_ldate4">'[2]WA Import'!$DF$69:$DF$75</definedName>
    <definedName name="RR_lesc1">'[2]WA Import'!$EH$69:$EH$75</definedName>
    <definedName name="RR_lesc2">'[2]WA Import'!$EI$69:$EI$75</definedName>
    <definedName name="RR_lesc3">'[2]WA Import'!$EJ$69:$EJ$75</definedName>
    <definedName name="RR_lesc4">'[2]WA Import'!$EK$69:$EK$75</definedName>
    <definedName name="RR_loc1">'[2]WA Import'!$Q$69:$Q$75</definedName>
    <definedName name="RR_loc2">'[2]WA Import'!$R$69:$R$75</definedName>
    <definedName name="RR_lrent_avg">'[2]WA Import'!$EN$69:$EN$75</definedName>
    <definedName name="RR_lrent1">'[2]WA Import'!$DS$69:$DS$75</definedName>
    <definedName name="RR_lrent2">'[2]WA Import'!$DT$69:$DT$75</definedName>
    <definedName name="RR_lrent3">'[2]WA Import'!$DU$69:$DU$75</definedName>
    <definedName name="RR_lrent4">'[2]WA Import'!$DV$69:$DV$75</definedName>
    <definedName name="RR_lsize1">'[2]WA Import'!$DI$69:$DI$75</definedName>
    <definedName name="RR_lsize2">'[2]WA Import'!$DJ$69:$DJ$75</definedName>
    <definedName name="RR_lsize3">'[2]WA Import'!$DK$69:$DK$75</definedName>
    <definedName name="RR_lsize4">'[2]WA Import'!$DL$69:$DL$75</definedName>
    <definedName name="RR_lten1">'[2]WA Import'!$DN$69:$DN$75</definedName>
    <definedName name="RR_lten2">'[2]WA Import'!$DO$69:$DO$75</definedName>
    <definedName name="RR_lten3">'[2]WA Import'!$DP$69:$DP$75</definedName>
    <definedName name="RR_lten4">'[2]WA Import'!$DQ$69:$DQ$75</definedName>
    <definedName name="RR_lterm1">'[2]WA Import'!$ER$69:$ER$75</definedName>
    <definedName name="RR_lterm2">'[2]WA Import'!$ES$69:$ES$75</definedName>
    <definedName name="RR_lterm3">'[2]WA Import'!$ET$69:$ET$75</definedName>
    <definedName name="RR_lterm4">'[2]WA Import'!$EU$69:$EU$75</definedName>
    <definedName name="RR_lti1">'[2]WA Import'!$DX$69:$DX$75</definedName>
    <definedName name="RR_lti2">'[2]WA Import'!$DY$69:$DY$75</definedName>
    <definedName name="RR_lti3">'[2]WA Import'!$DZ$69:$DZ$75</definedName>
    <definedName name="RR_lti4">'[2]WA Import'!$EA$69:$EA$75</definedName>
    <definedName name="RR_name">'[2]WA Import'!$J$69:$J$75</definedName>
    <definedName name="RR_NETRNTAREA">'[2]WA Import'!$AN$69:$AN$73</definedName>
    <definedName name="RR_nunits">'[2]WA Import'!$AD$69:$AD$75</definedName>
    <definedName name="RR_PCTAIR">'[2]WA Import'!$AF$69:$AF$73</definedName>
    <definedName name="RR_pctoccup">'[2]WA Import'!$CK$69:$CK$75</definedName>
    <definedName name="RR_pctoccupo">'[2]WA Import'!$CL$69:$CL$75</definedName>
    <definedName name="RR_rentescal">'[2]WA Import'!$CQ$69:$CQ$75</definedName>
    <definedName name="RR_state">'[2]WA Import'!$V$69:$V$75</definedName>
    <definedName name="RR_tenimprov">'[2]WA Import'!$CW$69:$CW$75</definedName>
    <definedName name="RR_yrbuilt">'[2]WA Import'!$AU$69:$AU$75</definedName>
    <definedName name="RR_zip">'[2]WA Import'!$T$69:$T$75</definedName>
    <definedName name="S_adjsalespr">'[2]WA Import'!$BM$8:$BM$12</definedName>
    <definedName name="S_city">'[2]WA Import'!$S$8:$S$12</definedName>
    <definedName name="S_clrceiling">'[2]WA Import'!$AH$8:$AH$12</definedName>
    <definedName name="S_egim">'[2]WA Import'!$CG$8:$CG$12</definedName>
    <definedName name="S_glap">'[2]WA Import'!$AT$8:$AT$12</definedName>
    <definedName name="S_grosbldare">'[2]WA Import'!$AC$8:$AC$12</definedName>
    <definedName name="S_landarea">'[2]WA Import'!$AA$8:$AA$12</definedName>
    <definedName name="S_loc1">'[2]WA Import'!$Q$8:$Q$12</definedName>
    <definedName name="S_ltbr">'[2]WA Import'!$AW$8:$AW$12</definedName>
    <definedName name="S_name">'[2]WA Import'!$J$8:$J$12</definedName>
    <definedName name="S_netopinpsf">'[2]WA Import'!$CC$8:$CC$12</definedName>
    <definedName name="S_netrntarea">'[2]WA Import'!$AN$8:$AN$11</definedName>
    <definedName name="S_nunits">'[2]WA Import'!$AD$8:$AD$11</definedName>
    <definedName name="S_oar">'[2]WA Import'!$CE$8:$CE$12</definedName>
    <definedName name="S_oer">'[2]WA Import'!$CH$8:$CH$12</definedName>
    <definedName name="S_pctair">'[2]WA Import'!$AG$8:$AG$12</definedName>
    <definedName name="S_pctoffice">'[2]WA Import'!$AP$8:$AP$12</definedName>
    <definedName name="S_priceper">'[2]WA Import'!$CJ$8:$CJ$12</definedName>
    <definedName name="S_pricepsf">'[2]WA Import'!$CI$8:$CI$12</definedName>
    <definedName name="S_salemoyr">'[2]WA Import'!$BD$8:$BD$12</definedName>
    <definedName name="S_saleoccup">'[2]WA Import'!$BQ$8:$BQ$12</definedName>
    <definedName name="S_saleprice">'[2]WA Import'!$BI$8:$BI$12</definedName>
    <definedName name="S_state">'[2]WA Import'!$V$8:$V$12</definedName>
    <definedName name="S_t_xn">'[2]WA Import'!$GM$8:$GM$12</definedName>
    <definedName name="S_yrbuilt">'[2]WA Import'!$AU$8:$AU$12</definedName>
    <definedName name="S_zip">'[2]WA Import'!$T$8:$T$12</definedName>
    <definedName name="saValueComparisonRNDPresent">#REF!</definedName>
    <definedName name="saValueConclusion">[3]ISaleAdj!$D$188</definedName>
    <definedName name="SCA_Value">'[2]IS Concl'!$O$32</definedName>
    <definedName name="Second_Appraisal_Premise">[2]Inputs!$C$40</definedName>
    <definedName name="Second_Premise_Value">[2]Inputs!$D$40</definedName>
    <definedName name="Second_Value_Date">[2]Inputs!$C$44</definedName>
    <definedName name="SiteArea">'[9]Site Information'!$B$3</definedName>
    <definedName name="SS_adjsalespr">'[2]WA Import'!$BM$20:$BM$25</definedName>
    <definedName name="SS_city">'[2]WA Import'!$S$20:$S$25</definedName>
    <definedName name="SS_clrceiling">'[2]WA Import'!$AD$20:$AD$24</definedName>
    <definedName name="SS_glap">'[2]WA Import'!$AT$20:$AT$25</definedName>
    <definedName name="SS_grosbldare">'[2]WA Import'!$Y$20:$Y$24</definedName>
    <definedName name="SS_landarea">'[2]WA Import'!$AA$20:$AA$25</definedName>
    <definedName name="SS_loc1">'[2]WA Import'!$Q$20:$Q$25</definedName>
    <definedName name="SS_name">'[2]WA Import'!$J$20:$J$25</definedName>
    <definedName name="SS_netopinpsf">'[2]WA Import'!$CC$20:$CC$25</definedName>
    <definedName name="SS_netrntarea">'[2]WA Import'!$AL$20:$AL$24</definedName>
    <definedName name="SS_nunits">'[2]WA Import'!$AD$20:$AD$25</definedName>
    <definedName name="SS_oar">'[2]WA Import'!$CE$20:$CE$25</definedName>
    <definedName name="SS_pctair">'[2]WA Import'!$AC$20:$AC$24</definedName>
    <definedName name="SS_pctoffice">'[2]WA Import'!$AL$20:$AL$24</definedName>
    <definedName name="SS_priceper">'[2]WA Import'!$CJ$20:$CJ$25</definedName>
    <definedName name="SS_pricepsf">'[2]WA Import'!$CI$20:$CI$25</definedName>
    <definedName name="SS_salemoyr">'[2]WA Import'!$BD$20:$BD$25</definedName>
    <definedName name="SS_saleoccup">'[2]WA Import'!$BQ$20:$BQ$25</definedName>
    <definedName name="SS_state">'[2]WA Import'!$V$20:$V$25</definedName>
    <definedName name="SS_t_xn">'[2]WA Import'!$GM$20:$GM$25</definedName>
    <definedName name="SS_yrbuilt">'[2]WA Import'!$AU$20:$AU$25</definedName>
    <definedName name="SS_zip">'[2]WA Import'!$T$20:$T$25</definedName>
    <definedName name="Stab.Credit.Weight">[2]MktStdy!$AB$51</definedName>
    <definedName name="Stab.CreditLoss">[2]Inputs!$D$150</definedName>
    <definedName name="Stab.Vac.Weight">[2]MktStdy!$AB$41</definedName>
    <definedName name="Stab.Vacancy">[2]Inputs!$D$151</definedName>
    <definedName name="Stab.VC.Select.Weight">[2]MktStdy!$W$34</definedName>
    <definedName name="Stab_Ancil_Inc">EGI-NRI</definedName>
    <definedName name="Stab_Exp">'[2]Dir Cap'!$H$45</definedName>
    <definedName name="Stab_Exp_Reimb">'[2]Dir Cap'!$H$20</definedName>
    <definedName name="Stab_NOI">'[2]Dir Cap'!$H$47</definedName>
    <definedName name="Stabilized_Occ">[2]Inputs!$C$152</definedName>
    <definedName name="States">#REF!</definedName>
    <definedName name="Status_List">[2]InputsRangeNames!$E$4:$E$15</definedName>
    <definedName name="Status_List_Value">[2]InputsRangeNames!$E$2</definedName>
    <definedName name="Status_of_Property">[2]Inputs!$C$36</definedName>
    <definedName name="Sub_City">[2]IS_Sum!#REF!</definedName>
    <definedName name="Sub_OER">'[2]Dir Cap'!$H$46</definedName>
    <definedName name="Sub_Parc_Num_1">[2]Inputs!$C$66</definedName>
    <definedName name="Sub_Parc_Num_2">[2]Inputs!$C$67</definedName>
    <definedName name="Sub_Parc_Num_3">[2]Inputs!$C$68</definedName>
    <definedName name="Sub_Parc_Num_4">[2]Inputs!$C$69</definedName>
    <definedName name="Surplus_Land_Ac">[2]Inputs!$C$83</definedName>
    <definedName name="Survey.Date">'[2]Survey Results'!$A$2</definedName>
    <definedName name="Survey.Date.2">'[2]Survey Results'!$A$3</definedName>
    <definedName name="survey.results">'[2]Survey Results'!$A$4:$P$62</definedName>
    <definedName name="Tax_Dial_Val">[2]Tax!$B$2</definedName>
    <definedName name="Tax_Dial_Val_2">[2]Tax!$B$3</definedName>
    <definedName name="Tax_Dial_Val_3">[2]Tax!$B$4</definedName>
    <definedName name="Tax_Form_1">[2]Tax!#REF!</definedName>
    <definedName name="Tax_Form_2">[2]Tax!#REF!</definedName>
    <definedName name="Taxes">[2]Tax!$K$21</definedName>
    <definedName name="Taxes.Special">[2]Tax!$K$17</definedName>
    <definedName name="Terminal_Cap_Rate">'[2]DCF Assum'!$D$47</definedName>
    <definedName name="TFDirCap2">[2]Inputs!$D$52</definedName>
    <definedName name="TFExcessLand">[2]Inputs!$D$47</definedName>
    <definedName name="Third_Appraisal_Premise">[2]Inputs!$C$41</definedName>
    <definedName name="Third_Premise_Value">[2]Inputs!$D$41</definedName>
    <definedName name="Third_Value_Date">[2]Inputs!$C$45</definedName>
    <definedName name="ThreeBRRents">#REF!</definedName>
    <definedName name="Total_Land__ac.">[2]Inputs!$C$85</definedName>
    <definedName name="Total_Repl_Cost">[2]Cost!$H$74</definedName>
    <definedName name="TwoBRRents">#REF!</definedName>
    <definedName name="Type_Appraisal">[2]Inputs!$C$13</definedName>
    <definedName name="Type_Report">[2]Inputs!$C$14</definedName>
    <definedName name="Unit.Type">[2]Inputs!$D$148</definedName>
    <definedName name="UOC_Acres">'[2]L Sum'!$T$9:$T$11</definedName>
    <definedName name="UOC_SF">'[2]L Sum'!$S$9:$S$11</definedName>
    <definedName name="UOC_Units">'[2]L Sum'!$U$9:$U$11</definedName>
    <definedName name="UOC_Val">'[2]L Sum'!$R$9:$R$11</definedName>
    <definedName name="Value_List">[2]InputsRangeNames!$A$4:$A$107</definedName>
    <definedName name="Var_Exp_Rate">[2]LUD!$D$7</definedName>
    <definedName name="Var_Exp_Value">[2]LUD!$BE$7</definedName>
    <definedName name="vcDateInspection">[7]Assignment!$B$43</definedName>
    <definedName name="vcExposureTime1">'[7]Value Indications'!$C$14</definedName>
    <definedName name="vcMarketingTime1">'[7]Value Indications'!$C$15</definedName>
    <definedName name="vcPSFOptions">#REF!</definedName>
    <definedName name="vcPSFOptions1">#REF!</definedName>
    <definedName name="vcPSFOptions2">#REF!</definedName>
    <definedName name="vcPSFOptions3">#REF!</definedName>
    <definedName name="vcPSFOptions4">#REF!</definedName>
    <definedName name="vcValueFinalScen">#REF!</definedName>
    <definedName name="Year_Blt.">[2]Inputs!$C$156</definedName>
    <definedName name="Year_Reno">[2]Inputs!$C$157</definedName>
    <definedName name="YOC">[2]Inputs!$C$156</definedName>
    <definedName name="_Hlk504124707" localSheetId="1">FE!#REF!</definedName>
    <definedName name="_xlnm.Print_Area" localSheetId="6">'Final Value'!$C$2:$F$33</definedName>
    <definedName name="ArrTot" localSheetId="11">[5]Assumptions!$F$9:$G$21</definedName>
    <definedName name="caLandValueRNDPresent" localSheetId="11">#REF!</definedName>
    <definedName name="caRCN" localSheetId="11">'[8]Cost Analysis Estimated Costs'!$G$33</definedName>
    <definedName name="caRCNDeprec" localSheetId="11">'[8]Cost Analysis Estimated Costs'!$G$56</definedName>
    <definedName name="iaBOIRate" localSheetId="11">'[8]Cap Rate'!#REF!</definedName>
    <definedName name="iaIntRateBase" localSheetId="11">'[8]Cap Rate'!#REF!</definedName>
    <definedName name="iaLoanAmo" localSheetId="11">'[8]Cap Rate'!#REF!</definedName>
    <definedName name="iaLoanMtgConstant" localSheetId="11">'[8]Cap Rate'!#REF!</definedName>
    <definedName name="iaLoanTV" localSheetId="11">'[8]Cap Rate'!#REF!</definedName>
    <definedName name="iaOARBrokers" localSheetId="11">'[8]Cap Rate'!$AI$72</definedName>
    <definedName name="iaOARDCR" localSheetId="11">'[8]Cap Rate'!$AC$64</definedName>
    <definedName name="iaProjMgmtPct" localSheetId="11">[8]PF!#REF!</definedName>
    <definedName name="iaValueDirectCapRNDPresent" localSheetId="11">#REF!</definedName>
    <definedName name="iaValueYieldCapRNDPresent" localSheetId="11">#REF!</definedName>
    <definedName name="OARSpread" localSheetId="11">#REF!</definedName>
    <definedName name="QualArray" localSheetId="11">[5]Assumptions!$E$9:$F$21</definedName>
    <definedName name="saValueComparisonRNDPresent" localSheetId="11">#REF!</definedName>
    <definedName name="vcPSFOptions" localSheetId="11">#REF!</definedName>
    <definedName name="vcPSFOptions1" localSheetId="11">#REF!</definedName>
    <definedName name="vcPSFOptions2" localSheetId="11">#REF!</definedName>
    <definedName name="vcPSFOptions3" localSheetId="11">#REF!</definedName>
    <definedName name="vcPSFOptions4" localSheetId="11">#REF!</definedName>
    <definedName name="vcValueFinalScen" localSheetId="11">#REF!</definedName>
    <definedName name="_xlnm._FilterDatabase" localSheetId="11" hidden="1">'Export030823'!$B$1:$X$5</definedName>
    <definedName name="iaBOIRate" localSheetId="12">'[12]Cap Rate'!#REF!</definedName>
    <definedName name="iaIntRateBase" localSheetId="12">'[12]Cap Rate'!#REF!</definedName>
    <definedName name="iaLoanAmo" localSheetId="12">'[12]Cap Rate'!#REF!</definedName>
    <definedName name="iaLoanMtgConstant" localSheetId="12">'[12]Cap Rate'!#REF!</definedName>
    <definedName name="iaLoanTV" localSheetId="12">'[12]Cap Rate'!#REF!</definedName>
    <definedName name="iaOARBrokers" localSheetId="12">'[12]Cap Rate'!$AI$72</definedName>
    <definedName name="iaOARDCR" localSheetId="12">'[12]Cap Rate'!$AC$64</definedName>
    <definedName name="iaProjMgmtPct" localSheetId="12">[12]PF!#REF!</definedName>
    <definedName name="vcPSFOptions" localSheetId="12">#REF!</definedName>
    <definedName name="vcPSFOptions1" localSheetId="12">#REF!</definedName>
    <definedName name="vcPSFOptions2" localSheetId="12">#REF!</definedName>
    <definedName name="_xlnm.Print_Area" localSheetId="12">'Basic Sales Grid'!$B$1:$I$36</definedName>
  </definedNames>
  <calcPr calcId="191029" fullCalcOnLoad="1"/>
</workbook>
</file>

<file path=xl/styles.xml><?xml version="1.0" encoding="utf-8"?>
<styleSheet xmlns="http://schemas.openxmlformats.org/spreadsheetml/2006/main">
  <numFmts count="40">
    <numFmt numFmtId="164" formatCode="&quot;$&quot;#,##0.00_);[Red]\(&quot;$&quot;#,##0.00\)"/>
    <numFmt numFmtId="165" formatCode="&quot;$&quot;#,##0_);\(&quot;$&quot;#,##0\)"/>
    <numFmt numFmtId="166" formatCode="_(&quot;$&quot;* #,##0.00_);_(&quot;$&quot;* \(#,##0.00\);_(&quot;$&quot;* &quot;-&quot;??_);_(@_)"/>
    <numFmt numFmtId="167" formatCode="&quot;$&quot;#,##0.00"/>
    <numFmt numFmtId="168" formatCode="_(* #,##0_);_(* \(#,##0\);_(* &quot;-&quot;??_);_(@_)"/>
    <numFmt numFmtId="169" formatCode="&quot;$&quot;#,##0"/>
    <numFmt numFmtId="170" formatCode="&quot;$&quot;#,##0.00_);\(&quot;$&quot;#,##0.00\)"/>
    <numFmt numFmtId="171" formatCode="0.0%"/>
    <numFmt numFmtId="172" formatCode="_(* #,##0.00_);_(* \(#,##0.00\);_(* &quot;-&quot;_);_(@_)"/>
    <numFmt numFmtId="173" formatCode="#,##0.00;;\-"/>
    <numFmt numFmtId="174" formatCode="&quot;Rounded to nearest &quot;\ &quot;$&quot;#,###"/>
    <numFmt numFmtId="175" formatCode="&quot;Based on Low-Range of&quot;\ 0.00%"/>
    <numFmt numFmtId="176" formatCode="&quot;Based on Most Probable Rate of &quot;0.00%"/>
    <numFmt numFmtId="177" formatCode="&quot;Based on High-Range of&quot;\ 0.00%"/>
    <numFmt numFmtId="178" formatCode="&quot;Sensitivity Analysis (&quot;0.00%\ &quot;OAR Spread)&quot;"/>
    <numFmt numFmtId="179" formatCode="[$-409]mmmm\ d\,\ yyyy;@"/>
    <numFmt numFmtId="180" formatCode="[$-409]mmm\-yy;@"/>
    <numFmt numFmtId="181" formatCode="_(&quot;$&quot;* #,##0_);_(&quot;$&quot;* \(#,##0\);_(&quot;$&quot;* &quot;-&quot;??_);_(@_)"/>
    <numFmt numFmtId="182" formatCode="_(* #,##0.000_);_(* \(#,##0.000\);_(* &quot;-&quot;??_);_(@_)"/>
    <numFmt numFmtId="183" formatCode="&quot;x  &quot;#,##0.000_)"/>
    <numFmt numFmtId="184" formatCode="0_);\(0\)"/>
    <numFmt numFmtId="185" formatCode="&quot;Page: &quot;0"/>
    <numFmt numFmtId="186" formatCode="#,##0%"/>
    <numFmt numFmtId="187" formatCode="\$#,##0.00_);[Red]\(\$#,##0.00\)"/>
    <numFmt numFmtId="188" formatCode="\$#,##0"/>
    <numFmt numFmtId="189" formatCode="\$#,##0.00"/>
    <numFmt numFmtId="190" formatCode="#,##0.00%"/>
    <numFmt numFmtId="191" formatCode="#,##0\ &quot;square feet&quot;"/>
    <numFmt numFmtId="192" formatCode="#,##0.00\ &quot;square feet&quot;"/>
    <numFmt numFmtId="193" formatCode="&quot;$&quot;#,##0_);[Red]\(&quot;$&quot;#,##0\)"/>
    <numFmt numFmtId="194" formatCode="&quot;x  &quot;#,##0_)"/>
    <numFmt numFmtId="195" formatCode="&quot;(&quot;#,##0.00\ &quot;acres)&quot;"/>
    <numFmt numFmtId="196" formatCode="0\ &quot;months&quot;"/>
    <numFmt numFmtId="197" formatCode="&quot;$&quot;#,##0.00\ &quot;Per Square Foot&quot;"/>
    <numFmt numFmtId="198" formatCode="0.000"/>
    <numFmt numFmtId="199" formatCode="&quot;$&quot;#,##0;\(&quot;$&quot;#,##0\);&quot;-&quot;"/>
    <numFmt numFmtId="200" formatCode="0\ &quot;years &quot;"/>
    <numFmt numFmtId="201" formatCode="0.00\ &quot;: 1&quot;"/>
    <numFmt numFmtId="202" formatCode="0.00_);\(0.00\)"/>
    <numFmt numFmtId="203" formatCode="#,##0;;\-"/>
  </numFmts>
  <fonts count="88">
    <font>
      <name val="Calibri"/>
      <family val="2"/>
      <color theme="1"/>
      <sz val="11"/>
      <scheme val="minor"/>
    </font>
    <font>
      <name val="Calibri"/>
      <family val="2"/>
      <color theme="1"/>
      <sz val="11"/>
      <scheme val="minor"/>
    </font>
    <font>
      <name val="Calibri"/>
      <family val="2"/>
      <b val="1"/>
      <color rgb="FFFFFFFF"/>
      <sz val="10"/>
      <scheme val="minor"/>
    </font>
    <font>
      <name val="Calibri"/>
      <family val="2"/>
      <b val="1"/>
      <sz val="10"/>
      <scheme val="minor"/>
    </font>
    <font>
      <name val="Calibri"/>
      <family val="2"/>
      <sz val="9"/>
      <scheme val="minor"/>
    </font>
    <font>
      <name val="Calibri"/>
      <family val="2"/>
      <b val="1"/>
      <color theme="1"/>
      <sz val="11"/>
      <scheme val="minor"/>
    </font>
    <font>
      <name val="Calibri"/>
      <family val="2"/>
      <b val="1"/>
      <color theme="0"/>
      <sz val="9"/>
      <scheme val="minor"/>
    </font>
    <font>
      <name val="Calibri"/>
      <family val="2"/>
      <b val="1"/>
      <sz val="9"/>
      <scheme val="minor"/>
    </font>
    <font>
      <name val="Calibri"/>
      <family val="2"/>
      <b val="1"/>
      <color theme="0"/>
      <sz val="10"/>
      <scheme val="minor"/>
    </font>
    <font>
      <name val="Calibri"/>
      <family val="2"/>
      <color theme="1"/>
      <sz val="9"/>
      <scheme val="minor"/>
    </font>
    <font>
      <name val="Calibri"/>
      <family val="2"/>
      <b val="1"/>
      <color theme="1"/>
      <sz val="8"/>
    </font>
    <font>
      <name val="Calibri"/>
      <family val="2"/>
      <b val="1"/>
      <sz val="8"/>
    </font>
    <font>
      <name val="Calibri"/>
      <family val="2"/>
      <color theme="1"/>
      <sz val="8"/>
      <scheme val="minor"/>
    </font>
    <font>
      <name val="Calibri"/>
      <family val="2"/>
      <color theme="1"/>
      <sz val="10"/>
      <scheme val="minor"/>
    </font>
    <font>
      <name val="Calibri"/>
      <family val="2"/>
      <color indexed="12"/>
      <sz val="10"/>
      <scheme val="minor"/>
    </font>
    <font>
      <name val="Calibri"/>
      <family val="2"/>
      <b val="1"/>
      <sz val="9"/>
    </font>
    <font>
      <name val="Calibri"/>
      <family val="2"/>
      <b val="1"/>
      <color theme="1"/>
      <sz val="9"/>
      <scheme val="minor"/>
    </font>
    <font>
      <name val="Calibri"/>
      <family val="2"/>
      <color indexed="8"/>
      <sz val="9"/>
      <scheme val="minor"/>
    </font>
    <font>
      <name val="Calibri"/>
      <family val="2"/>
      <sz val="9"/>
    </font>
    <font>
      <name val="Calibri"/>
      <family val="2"/>
      <b val="1"/>
      <color indexed="8"/>
      <sz val="9"/>
      <scheme val="minor"/>
    </font>
    <font>
      <name val="Calibri"/>
      <family val="2"/>
      <b val="1"/>
      <color indexed="9"/>
      <sz val="10"/>
      <scheme val="minor"/>
    </font>
    <font>
      <name val="Calibri"/>
      <family val="2"/>
      <b val="1"/>
      <color indexed="9"/>
      <sz val="11"/>
      <scheme val="minor"/>
    </font>
    <font>
      <name val="Calibri"/>
      <family val="2"/>
      <color theme="0"/>
      <sz val="9"/>
      <scheme val="minor"/>
    </font>
    <font>
      <name val="Calibri"/>
      <family val="2"/>
      <sz val="10"/>
      <scheme val="minor"/>
    </font>
    <font>
      <name val="Calibri"/>
      <family val="2"/>
      <color indexed="12"/>
      <sz val="9"/>
      <scheme val="minor"/>
    </font>
    <font>
      <name val="Calibri"/>
      <family val="2"/>
      <b val="1"/>
      <color indexed="9"/>
      <sz val="9"/>
      <scheme val="minor"/>
    </font>
    <font>
      <name val="Calibri"/>
      <family val="2"/>
      <b val="1"/>
      <color indexed="12"/>
      <sz val="9"/>
      <scheme val="minor"/>
    </font>
    <font>
      <name val="Franklin Gothic Demi"/>
      <family val="2"/>
      <sz val="10"/>
    </font>
    <font>
      <name val="Verdana"/>
      <family val="2"/>
      <b val="1"/>
      <sz val="9"/>
    </font>
    <font>
      <name val="Calibri"/>
      <family val="2"/>
      <i val="1"/>
      <color theme="1"/>
      <sz val="11"/>
      <scheme val="minor"/>
    </font>
    <font>
      <name val="Calibri"/>
      <family val="2"/>
      <b val="1"/>
      <color theme="0" tint="-0.0499893185216834"/>
      <sz val="10"/>
      <scheme val="minor"/>
    </font>
    <font>
      <name val="Calibri"/>
      <family val="2"/>
      <color theme="0"/>
      <sz val="11"/>
      <scheme val="minor"/>
    </font>
    <font>
      <name val="Calibri"/>
      <family val="2"/>
      <sz val="11"/>
      <scheme val="minor"/>
    </font>
    <font>
      <name val="Calibri"/>
      <family val="2"/>
      <b val="1"/>
      <color rgb="FF0070C0"/>
      <sz val="9"/>
    </font>
    <font>
      <name val="Calibri"/>
      <family val="2"/>
      <b val="1"/>
      <sz val="11"/>
      <scheme val="minor"/>
    </font>
    <font>
      <name val="Calibri"/>
      <family val="2"/>
      <b val="1"/>
      <i val="1"/>
      <sz val="9"/>
      <scheme val="minor"/>
    </font>
    <font>
      <name val="Calibri"/>
      <family val="2"/>
      <sz val="11"/>
      <u val="singleAccounting"/>
      <scheme val="minor"/>
    </font>
    <font>
      <name val="Calibri"/>
      <family val="2"/>
      <b val="1"/>
      <i val="1"/>
      <sz val="11"/>
      <scheme val="minor"/>
    </font>
    <font>
      <name val="Calibri"/>
      <family val="2"/>
      <color rgb="FF0000FF"/>
      <sz val="9"/>
      <scheme val="minor"/>
    </font>
    <font>
      <name val="Calibri"/>
      <family val="2"/>
      <b val="1"/>
      <color theme="0"/>
      <sz val="11"/>
      <scheme val="minor"/>
    </font>
    <font>
      <name val="Calibri"/>
      <family val="2"/>
      <b val="1"/>
      <color rgb="FFFFFFFF"/>
      <sz val="11"/>
    </font>
    <font>
      <name val="Calibri"/>
      <family val="2"/>
      <color theme="1"/>
      <sz val="11"/>
    </font>
    <font>
      <name val="Calibri"/>
      <family val="2"/>
      <b val="1"/>
      <color theme="0"/>
      <sz val="11"/>
    </font>
    <font>
      <name val="Calibri"/>
      <family val="2"/>
      <b val="1"/>
      <color theme="1"/>
      <sz val="11"/>
    </font>
    <font>
      <name val="Calibri"/>
      <family val="2"/>
      <b val="1"/>
      <sz val="11"/>
    </font>
    <font>
      <name val="Calibri"/>
      <family val="2"/>
      <b val="1"/>
      <color theme="0" tint="-0.0499893185216834"/>
      <sz val="11"/>
      <scheme val="minor"/>
    </font>
    <font>
      <name val="Calibri"/>
      <family val="2"/>
      <b val="1"/>
      <color rgb="FFFF0000"/>
      <sz val="11"/>
      <scheme val="minor"/>
    </font>
    <font>
      <name val="Calibri"/>
      <family val="2"/>
      <color indexed="8"/>
      <sz val="11"/>
      <scheme val="minor"/>
    </font>
    <font>
      <name val="Calibri"/>
      <family val="2"/>
      <sz val="11"/>
    </font>
    <font>
      <name val="Calibri"/>
      <family val="2"/>
      <color indexed="8"/>
      <sz val="11"/>
    </font>
    <font>
      <name val="Calibri"/>
      <family val="2"/>
      <b val="1"/>
      <color indexed="8"/>
      <sz val="11"/>
      <scheme val="minor"/>
    </font>
    <font>
      <name val="Calibri"/>
      <family val="2"/>
      <b val="1"/>
      <color indexed="12"/>
      <sz val="11"/>
    </font>
    <font>
      <name val="Calibri"/>
      <family val="2"/>
      <b val="1"/>
      <color indexed="8"/>
      <sz val="11"/>
    </font>
    <font>
      <name val="Calibri"/>
      <family val="2"/>
      <color indexed="12"/>
      <sz val="11"/>
    </font>
    <font>
      <name val="Calibri"/>
      <family val="2"/>
      <i val="1"/>
      <color indexed="8"/>
      <sz val="11"/>
      <scheme val="minor"/>
    </font>
    <font>
      <name val="Calibri"/>
      <family val="2"/>
      <b val="1"/>
      <color indexed="9"/>
      <sz val="11"/>
    </font>
    <font>
      <name val="Calibri"/>
      <family val="2"/>
      <i val="1"/>
      <color indexed="8"/>
      <sz val="11"/>
    </font>
    <font>
      <name val="Calibri"/>
      <family val="2"/>
      <i val="1"/>
      <sz val="11"/>
    </font>
    <font>
      <name val="Calibri"/>
      <family val="2"/>
      <b val="1"/>
      <color rgb="FFFFFFFF"/>
      <sz val="11"/>
      <scheme val="minor"/>
    </font>
    <font>
      <name val="Calibri"/>
      <family val="2"/>
      <color rgb="FF000000"/>
      <sz val="11"/>
      <scheme val="minor"/>
    </font>
    <font>
      <name val="Calibri"/>
      <family val="2"/>
      <b val="1"/>
      <color rgb="FF000000"/>
      <sz val="11"/>
      <scheme val="minor"/>
    </font>
    <font>
      <name val="Arial"/>
      <family val="2"/>
      <color indexed="8"/>
      <sz val="11"/>
    </font>
    <font>
      <name val="Calibri"/>
      <family val="2"/>
      <i val="1"/>
      <sz val="11"/>
      <scheme val="minor"/>
    </font>
    <font>
      <name val="Calibri"/>
      <family val="2"/>
      <b val="1"/>
      <color theme="9" tint="0.3999755851924192"/>
      <sz val="11"/>
      <scheme val="minor"/>
    </font>
    <font>
      <name val="Wingdings"/>
      <charset val="2"/>
      <color theme="1"/>
      <sz val="11"/>
    </font>
    <font>
      <name val="Calibri"/>
      <family val="2"/>
      <b val="1"/>
      <sz val="11"/>
      <u val="single"/>
      <scheme val="minor"/>
    </font>
    <font>
      <name val="Arial"/>
      <family val="2"/>
      <sz val="10"/>
    </font>
    <font>
      <name val="Calibri"/>
      <family val="2"/>
      <b val="1"/>
      <color rgb="FF000000"/>
      <sz val="11"/>
    </font>
    <font>
      <name val="Calibri"/>
      <family val="2"/>
      <color rgb="FF000000"/>
      <sz val="11"/>
    </font>
    <font>
      <name val="Calibri"/>
      <family val="2"/>
      <color theme="0" tint="-0.249977111117893"/>
      <sz val="11"/>
      <scheme val="minor"/>
    </font>
    <font>
      <name val="Calibri"/>
      <family val="2"/>
      <color rgb="FF333333"/>
      <sz val="11"/>
    </font>
    <font>
      <name val="Calibri"/>
      <color theme="1"/>
      <sz val="11"/>
      <scheme val="minor"/>
    </font>
    <font>
      <name val="Calibri"/>
      <family val="2"/>
      <i val="1"/>
      <color theme="1"/>
      <sz val="9"/>
      <scheme val="minor"/>
    </font>
    <font>
      <name val="Calibri"/>
      <family val="2"/>
      <b val="1"/>
      <sz val="10"/>
    </font>
    <font>
      <name val="Calibri"/>
      <family val="2"/>
      <b val="1"/>
      <i val="1"/>
      <sz val="10"/>
    </font>
    <font>
      <name val="Arial"/>
      <family val="2"/>
      <color theme="0" tint="-0.249977111117893"/>
      <sz val="10"/>
    </font>
    <font>
      <name val="Calibri"/>
      <family val="2"/>
      <b val="1"/>
      <color rgb="FFFFFFFF"/>
      <sz val="13"/>
      <scheme val="minor"/>
    </font>
    <font>
      <name val="Calibri"/>
      <family val="2"/>
      <i val="1"/>
      <color rgb="FFFF0000"/>
      <sz val="11"/>
      <scheme val="minor"/>
    </font>
    <font>
      <name val="Calibri"/>
      <family val="2"/>
      <b val="1"/>
      <i val="1"/>
      <color rgb="FFFFFFFF"/>
      <sz val="11"/>
      <scheme val="minor"/>
    </font>
    <font>
      <name val="Arial"/>
      <b val="1"/>
      <color rgb="FF000000"/>
      <sz val="10"/>
    </font>
    <font>
      <name val="Arial"/>
      <color rgb="FF0000FF"/>
      <sz val="10"/>
    </font>
    <font>
      <name val="Arial"/>
      <color rgb="FF000000"/>
      <sz val="10"/>
    </font>
    <font>
      <name val="Calibri"/>
      <b val="1"/>
      <color rgb="00FFFFFF"/>
      <sz val="16"/>
    </font>
    <font>
      <name val="Calibri"/>
      <b val="1"/>
      <color rgb="00C9A227"/>
      <sz val="11"/>
    </font>
    <font>
      <name val="Calibri"/>
      <i val="1"/>
      <color rgb="00555555"/>
      <sz val="9"/>
    </font>
    <font>
      <name val="Calibri"/>
      <b val="1"/>
      <color rgb="00FFFFFF"/>
      <sz val="10"/>
    </font>
    <font>
      <name val="Calibri"/>
      <color rgb="001155CC"/>
      <sz val="9"/>
      <u val="single"/>
    </font>
    <font>
      <name val="Calibri"/>
      <sz val="9"/>
    </font>
  </fonts>
  <fills count="30">
    <fill>
      <patternFill/>
    </fill>
    <fill>
      <patternFill patternType="gray125"/>
    </fill>
    <fill>
      <patternFill patternType="solid">
        <fgColor rgb="FF125370"/>
        <bgColor indexed="64"/>
      </patternFill>
    </fill>
    <fill>
      <patternFill patternType="solid">
        <fgColor theme="0" tint="-0.1499984740745262"/>
        <bgColor indexed="64"/>
      </patternFill>
    </fill>
    <fill>
      <patternFill patternType="solid">
        <fgColor rgb="FF337AB7"/>
        <bgColor indexed="64"/>
      </patternFill>
    </fill>
    <fill>
      <patternFill patternType="solid">
        <fgColor rgb="FFFFFF00"/>
        <bgColor indexed="64"/>
      </patternFill>
    </fill>
    <fill>
      <patternFill patternType="solid">
        <fgColor theme="0"/>
        <bgColor indexed="64"/>
      </patternFill>
    </fill>
    <fill>
      <patternFill patternType="solid">
        <fgColor indexed="47"/>
        <bgColor indexed="64"/>
      </patternFill>
    </fill>
    <fill>
      <patternFill patternType="solid">
        <fgColor theme="0" tint="-0.1499374370555742"/>
        <bgColor indexed="64"/>
      </patternFill>
    </fill>
    <fill>
      <patternFill patternType="solid">
        <fgColor rgb="FF808080"/>
        <bgColor indexed="64"/>
      </patternFill>
    </fill>
    <fill>
      <patternFill patternType="solid">
        <fgColor rgb="FFFFFFFF"/>
        <bgColor indexed="64"/>
      </patternFill>
    </fill>
    <fill>
      <patternFill patternType="solid">
        <fgColor rgb="FFD9D9D9"/>
        <bgColor indexed="64"/>
      </patternFill>
    </fill>
    <fill>
      <patternFill patternType="solid">
        <fgColor rgb="FF000000"/>
        <bgColor indexed="64"/>
      </patternFill>
    </fill>
    <fill>
      <patternFill patternType="solid">
        <fgColor theme="0"/>
        <bgColor theme="4"/>
      </patternFill>
    </fill>
    <fill>
      <patternFill patternType="solid">
        <fgColor theme="7" tint="0.7999816888943144"/>
        <bgColor indexed="64"/>
      </patternFill>
    </fill>
    <fill>
      <patternFill patternType="solid">
        <fgColor theme="0" tint="-0.499984740745262"/>
        <bgColor indexed="64"/>
      </patternFill>
    </fill>
    <fill>
      <patternFill patternType="solid">
        <fgColor rgb="FF005710"/>
        <bgColor indexed="64"/>
      </patternFill>
    </fill>
    <fill>
      <patternFill patternType="solid">
        <fgColor theme="1" tint="0.499984740745262"/>
        <bgColor indexed="64"/>
      </patternFill>
    </fill>
    <fill>
      <patternFill patternType="solid">
        <fgColor theme="9" tint="0.3999755851924192"/>
        <bgColor theme="4"/>
      </patternFill>
    </fill>
    <fill>
      <patternFill patternType="solid">
        <fgColor theme="2" tint="-0.499984740745262"/>
        <bgColor indexed="64"/>
      </patternFill>
    </fill>
    <fill>
      <patternFill patternType="solid">
        <fgColor rgb="FF005710"/>
        <bgColor rgb="FF000000"/>
      </patternFill>
    </fill>
    <fill>
      <patternFill patternType="solid">
        <fgColor theme="2" tint="-0.499984740745262"/>
        <bgColor rgb="FF000000"/>
      </patternFill>
    </fill>
    <fill>
      <patternFill patternType="solid">
        <fgColor theme="0" tint="-0.0499893185216834"/>
        <bgColor indexed="64"/>
      </patternFill>
    </fill>
    <fill>
      <patternFill patternType="solid">
        <fgColor rgb="FFFFFFCC"/>
        <bgColor indexed="64"/>
      </patternFill>
    </fill>
    <fill>
      <patternFill patternType="solid">
        <fgColor rgb="FFD3D3D3"/>
        <bgColor indexed="64"/>
      </patternFill>
    </fill>
    <fill>
      <patternFill patternType="solid">
        <fgColor rgb="002D4059"/>
      </patternFill>
    </fill>
    <fill>
      <patternFill patternType="solid">
        <fgColor rgb="001F3864"/>
      </patternFill>
    </fill>
    <fill>
      <patternFill patternType="solid">
        <fgColor rgb="00F0F4FA"/>
      </patternFill>
    </fill>
    <fill>
      <patternFill patternType="solid">
        <fgColor rgb="00F5F7FA"/>
      </patternFill>
    </fill>
    <fill>
      <patternFill patternType="solid">
        <fgColor rgb="00FFFFFF"/>
      </patternFill>
    </fill>
  </fills>
  <borders count="83">
    <border>
      <left/>
      <right/>
      <top/>
      <bottom/>
      <diagonal/>
    </border>
    <border>
      <left/>
      <right/>
      <top/>
      <bottom style="thin">
        <color auto="1"/>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0" tint="-0.249946592608417"/>
      </top>
      <bottom/>
      <diagonal/>
    </border>
    <border>
      <left/>
      <right/>
      <top style="thin">
        <color theme="1"/>
      </top>
      <bottom/>
      <diagonal/>
    </border>
    <border>
      <left/>
      <right/>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hair">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theme="0" tint="-0.1499374370555742"/>
      </top>
      <bottom style="thin">
        <color theme="0" tint="-0.1499374370555742"/>
      </bottom>
      <diagonal/>
    </border>
    <border>
      <left style="thin">
        <color indexed="64"/>
      </left>
      <right style="hair">
        <color indexed="64"/>
      </right>
      <top/>
      <bottom style="thin">
        <color indexed="64"/>
      </bottom>
      <diagonal/>
    </border>
    <border>
      <left style="thin">
        <color indexed="64"/>
      </left>
      <right style="thin">
        <color indexed="64"/>
      </right>
      <top/>
      <bottom style="thin">
        <color indexed="64"/>
      </bottom>
      <diagonal/>
    </border>
    <border>
      <left/>
      <right/>
      <top style="thin">
        <color theme="0" tint="-0.1499374370555742"/>
      </top>
      <bottom style="thin">
        <color theme="0" tint="-0.1499374370555742"/>
      </bottom>
      <diagonal/>
    </border>
    <border>
      <left/>
      <right/>
      <top style="thin">
        <color theme="1"/>
      </top>
      <bottom style="thin">
        <color theme="1"/>
      </bottom>
      <diagonal/>
    </border>
    <border>
      <left style="double">
        <color indexed="64"/>
      </left>
      <right/>
      <top/>
      <bottom style="medium">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theme="1"/>
      </top>
      <bottom/>
      <diagonal/>
    </border>
    <border>
      <left style="thin">
        <color indexed="64"/>
      </left>
      <right/>
      <top style="thin">
        <color theme="1"/>
      </top>
      <bottom style="thin">
        <color theme="1"/>
      </bottom>
      <diagonal/>
    </border>
    <border>
      <left/>
      <right style="thin">
        <color auto="1"/>
      </right>
      <top style="thin">
        <color auto="1"/>
      </top>
      <bottom/>
      <diagonal/>
    </border>
    <border>
      <left/>
      <right style="thin">
        <color indexed="64"/>
      </right>
      <top style="thin">
        <color theme="1"/>
      </top>
      <bottom/>
      <diagonal/>
    </border>
    <border>
      <left/>
      <right style="thin">
        <color indexed="64"/>
      </right>
      <top style="thin">
        <color theme="1"/>
      </top>
      <bottom style="thin">
        <color theme="1"/>
      </bottom>
      <diagonal/>
    </border>
    <border>
      <left/>
      <right style="thin">
        <color indexed="64"/>
      </right>
      <top style="thin">
        <color theme="1"/>
      </top>
      <bottom style="thin">
        <color indexed="64"/>
      </bottom>
      <diagonal/>
    </border>
    <border>
      <left style="thin">
        <color indexed="64"/>
      </left>
      <right/>
      <top/>
      <bottom style="thin">
        <color theme="1"/>
      </bottom>
      <diagonal/>
    </border>
    <border>
      <left/>
      <right style="thin">
        <color indexed="64"/>
      </right>
      <top/>
      <bottom style="thin">
        <color theme="1"/>
      </bottom>
      <diagonal/>
    </border>
    <border>
      <left style="thin">
        <color indexed="64"/>
      </left>
      <right/>
      <top style="thin">
        <color indexed="64"/>
      </top>
      <bottom style="thin">
        <color theme="0" tint="-0.249946592608417"/>
      </bottom>
      <diagonal/>
    </border>
    <border>
      <left/>
      <right/>
      <top style="thin">
        <color indexed="64"/>
      </top>
      <bottom style="thin">
        <color theme="0" tint="-0.249946592608417"/>
      </bottom>
      <diagonal/>
    </border>
    <border>
      <left/>
      <right style="thin">
        <color indexed="64"/>
      </right>
      <top style="thin">
        <color indexed="64"/>
      </top>
      <bottom style="thin">
        <color theme="0" tint="-0.249946592608417"/>
      </bottom>
      <diagonal/>
    </border>
    <border>
      <left style="thin">
        <color indexed="64"/>
      </left>
      <right/>
      <top style="thin">
        <color indexed="64"/>
      </top>
      <bottom style="thin">
        <color theme="1"/>
      </bottom>
      <diagonal/>
    </border>
    <border>
      <left/>
      <right style="thin">
        <color theme="0" tint="-0.1499374370555742"/>
      </right>
      <top/>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style="thin">
        <color theme="0" tint="-0.249946592608417"/>
      </top>
      <bottom style="thin">
        <color indexed="64"/>
      </bottom>
      <diagonal/>
    </border>
    <border>
      <left style="thin">
        <color indexed="64"/>
      </left>
      <right/>
      <top/>
      <bottom style="thin">
        <color theme="0" tint="-0.249946592608417"/>
      </bottom>
      <diagonal/>
    </border>
    <border>
      <left style="thin">
        <color indexed="64"/>
      </left>
      <right/>
      <top style="thin">
        <color theme="0" tint="-0.249946592608417"/>
      </top>
      <bottom style="thin">
        <color theme="0" tint="-0.249946592608417"/>
      </bottom>
      <diagonal/>
    </border>
    <border>
      <left style="thin">
        <color indexed="64"/>
      </left>
      <right/>
      <top style="thin">
        <color theme="0" tint="-0.249946592608417"/>
      </top>
      <bottom style="thin">
        <color indexed="64"/>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right style="thin">
        <color indexed="64"/>
      </right>
      <top style="thin">
        <color theme="0" tint="-0.1499374370555742"/>
      </top>
      <bottom style="thin">
        <color theme="0" tint="-0.1499374370555742"/>
      </bottom>
      <diagonal/>
    </border>
    <border>
      <left style="thin">
        <color indexed="64"/>
      </left>
      <right style="thin">
        <color indexed="64"/>
      </right>
      <top style="thin">
        <color theme="0" tint="-0.1499374370555742"/>
      </top>
      <bottom/>
      <diagonal/>
    </border>
    <border>
      <left/>
      <right/>
      <top style="thin">
        <color theme="0" tint="-0.1499374370555742"/>
      </top>
      <bottom style="thin">
        <color theme="0" tint="-0.249946592608417"/>
      </bottom>
      <diagonal/>
    </border>
    <border>
      <left/>
      <right style="thin">
        <color indexed="64"/>
      </right>
      <top style="thin">
        <color theme="0" tint="-0.1499374370555742"/>
      </top>
      <bottom style="thin">
        <color theme="0" tint="-0.249946592608417"/>
      </bottom>
      <diagonal/>
    </border>
    <border>
      <left/>
      <right style="thin">
        <color indexed="64"/>
      </right>
      <top style="thin">
        <color theme="0" tint="-0.249946592608417"/>
      </top>
      <bottom/>
      <diagonal/>
    </border>
    <border>
      <left/>
      <right style="thin">
        <color indexed="64"/>
      </right>
      <top style="thin">
        <color theme="0" tint="-0.249946592608417"/>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theme="1"/>
      </top>
      <bottom style="thin">
        <color indexed="64"/>
      </bottom>
      <diagonal/>
    </border>
    <border>
      <left style="thin">
        <color indexed="64"/>
      </left>
      <right style="thin">
        <color indexed="64"/>
      </right>
      <top style="thin">
        <color theme="1"/>
      </top>
      <bottom/>
      <diagonal/>
    </border>
    <border>
      <left style="thin">
        <color indexed="64"/>
      </left>
      <right style="thin">
        <color indexed="64"/>
      </right>
      <top style="thin">
        <color theme="1"/>
      </top>
      <bottom style="thin">
        <color theme="1"/>
      </bottom>
      <diagonal/>
    </border>
    <border>
      <left/>
      <right/>
      <top/>
      <bottom style="thin">
        <color rgb="FF125370"/>
      </bottom>
      <diagonal/>
    </border>
    <border>
      <left/>
      <right/>
      <top style="thin">
        <color rgb="FF125370"/>
      </top>
      <bottom/>
      <diagonal/>
    </border>
    <border>
      <left style="thin">
        <color indexed="64"/>
      </left>
      <right style="thin">
        <color indexed="64"/>
      </right>
      <top style="thin">
        <color indexed="64"/>
      </top>
      <bottom style="thin">
        <color theme="0" tint="-0.1499374370555742"/>
      </bottom>
      <diagonal/>
    </border>
    <border>
      <left style="thin">
        <color indexed="64"/>
      </left>
      <right style="thin">
        <color indexed="64"/>
      </right>
      <top style="thin">
        <color theme="0" tint="-0.1499374370555742"/>
      </top>
      <bottom style="thin">
        <color theme="0" tint="-0.1499374370555742"/>
      </bottom>
      <diagonal/>
    </border>
    <border>
      <left style="thin">
        <color indexed="64"/>
      </left>
      <right style="thin">
        <color indexed="64"/>
      </right>
      <top style="thin">
        <color theme="0" tint="-0.1499374370555742"/>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theme="1"/>
      </bottom>
      <diagonal/>
    </border>
    <border>
      <left style="thin">
        <color indexed="64"/>
      </left>
      <right style="thin">
        <color auto="1"/>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indexed="64"/>
      </right>
      <top style="thin">
        <color indexed="64"/>
      </top>
      <bottom/>
      <diagonal/>
    </border>
    <border>
      <left/>
      <right/>
      <top style="thin">
        <color theme="0" tint="-0.1499374370555742"/>
      </top>
      <bottom/>
      <diagonal/>
    </border>
    <border>
      <left/>
      <right style="thin">
        <color indexed="64"/>
      </right>
      <top style="thin">
        <color theme="0" tint="-0.1499374370555742"/>
      </top>
      <bottom/>
      <diagonal/>
    </border>
    <border>
      <left style="thin">
        <color rgb="00C0C8D4"/>
      </left>
      <right style="thin">
        <color rgb="00C0C8D4"/>
      </right>
      <top style="thin">
        <color rgb="00C0C8D4"/>
      </top>
      <bottom style="thin">
        <color rgb="00C0C8D4"/>
      </bottom>
    </border>
  </borders>
  <cellStyleXfs count="15">
    <xf numFmtId="0" fontId="1" fillId="0" borderId="0"/>
    <xf numFmtId="0" fontId="1" fillId="0" borderId="0"/>
    <xf numFmtId="43" fontId="1" fillId="0" borderId="0"/>
    <xf numFmtId="44" fontId="1" fillId="0" borderId="0"/>
    <xf numFmtId="9" fontId="1" fillId="0" borderId="0"/>
    <xf numFmtId="0" fontId="27" fillId="7" borderId="25" applyAlignment="1">
      <alignment horizontal="centerContinuous"/>
    </xf>
    <xf numFmtId="0" fontId="28" fillId="7" borderId="26" applyAlignment="1">
      <alignment horizontal="centerContinuous" vertical="center"/>
    </xf>
    <xf numFmtId="0" fontId="28" fillId="7" borderId="27" applyAlignment="1">
      <alignment horizontal="center"/>
    </xf>
    <xf numFmtId="0" fontId="1" fillId="0" borderId="0"/>
    <xf numFmtId="0" fontId="1" fillId="0" borderId="0"/>
    <xf numFmtId="0" fontId="8" fillId="2" borderId="0" applyAlignment="1">
      <alignment horizontal="centerContinuous" vertical="center"/>
    </xf>
    <xf numFmtId="0" fontId="4" fillId="0" borderId="0" applyAlignment="1">
      <alignment horizontal="left" vertical="top" wrapText="1"/>
    </xf>
    <xf numFmtId="9" fontId="66" fillId="0" borderId="0"/>
    <xf numFmtId="0" fontId="71" fillId="0" borderId="0"/>
    <xf numFmtId="0" fontId="73" fillId="5" borderId="10" applyAlignment="1">
      <alignment horizontal="center" vertical="center" wrapText="1"/>
    </xf>
  </cellStyleXfs>
  <cellXfs count="2273">
    <xf numFmtId="0" fontId="0" fillId="0" borderId="0" pivotButton="0" quotePrefix="0" xfId="0"/>
    <xf numFmtId="0" fontId="6" fillId="4" borderId="0" pivotButton="0" quotePrefix="0" xfId="0"/>
    <xf numFmtId="0" fontId="4" fillId="0" borderId="0" pivotButton="0" quotePrefix="0" xfId="0"/>
    <xf numFmtId="0" fontId="7" fillId="0" borderId="0" pivotButton="0" quotePrefix="0" xfId="0"/>
    <xf numFmtId="0" fontId="9" fillId="0" borderId="0" applyAlignment="1" pivotButton="0" quotePrefix="0" xfId="0">
      <alignment wrapText="1"/>
    </xf>
    <xf numFmtId="0" fontId="5" fillId="0" borderId="0" pivotButton="0" quotePrefix="0" xfId="0"/>
    <xf numFmtId="0" fontId="11" fillId="0" borderId="0" applyAlignment="1" pivotButton="0" quotePrefix="0" xfId="0">
      <alignment horizontal="left" vertical="center" wrapText="1"/>
    </xf>
    <xf numFmtId="0" fontId="12" fillId="0" borderId="0" pivotButton="0" quotePrefix="0" xfId="0"/>
    <xf numFmtId="164" fontId="10" fillId="0" borderId="0" applyAlignment="1" pivotButton="0" quotePrefix="1" xfId="0">
      <alignment horizontal="center" vertical="top" wrapText="1"/>
    </xf>
    <xf numFmtId="164" fontId="10" fillId="0" borderId="0" applyAlignment="1" pivotButton="0" quotePrefix="0" xfId="0">
      <alignment horizontal="center" vertical="top" wrapText="1"/>
    </xf>
    <xf numFmtId="0" fontId="13" fillId="4" borderId="0" pivotButton="0" quotePrefix="0" xfId="0"/>
    <xf numFmtId="0" fontId="13" fillId="0" borderId="0" pivotButton="0" quotePrefix="0" xfId="0"/>
    <xf numFmtId="0" fontId="0" fillId="0" borderId="0" applyAlignment="1" pivotButton="0" quotePrefix="0" xfId="0">
      <alignment vertical="top"/>
    </xf>
    <xf numFmtId="0" fontId="17" fillId="0" borderId="0" applyAlignment="1" pivotButton="0" quotePrefix="0" xfId="0">
      <alignment horizontal="left"/>
    </xf>
    <xf numFmtId="0" fontId="17" fillId="0" borderId="1" pivotButton="0" quotePrefix="0" xfId="0"/>
    <xf numFmtId="164" fontId="0" fillId="0" borderId="0" pivotButton="0" quotePrefix="0" xfId="0"/>
    <xf numFmtId="0" fontId="6" fillId="4" borderId="0" applyAlignment="1" pivotButton="0" quotePrefix="0" xfId="0">
      <alignment horizontal="left" vertical="center"/>
    </xf>
    <xf numFmtId="0" fontId="6" fillId="4" borderId="0" applyAlignment="1" pivotButton="0" quotePrefix="0" xfId="0">
      <alignment horizontal="centerContinuous"/>
    </xf>
    <xf numFmtId="0" fontId="6" fillId="4" borderId="0" applyAlignment="1" pivotButton="0" quotePrefix="0" xfId="0">
      <alignment horizontal="centerContinuous" vertical="center"/>
    </xf>
    <xf numFmtId="0" fontId="8" fillId="4" borderId="0" applyAlignment="1" pivotButton="0" quotePrefix="0" xfId="0">
      <alignment horizontal="centerContinuous" vertical="center"/>
    </xf>
    <xf numFmtId="0" fontId="6" fillId="4" borderId="0" applyAlignment="1" pivotButton="0" quotePrefix="0" xfId="0">
      <alignment horizontal="center"/>
    </xf>
    <xf numFmtId="0" fontId="8" fillId="4" borderId="0" applyAlignment="1" pivotButton="0" quotePrefix="0" xfId="0">
      <alignment horizontal="centerContinuous"/>
    </xf>
    <xf numFmtId="0" fontId="8" fillId="4" borderId="0" applyAlignment="1" pivotButton="0" quotePrefix="0" xfId="0">
      <alignment horizontal="center"/>
    </xf>
    <xf numFmtId="0" fontId="4" fillId="0" borderId="0" applyAlignment="1" pivotButton="0" quotePrefix="0" xfId="0">
      <alignment horizontal="center"/>
    </xf>
    <xf numFmtId="0" fontId="4" fillId="0" borderId="0" applyAlignment="1" pivotButton="0" quotePrefix="0" xfId="0">
      <alignment horizontal="left" indent="1"/>
    </xf>
    <xf numFmtId="165" fontId="4" fillId="0" borderId="0" pivotButton="0" quotePrefix="0" xfId="3"/>
    <xf numFmtId="166" fontId="4" fillId="0" borderId="0" pivotButton="0" quotePrefix="0" xfId="3"/>
    <xf numFmtId="0" fontId="4" fillId="0" borderId="0" applyAlignment="1" pivotButton="0" quotePrefix="0" xfId="0">
      <alignment horizontal="right"/>
    </xf>
    <xf numFmtId="167" fontId="4" fillId="0" borderId="0" pivotButton="0" quotePrefix="0" xfId="0"/>
    <xf numFmtId="165" fontId="4" fillId="6" borderId="0" applyProtection="1" pivotButton="0" quotePrefix="0" xfId="3">
      <protection locked="0" hidden="0"/>
    </xf>
    <xf numFmtId="167" fontId="4" fillId="0" borderId="0" applyProtection="1" pivotButton="0" quotePrefix="0" xfId="0">
      <protection locked="0" hidden="0"/>
    </xf>
    <xf numFmtId="165" fontId="23" fillId="0" borderId="0" pivotButton="0" quotePrefix="0" xfId="0"/>
    <xf numFmtId="37" fontId="4" fillId="0" borderId="0" pivotButton="0" quotePrefix="0" xfId="3"/>
    <xf numFmtId="37" fontId="4" fillId="0" borderId="0" applyProtection="1" pivotButton="0" quotePrefix="0" xfId="3">
      <protection locked="0" hidden="0"/>
    </xf>
    <xf numFmtId="37" fontId="14" fillId="0" borderId="0" pivotButton="0" quotePrefix="0" xfId="0"/>
    <xf numFmtId="167" fontId="24" fillId="0" borderId="0" applyProtection="1" pivotButton="0" quotePrefix="0" xfId="0">
      <protection locked="0" hidden="0"/>
    </xf>
    <xf numFmtId="165" fontId="7" fillId="0" borderId="0" pivotButton="0" quotePrefix="0" xfId="3"/>
    <xf numFmtId="166" fontId="7" fillId="0" borderId="0" pivotButton="0" quotePrefix="0" xfId="3"/>
    <xf numFmtId="0" fontId="7" fillId="0" borderId="0" applyAlignment="1" pivotButton="0" quotePrefix="0" xfId="0">
      <alignment horizontal="right"/>
    </xf>
    <xf numFmtId="167" fontId="7" fillId="0" borderId="0" pivotButton="0" quotePrefix="0" xfId="0"/>
    <xf numFmtId="165" fontId="3" fillId="0" borderId="0" pivotButton="0" quotePrefix="0" xfId="0"/>
    <xf numFmtId="165" fontId="4" fillId="0" borderId="0" pivotButton="0" quotePrefix="0" xfId="0"/>
    <xf numFmtId="0" fontId="7" fillId="0" borderId="0" applyAlignment="1" pivotButton="0" quotePrefix="0" xfId="0">
      <alignment horizontal="left" indent="1"/>
    </xf>
    <xf numFmtId="37" fontId="23" fillId="0" borderId="0" pivotButton="0" quotePrefix="0" xfId="0"/>
    <xf numFmtId="165" fontId="4" fillId="4" borderId="0" pivotButton="0" quotePrefix="0" xfId="3"/>
    <xf numFmtId="0" fontId="4" fillId="4" borderId="0" applyAlignment="1" pivotButton="0" quotePrefix="0" xfId="0">
      <alignment horizontal="center"/>
    </xf>
    <xf numFmtId="167" fontId="4" fillId="4" borderId="0" pivotButton="0" quotePrefix="0" xfId="0"/>
    <xf numFmtId="0" fontId="23" fillId="4" borderId="0" pivotButton="0" quotePrefix="0" xfId="0"/>
    <xf numFmtId="168" fontId="4" fillId="0" borderId="0" pivotButton="0" quotePrefix="0" xfId="2"/>
    <xf numFmtId="169" fontId="4" fillId="0" borderId="0" pivotButton="0" quotePrefix="0" xfId="3"/>
    <xf numFmtId="168" fontId="4" fillId="0" borderId="0" pivotButton="0" quotePrefix="0" xfId="3"/>
    <xf numFmtId="168" fontId="4" fillId="4" borderId="0" pivotButton="0" quotePrefix="0" xfId="2"/>
    <xf numFmtId="37" fontId="4" fillId="4" borderId="0" applyProtection="1" pivotButton="0" quotePrefix="0" xfId="3">
      <protection locked="0" hidden="0"/>
    </xf>
    <xf numFmtId="167" fontId="24" fillId="4" borderId="0" applyProtection="1" pivotButton="0" quotePrefix="0" xfId="0">
      <protection locked="0" hidden="0"/>
    </xf>
    <xf numFmtId="37" fontId="23" fillId="4" borderId="0" pivotButton="0" quotePrefix="0" xfId="0"/>
    <xf numFmtId="165" fontId="14" fillId="0" borderId="0" pivotButton="0" quotePrefix="0" xfId="0"/>
    <xf numFmtId="169" fontId="4" fillId="0" borderId="0" pivotButton="0" quotePrefix="0" xfId="2"/>
    <xf numFmtId="169" fontId="24" fillId="0" borderId="0" pivotButton="0" quotePrefix="0" xfId="3"/>
    <xf numFmtId="167" fontId="23" fillId="0" borderId="0" pivotButton="0" quotePrefix="0" xfId="0"/>
    <xf numFmtId="165" fontId="7" fillId="0" borderId="0" applyAlignment="1" pivotButton="0" quotePrefix="0" xfId="3">
      <alignment horizontal="right"/>
    </xf>
    <xf numFmtId="169" fontId="26" fillId="0" borderId="0" pivotButton="0" quotePrefix="0" xfId="3"/>
    <xf numFmtId="0" fontId="7" fillId="0" borderId="0" applyAlignment="1" pivotButton="0" quotePrefix="0" xfId="0">
      <alignment horizontal="center"/>
    </xf>
    <xf numFmtId="167" fontId="3" fillId="0" borderId="0" pivotButton="0" quotePrefix="0" xfId="0"/>
    <xf numFmtId="165" fontId="7" fillId="0" borderId="9" pivotButton="0" quotePrefix="0" xfId="3"/>
    <xf numFmtId="0" fontId="7" fillId="0" borderId="9" applyAlignment="1" pivotButton="0" quotePrefix="0" xfId="0">
      <alignment horizontal="center"/>
    </xf>
    <xf numFmtId="167" fontId="7" fillId="0" borderId="9" pivotButton="0" quotePrefix="0" xfId="0"/>
    <xf numFmtId="165" fontId="3" fillId="0" borderId="9" pivotButton="0" quotePrefix="0" xfId="0"/>
    <xf numFmtId="3" fontId="0" fillId="0" borderId="0" pivotButton="0" quotePrefix="0" xfId="0"/>
    <xf numFmtId="170" fontId="4" fillId="0" borderId="0" pivotButton="0" quotePrefix="0" xfId="3"/>
    <xf numFmtId="0" fontId="8" fillId="4" borderId="0" applyAlignment="1" pivotButton="0" quotePrefix="0" xfId="0">
      <alignment horizontal="left"/>
    </xf>
    <xf numFmtId="0" fontId="4" fillId="0" borderId="0" applyAlignment="1" pivotButton="0" quotePrefix="0" xfId="5">
      <alignment horizontal="left"/>
    </xf>
    <xf numFmtId="0" fontId="24" fillId="0" borderId="0" applyAlignment="1" pivotButton="0" quotePrefix="0" xfId="5">
      <alignment horizontal="left"/>
    </xf>
    <xf numFmtId="0" fontId="24" fillId="0" borderId="14" applyAlignment="1" pivotButton="0" quotePrefix="0" xfId="5">
      <alignment horizontal="left"/>
    </xf>
    <xf numFmtId="3" fontId="24" fillId="0" borderId="0" applyAlignment="1" pivotButton="0" quotePrefix="0" xfId="5">
      <alignment horizontal="left"/>
    </xf>
    <xf numFmtId="3" fontId="24" fillId="0" borderId="14" applyAlignment="1" pivotButton="0" quotePrefix="0" xfId="5">
      <alignment horizontal="left"/>
    </xf>
    <xf numFmtId="0" fontId="4" fillId="0" borderId="14" pivotButton="0" quotePrefix="0" xfId="0"/>
    <xf numFmtId="41" fontId="4" fillId="0" borderId="2" pivotButton="0" quotePrefix="0" xfId="0"/>
    <xf numFmtId="41" fontId="4" fillId="0" borderId="0" pivotButton="0" quotePrefix="0" xfId="0"/>
    <xf numFmtId="169" fontId="7" fillId="0" borderId="9" pivotButton="0" quotePrefix="0" xfId="0"/>
    <xf numFmtId="0" fontId="4" fillId="0" borderId="9" pivotButton="0" quotePrefix="0" xfId="0"/>
    <xf numFmtId="0" fontId="9" fillId="0" borderId="2" applyAlignment="1" pivotButton="0" quotePrefix="0" xfId="5">
      <alignment horizontal="left"/>
    </xf>
    <xf numFmtId="0" fontId="4" fillId="0" borderId="1" applyAlignment="1" pivotButton="0" quotePrefix="0" xfId="5">
      <alignment horizontal="left"/>
    </xf>
    <xf numFmtId="9" fontId="9" fillId="0" borderId="3" applyAlignment="1" pivotButton="0" quotePrefix="0" xfId="4">
      <alignment horizontal="left"/>
    </xf>
    <xf numFmtId="0" fontId="24" fillId="0" borderId="1" applyAlignment="1" pivotButton="0" quotePrefix="0" xfId="5">
      <alignment horizontal="left"/>
    </xf>
    <xf numFmtId="0" fontId="24" fillId="0" borderId="4" applyAlignment="1" pivotButton="0" quotePrefix="0" xfId="5">
      <alignment horizontal="left"/>
    </xf>
    <xf numFmtId="0" fontId="7" fillId="3" borderId="9" pivotButton="0" quotePrefix="0" xfId="0"/>
    <xf numFmtId="165" fontId="7" fillId="3" borderId="9" pivotButton="0" quotePrefix="0" xfId="3"/>
    <xf numFmtId="166" fontId="7" fillId="3" borderId="9" pivotButton="0" quotePrefix="0" xfId="3"/>
    <xf numFmtId="0" fontId="7" fillId="3" borderId="9" applyAlignment="1" pivotButton="0" quotePrefix="0" xfId="0">
      <alignment horizontal="center"/>
    </xf>
    <xf numFmtId="167" fontId="7" fillId="3" borderId="9" pivotButton="0" quotePrefix="0" xfId="0"/>
    <xf numFmtId="170" fontId="7" fillId="3" borderId="9" pivotButton="0" quotePrefix="0" xfId="3"/>
    <xf numFmtId="165" fontId="9" fillId="0" borderId="2" pivotButton="0" quotePrefix="0" xfId="3"/>
    <xf numFmtId="166" fontId="9" fillId="0" borderId="0" pivotButton="0" quotePrefix="0" xfId="3"/>
    <xf numFmtId="0" fontId="9" fillId="0" borderId="0" pivotButton="0" quotePrefix="0" xfId="0"/>
    <xf numFmtId="0" fontId="20" fillId="4" borderId="0" applyAlignment="1" pivotButton="0" quotePrefix="0" xfId="7">
      <alignment horizontal="center"/>
    </xf>
    <xf numFmtId="0" fontId="20" fillId="4" borderId="0" applyAlignment="1" pivotButton="0" quotePrefix="0" xfId="7">
      <alignment horizontal="centerContinuous"/>
    </xf>
    <xf numFmtId="0" fontId="4" fillId="0" borderId="0" applyAlignment="1" pivotButton="0" quotePrefix="0" xfId="0">
      <alignment horizontal="left" vertical="center"/>
    </xf>
    <xf numFmtId="166" fontId="4" fillId="0" borderId="0" applyAlignment="1" pivotButton="0" quotePrefix="0" xfId="3">
      <alignment horizontal="center" vertical="center"/>
    </xf>
    <xf numFmtId="166" fontId="4" fillId="0" borderId="15" applyAlignment="1" pivotButton="0" quotePrefix="0" xfId="3">
      <alignment horizontal="center" vertical="center"/>
    </xf>
    <xf numFmtId="165" fontId="4" fillId="0" borderId="0" applyAlignment="1" pivotButton="0" quotePrefix="0" xfId="3">
      <alignment horizontal="center" vertical="center"/>
    </xf>
    <xf numFmtId="165" fontId="4" fillId="0" borderId="15" applyAlignment="1" pivotButton="0" quotePrefix="0" xfId="3">
      <alignment horizontal="center" vertical="center"/>
    </xf>
    <xf numFmtId="0" fontId="4" fillId="0" borderId="0" applyAlignment="1" pivotButton="0" quotePrefix="0" xfId="0">
      <alignment horizontal="center" vertical="center"/>
    </xf>
    <xf numFmtId="170" fontId="4" fillId="0" borderId="0" applyAlignment="1" pivotButton="0" quotePrefix="0" xfId="0">
      <alignment horizontal="center" vertical="center"/>
    </xf>
    <xf numFmtId="49" fontId="4" fillId="0" borderId="0" applyAlignment="1" pivotButton="0" quotePrefix="0" xfId="0">
      <alignment horizontal="left" vertical="center"/>
    </xf>
    <xf numFmtId="0" fontId="19" fillId="0" borderId="1" pivotButton="0" quotePrefix="0" xfId="0"/>
    <xf numFmtId="0" fontId="9" fillId="0" borderId="0" applyAlignment="1" pivotButton="0" quotePrefix="0" xfId="5">
      <alignment horizontal="left"/>
    </xf>
    <xf numFmtId="3" fontId="9" fillId="0" borderId="0" applyAlignment="1" pivotButton="0" quotePrefix="0" xfId="1">
      <alignment horizontal="left"/>
    </xf>
    <xf numFmtId="9" fontId="9" fillId="0" borderId="1" applyAlignment="1" pivotButton="0" quotePrefix="0" xfId="4">
      <alignment horizontal="left"/>
    </xf>
    <xf numFmtId="165" fontId="9" fillId="0" borderId="0" pivotButton="0" quotePrefix="0" xfId="3"/>
    <xf numFmtId="0" fontId="7" fillId="3" borderId="9" applyAlignment="1" pivotButton="0" quotePrefix="0" xfId="0">
      <alignment horizontal="left"/>
    </xf>
    <xf numFmtId="169" fontId="7" fillId="3" borderId="8" pivotButton="0" quotePrefix="0" xfId="0"/>
    <xf numFmtId="0" fontId="4" fillId="3" borderId="9" pivotButton="0" quotePrefix="0" xfId="0"/>
    <xf numFmtId="0" fontId="23" fillId="0" borderId="0" pivotButton="0" quotePrefix="0" xfId="0"/>
    <xf numFmtId="39" fontId="23" fillId="0" borderId="0" pivotButton="0" quotePrefix="0" xfId="0"/>
    <xf numFmtId="0" fontId="3" fillId="0" borderId="8" applyAlignment="1" pivotButton="0" quotePrefix="0" xfId="0">
      <alignment horizontal="center"/>
    </xf>
    <xf numFmtId="0" fontId="3" fillId="0" borderId="9" applyAlignment="1" pivotButton="0" quotePrefix="0" xfId="0">
      <alignment horizontal="center"/>
    </xf>
    <xf numFmtId="0" fontId="3" fillId="0" borderId="28" applyAlignment="1" pivotButton="0" quotePrefix="0" xfId="0">
      <alignment horizontal="center"/>
    </xf>
    <xf numFmtId="0" fontId="3" fillId="0" borderId="17" applyAlignment="1" pivotButton="0" quotePrefix="0" xfId="0">
      <alignment horizontal="center"/>
    </xf>
    <xf numFmtId="0" fontId="7" fillId="0" borderId="29" applyAlignment="1" pivotButton="0" quotePrefix="0" xfId="0">
      <alignment horizontal="center" vertical="center"/>
    </xf>
    <xf numFmtId="0" fontId="7" fillId="0" borderId="30" applyAlignment="1" pivotButton="0" quotePrefix="0" xfId="0">
      <alignment horizontal="center" vertical="center"/>
    </xf>
    <xf numFmtId="171" fontId="23" fillId="0" borderId="0" pivotButton="0" quotePrefix="0" xfId="4"/>
    <xf numFmtId="171" fontId="23" fillId="0" borderId="13" pivotButton="0" quotePrefix="0" xfId="4"/>
    <xf numFmtId="171" fontId="23" fillId="0" borderId="0" applyAlignment="1" pivotButton="0" quotePrefix="0" xfId="0">
      <alignment horizontal="center"/>
    </xf>
    <xf numFmtId="171" fontId="23" fillId="0" borderId="0" pivotButton="0" quotePrefix="0" xfId="0"/>
    <xf numFmtId="0" fontId="4" fillId="0" borderId="12" applyAlignment="1" pivotButton="0" quotePrefix="0" xfId="0">
      <alignment horizontal="center" vertical="center"/>
    </xf>
    <xf numFmtId="171" fontId="4" fillId="0" borderId="13" applyAlignment="1" pivotButton="0" quotePrefix="0" xfId="4">
      <alignment horizontal="center" vertical="center"/>
    </xf>
    <xf numFmtId="37" fontId="23" fillId="0" borderId="13" pivotButton="0" quotePrefix="0" xfId="0"/>
    <xf numFmtId="0" fontId="4" fillId="0" borderId="12" applyAlignment="1" pivotButton="0" quotePrefix="0" xfId="0">
      <alignment horizontal="right" vertical="center"/>
    </xf>
    <xf numFmtId="41" fontId="4" fillId="0" borderId="13" applyAlignment="1" pivotButton="0" quotePrefix="0" xfId="0">
      <alignment horizontal="right" vertical="center"/>
    </xf>
    <xf numFmtId="39" fontId="23" fillId="0" borderId="13" pivotButton="0" quotePrefix="0" xfId="0"/>
    <xf numFmtId="166" fontId="4" fillId="0" borderId="12" applyAlignment="1" pivotButton="0" quotePrefix="0" xfId="3">
      <alignment horizontal="right" vertical="center"/>
    </xf>
    <xf numFmtId="172" fontId="4" fillId="0" borderId="13" applyAlignment="1" pivotButton="0" quotePrefix="0" xfId="0">
      <alignment horizontal="right" vertical="center"/>
    </xf>
    <xf numFmtId="0" fontId="23" fillId="0" borderId="13" pivotButton="0" quotePrefix="0" xfId="0"/>
    <xf numFmtId="0" fontId="4" fillId="0" borderId="31" applyAlignment="1" pivotButton="0" quotePrefix="0" xfId="0">
      <alignment horizontal="right" vertical="center"/>
    </xf>
    <xf numFmtId="172" fontId="4" fillId="0" borderId="32" applyAlignment="1" pivotButton="0" quotePrefix="0" xfId="0">
      <alignment horizontal="right" vertical="center"/>
    </xf>
    <xf numFmtId="9" fontId="23" fillId="0" borderId="0" pivotButton="0" quotePrefix="0" xfId="4"/>
    <xf numFmtId="9" fontId="4" fillId="0" borderId="0" applyAlignment="1" pivotButton="0" quotePrefix="0" xfId="4">
      <alignment horizontal="right"/>
    </xf>
    <xf numFmtId="0" fontId="23" fillId="0" borderId="33" pivotButton="0" quotePrefix="0" xfId="0"/>
    <xf numFmtId="0" fontId="23" fillId="0" borderId="12" applyAlignment="1" pivotButton="0" quotePrefix="0" xfId="0">
      <alignment horizontal="right" vertical="center"/>
    </xf>
    <xf numFmtId="41" fontId="23" fillId="0" borderId="13" applyAlignment="1" pivotButton="0" quotePrefix="0" xfId="0">
      <alignment horizontal="right" vertical="center"/>
    </xf>
    <xf numFmtId="169" fontId="23" fillId="0" borderId="12" applyAlignment="1" pivotButton="0" quotePrefix="0" xfId="0">
      <alignment horizontal="right" vertical="center"/>
    </xf>
    <xf numFmtId="43" fontId="23" fillId="0" borderId="13" applyAlignment="1" pivotButton="0" quotePrefix="0" xfId="0">
      <alignment horizontal="right" vertical="center"/>
    </xf>
    <xf numFmtId="169" fontId="23" fillId="0" borderId="31" applyAlignment="1" pivotButton="0" quotePrefix="0" xfId="0">
      <alignment horizontal="right" vertical="center"/>
    </xf>
    <xf numFmtId="9" fontId="23" fillId="0" borderId="32" applyAlignment="1" pivotButton="0" quotePrefix="0" xfId="4">
      <alignment horizontal="right" vertical="center"/>
    </xf>
    <xf numFmtId="169" fontId="23" fillId="0" borderId="0" applyAlignment="1" pivotButton="0" quotePrefix="0" xfId="0">
      <alignment horizontal="right" vertical="center"/>
    </xf>
    <xf numFmtId="171" fontId="23" fillId="0" borderId="0" applyAlignment="1" pivotButton="0" quotePrefix="0" xfId="4">
      <alignment horizontal="right" vertical="center"/>
    </xf>
    <xf numFmtId="0" fontId="7" fillId="3" borderId="9" applyAlignment="1" pivotButton="0" quotePrefix="0" xfId="0">
      <alignment horizontal="right"/>
    </xf>
    <xf numFmtId="165" fontId="7" fillId="3" borderId="9" applyAlignment="1" pivotButton="0" quotePrefix="0" xfId="3">
      <alignment horizontal="right"/>
    </xf>
    <xf numFmtId="170" fontId="9" fillId="0" borderId="0" applyAlignment="1" pivotButton="0" quotePrefix="0" xfId="3">
      <alignment horizontal="center" vertical="center"/>
    </xf>
    <xf numFmtId="170" fontId="9" fillId="0" borderId="15" applyAlignment="1" pivotButton="0" quotePrefix="0" xfId="3">
      <alignment horizontal="center" vertical="center"/>
    </xf>
    <xf numFmtId="171" fontId="0" fillId="0" borderId="0" pivotButton="0" quotePrefix="0" xfId="4"/>
    <xf numFmtId="1" fontId="0" fillId="0" borderId="0" pivotButton="0" quotePrefix="0" xfId="0"/>
    <xf numFmtId="10" fontId="0" fillId="0" borderId="0" pivotButton="0" quotePrefix="0" xfId="4"/>
    <xf numFmtId="0" fontId="19" fillId="3" borderId="11" pivotButton="0" quotePrefix="0" xfId="0"/>
    <xf numFmtId="167" fontId="17" fillId="3" borderId="11" applyAlignment="1" pivotButton="0" quotePrefix="0" xfId="3">
      <alignment horizontal="center" vertical="center"/>
    </xf>
    <xf numFmtId="165" fontId="19" fillId="3" borderId="11" applyAlignment="1" pivotButton="0" quotePrefix="0" xfId="3">
      <alignment horizontal="center" vertical="center"/>
    </xf>
    <xf numFmtId="165" fontId="19" fillId="3" borderId="19" applyAlignment="1" pivotButton="0" quotePrefix="0" xfId="3">
      <alignment horizontal="center" vertical="center"/>
    </xf>
    <xf numFmtId="173" fontId="17" fillId="3" borderId="11" applyAlignment="1" pivotButton="0" quotePrefix="0" xfId="0">
      <alignment horizontal="center" vertical="center"/>
    </xf>
    <xf numFmtId="0" fontId="19" fillId="3" borderId="1" pivotButton="0" quotePrefix="0" xfId="0"/>
    <xf numFmtId="165" fontId="17" fillId="3" borderId="1" pivotButton="0" quotePrefix="0" xfId="3"/>
    <xf numFmtId="170" fontId="19" fillId="3" borderId="1" applyAlignment="1" pivotButton="0" quotePrefix="0" xfId="0">
      <alignment horizontal="center"/>
    </xf>
    <xf numFmtId="170" fontId="19" fillId="3" borderId="22" applyAlignment="1" pivotButton="0" quotePrefix="0" xfId="3">
      <alignment horizontal="center" vertical="center"/>
    </xf>
    <xf numFmtId="0" fontId="17" fillId="3" borderId="3" pivotButton="0" quotePrefix="0" xfId="0"/>
    <xf numFmtId="0" fontId="17" fillId="3" borderId="11" applyAlignment="1" pivotButton="0" quotePrefix="0" xfId="0">
      <alignment horizontal="center" vertical="center"/>
    </xf>
    <xf numFmtId="170" fontId="17" fillId="3" borderId="1" pivotButton="0" quotePrefix="0" xfId="0"/>
    <xf numFmtId="170" fontId="4" fillId="0" borderId="0" applyAlignment="1" pivotButton="0" quotePrefix="0" xfId="3">
      <alignment horizontal="center" vertical="center"/>
    </xf>
    <xf numFmtId="0" fontId="4" fillId="0" borderId="14" applyAlignment="1" pivotButton="0" quotePrefix="0" xfId="5">
      <alignment horizontal="left"/>
    </xf>
    <xf numFmtId="0" fontId="6" fillId="4" borderId="0" applyAlignment="1" pivotButton="0" quotePrefix="0" xfId="0">
      <alignment horizontal="center" vertical="center"/>
    </xf>
    <xf numFmtId="0" fontId="17" fillId="0" borderId="0" applyAlignment="1" pivotButton="0" quotePrefix="0" xfId="0">
      <alignment horizontal="left" indent="1"/>
    </xf>
    <xf numFmtId="0" fontId="17" fillId="0" borderId="0" applyAlignment="1" pivotButton="0" quotePrefix="0" xfId="0">
      <alignment horizontal="center"/>
    </xf>
    <xf numFmtId="0" fontId="19" fillId="0" borderId="0" pivotButton="0" quotePrefix="0" xfId="0"/>
    <xf numFmtId="10" fontId="17" fillId="0" borderId="0" applyAlignment="1" pivotButton="0" quotePrefix="0" xfId="0">
      <alignment horizontal="center"/>
    </xf>
    <xf numFmtId="165" fontId="17" fillId="0" borderId="0" pivotButton="0" quotePrefix="0" xfId="0"/>
    <xf numFmtId="0" fontId="25" fillId="4" borderId="0" pivotButton="0" quotePrefix="0" xfId="0"/>
    <xf numFmtId="0" fontId="25" fillId="4" borderId="0" applyAlignment="1" pivotButton="0" quotePrefix="0" xfId="0">
      <alignment horizontal="center"/>
    </xf>
    <xf numFmtId="167" fontId="17" fillId="4" borderId="0" pivotButton="0" quotePrefix="0" xfId="0"/>
    <xf numFmtId="166" fontId="4" fillId="4" borderId="0" applyProtection="1" pivotButton="0" quotePrefix="0" xfId="3">
      <protection locked="0" hidden="0"/>
    </xf>
    <xf numFmtId="0" fontId="19" fillId="0" borderId="0" applyAlignment="1" pivotButton="0" quotePrefix="0" xfId="0">
      <alignment horizontal="center"/>
    </xf>
    <xf numFmtId="169" fontId="17" fillId="0" borderId="0" pivotButton="0" quotePrefix="0" xfId="0"/>
    <xf numFmtId="169" fontId="9" fillId="0" borderId="0" pivotButton="0" quotePrefix="0" xfId="0"/>
    <xf numFmtId="169" fontId="9" fillId="0" borderId="0" applyAlignment="1" pivotButton="0" quotePrefix="0" xfId="0">
      <alignment horizontal="right"/>
    </xf>
    <xf numFmtId="0" fontId="8" fillId="4" borderId="0" pivotButton="0" quotePrefix="0" xfId="0"/>
    <xf numFmtId="0" fontId="8" fillId="4" borderId="0" applyAlignment="1" pivotButton="0" quotePrefix="0" xfId="0">
      <alignment horizontal="center" wrapText="1"/>
    </xf>
    <xf numFmtId="0" fontId="17" fillId="0" borderId="11" applyAlignment="1" pivotButton="0" quotePrefix="0" xfId="0">
      <alignment horizontal="left"/>
    </xf>
    <xf numFmtId="0" fontId="17" fillId="0" borderId="11" pivotButton="0" quotePrefix="0" xfId="0"/>
    <xf numFmtId="10" fontId="17" fillId="0" borderId="11" applyAlignment="1" pivotButton="0" quotePrefix="0" xfId="4">
      <alignment horizontal="center"/>
    </xf>
    <xf numFmtId="0" fontId="17" fillId="0" borderId="0" pivotButton="0" quotePrefix="0" xfId="0"/>
    <xf numFmtId="10" fontId="17" fillId="0" borderId="0" applyAlignment="1" pivotButton="0" quotePrefix="0" xfId="4">
      <alignment horizontal="center"/>
    </xf>
    <xf numFmtId="0" fontId="19" fillId="3" borderId="9" pivotButton="0" quotePrefix="0" xfId="0"/>
    <xf numFmtId="10" fontId="16" fillId="3" borderId="9" applyAlignment="1" pivotButton="0" quotePrefix="0" xfId="4">
      <alignment horizontal="center"/>
    </xf>
    <xf numFmtId="0" fontId="19" fillId="0" borderId="11" pivotButton="0" quotePrefix="0" xfId="0"/>
    <xf numFmtId="2" fontId="8" fillId="4" borderId="0" applyAlignment="1" pivotButton="0" quotePrefix="0" xfId="0">
      <alignment horizontal="center" wrapText="1"/>
    </xf>
    <xf numFmtId="9" fontId="8" fillId="4" borderId="0" applyAlignment="1" pivotButton="0" quotePrefix="0" xfId="4">
      <alignment horizontal="center" wrapText="1"/>
    </xf>
    <xf numFmtId="10" fontId="8" fillId="4" borderId="0" applyAlignment="1" pivotButton="0" quotePrefix="0" xfId="4">
      <alignment horizontal="center" wrapText="1"/>
    </xf>
    <xf numFmtId="0" fontId="7" fillId="3" borderId="11" applyAlignment="1" pivotButton="0" quotePrefix="0" xfId="0">
      <alignment horizontal="center" vertical="center"/>
    </xf>
    <xf numFmtId="167" fontId="4" fillId="3" borderId="11" applyAlignment="1" pivotButton="0" quotePrefix="0" xfId="0">
      <alignment horizontal="center" vertical="center" wrapText="1" shrinkToFit="1"/>
    </xf>
    <xf numFmtId="167" fontId="4" fillId="3" borderId="11" applyAlignment="1" pivotButton="0" quotePrefix="0" xfId="0">
      <alignment horizontal="center" vertical="center" shrinkToFit="1"/>
    </xf>
    <xf numFmtId="10" fontId="4" fillId="3" borderId="11" applyAlignment="1" pivotButton="0" quotePrefix="0" xfId="4">
      <alignment horizontal="center" vertical="center" shrinkToFit="1"/>
    </xf>
    <xf numFmtId="0" fontId="0" fillId="3" borderId="0" pivotButton="0" quotePrefix="0" xfId="0"/>
    <xf numFmtId="0" fontId="0" fillId="3" borderId="1" pivotButton="0" quotePrefix="0" xfId="0"/>
    <xf numFmtId="37" fontId="17" fillId="0" borderId="1" pivotButton="0" quotePrefix="0" xfId="0"/>
    <xf numFmtId="165" fontId="19" fillId="0" borderId="11" pivotButton="0" quotePrefix="0" xfId="0"/>
    <xf numFmtId="0" fontId="19" fillId="0" borderId="9" pivotButton="0" quotePrefix="0" xfId="0"/>
    <xf numFmtId="174" fontId="16" fillId="3" borderId="11" applyAlignment="1" applyProtection="1" pivotButton="0" quotePrefix="0" xfId="0">
      <alignment horizontal="left"/>
      <protection locked="0" hidden="0"/>
    </xf>
    <xf numFmtId="165" fontId="7" fillId="3" borderId="11" pivotButton="0" quotePrefix="0" xfId="0"/>
    <xf numFmtId="0" fontId="7" fillId="3" borderId="1" applyAlignment="1" pivotButton="0" quotePrefix="0" xfId="0">
      <alignment horizontal="left"/>
    </xf>
    <xf numFmtId="170" fontId="7" fillId="3" borderId="1" pivotButton="0" quotePrefix="0" xfId="0"/>
    <xf numFmtId="0" fontId="19" fillId="3" borderId="9" applyAlignment="1" pivotButton="0" quotePrefix="0" xfId="0">
      <alignment horizontal="center"/>
    </xf>
    <xf numFmtId="166" fontId="7" fillId="3" borderId="9" applyProtection="1" pivotButton="0" quotePrefix="0" xfId="3">
      <protection locked="0" hidden="0"/>
    </xf>
    <xf numFmtId="169" fontId="19" fillId="3" borderId="9" pivotButton="0" quotePrefix="0" xfId="0"/>
    <xf numFmtId="175" fontId="17" fillId="0" borderId="0" applyAlignment="1" pivotButton="0" quotePrefix="0" xfId="0">
      <alignment horizontal="left"/>
    </xf>
    <xf numFmtId="170" fontId="17" fillId="0" borderId="0" pivotButton="0" quotePrefix="0" xfId="0"/>
    <xf numFmtId="176" fontId="4" fillId="0" borderId="0" applyAlignment="1" applyProtection="1" pivotButton="0" quotePrefix="0" xfId="0">
      <alignment horizontal="left"/>
      <protection locked="0" hidden="0"/>
    </xf>
    <xf numFmtId="176" fontId="17" fillId="0" borderId="0" applyAlignment="1" applyProtection="1" pivotButton="0" quotePrefix="0" xfId="0">
      <alignment horizontal="left"/>
      <protection locked="0" hidden="0"/>
    </xf>
    <xf numFmtId="177" fontId="17" fillId="0" borderId="0" applyAlignment="1" pivotButton="0" quotePrefix="0" xfId="0">
      <alignment horizontal="left"/>
    </xf>
    <xf numFmtId="10" fontId="17" fillId="0" borderId="11" pivotButton="0" quotePrefix="0" xfId="0"/>
    <xf numFmtId="165" fontId="17" fillId="0" borderId="11" pivotButton="0" quotePrefix="0" xfId="0"/>
    <xf numFmtId="10" fontId="17" fillId="0" borderId="0" pivotButton="0" quotePrefix="0" xfId="0"/>
    <xf numFmtId="0" fontId="17" fillId="0" borderId="0" applyProtection="1" pivotButton="0" quotePrefix="0" xfId="0">
      <protection locked="0" hidden="0"/>
    </xf>
    <xf numFmtId="165" fontId="17" fillId="0" borderId="0" applyProtection="1" pivotButton="0" quotePrefix="0" xfId="3">
      <protection locked="0" hidden="0"/>
    </xf>
    <xf numFmtId="170" fontId="19" fillId="0" borderId="11" pivotButton="0" quotePrefix="0" xfId="0"/>
    <xf numFmtId="0" fontId="19" fillId="3" borderId="1" applyAlignment="1" pivotButton="0" quotePrefix="0" xfId="0">
      <alignment vertical="center"/>
    </xf>
    <xf numFmtId="170" fontId="19" fillId="3" borderId="1" applyAlignment="1" pivotButton="0" quotePrefix="0" xfId="0">
      <alignment horizontal="right" vertical="center"/>
    </xf>
    <xf numFmtId="178" fontId="16" fillId="0" borderId="9" applyAlignment="1" applyProtection="1" pivotButton="0" quotePrefix="0" xfId="0">
      <alignment horizontal="left"/>
      <protection locked="0" hidden="0"/>
    </xf>
    <xf numFmtId="0" fontId="16" fillId="0" borderId="9" applyAlignment="1" pivotButton="0" quotePrefix="0" xfId="0">
      <alignment horizontal="center"/>
    </xf>
    <xf numFmtId="174" fontId="16" fillId="3" borderId="9" applyAlignment="1" applyProtection="1" pivotButton="0" quotePrefix="0" xfId="0">
      <alignment horizontal="left"/>
      <protection locked="0" hidden="0"/>
    </xf>
    <xf numFmtId="174" fontId="19" fillId="3" borderId="9" applyAlignment="1" applyProtection="1" pivotButton="0" quotePrefix="0" xfId="0">
      <alignment horizontal="left"/>
      <protection locked="0" hidden="0"/>
    </xf>
    <xf numFmtId="165" fontId="19" fillId="3" borderId="9" pivotButton="0" quotePrefix="0" xfId="0"/>
    <xf numFmtId="170" fontId="19" fillId="3" borderId="9" pivotButton="0" quotePrefix="0" xfId="0"/>
    <xf numFmtId="2" fontId="9" fillId="0" borderId="0" applyAlignment="1" pivotButton="0" quotePrefix="0" xfId="0">
      <alignment horizontal="left"/>
    </xf>
    <xf numFmtId="9" fontId="9" fillId="0" borderId="0" applyAlignment="1" pivotButton="0" quotePrefix="0" xfId="0">
      <alignment horizontal="center"/>
    </xf>
    <xf numFmtId="10" fontId="9" fillId="0" borderId="0" applyAlignment="1" pivotButton="0" quotePrefix="0" xfId="4">
      <alignment horizontal="center"/>
    </xf>
    <xf numFmtId="2" fontId="9" fillId="0" borderId="0" applyAlignment="1" pivotButton="0" quotePrefix="0" xfId="0">
      <alignment horizontal="left" indent="1"/>
    </xf>
    <xf numFmtId="2" fontId="16" fillId="3" borderId="9" applyAlignment="1" pivotButton="0" quotePrefix="0" xfId="0">
      <alignment horizontal="left"/>
    </xf>
    <xf numFmtId="9" fontId="16" fillId="3" borderId="9" applyAlignment="1" pivotButton="0" quotePrefix="0" xfId="0">
      <alignment horizontal="center"/>
    </xf>
    <xf numFmtId="0" fontId="6" fillId="4" borderId="0" applyAlignment="1" pivotButton="0" quotePrefix="0" xfId="0">
      <alignment horizontal="right"/>
    </xf>
    <xf numFmtId="0" fontId="4" fillId="6" borderId="0" pivotButton="0" quotePrefix="0" xfId="0"/>
    <xf numFmtId="0" fontId="16" fillId="0" borderId="0" applyAlignment="1" pivotButton="0" quotePrefix="0" xfId="0">
      <alignment horizontal="right"/>
    </xf>
    <xf numFmtId="0" fontId="16" fillId="0" borderId="0" applyAlignment="1" pivotButton="0" quotePrefix="0" xfId="0">
      <alignment horizontal="right" wrapText="1"/>
    </xf>
    <xf numFmtId="10" fontId="16" fillId="3" borderId="9" applyAlignment="1" pivotButton="0" quotePrefix="0" xfId="0">
      <alignment horizontal="right"/>
    </xf>
    <xf numFmtId="0" fontId="2" fillId="4" borderId="0" applyAlignment="1" pivotButton="0" quotePrefix="0" xfId="0">
      <alignment horizontal="left" vertical="center" justifyLastLine="1"/>
    </xf>
    <xf numFmtId="165" fontId="17" fillId="0" borderId="0" applyAlignment="1" pivotButton="0" quotePrefix="0" xfId="3">
      <alignment horizontal="left"/>
    </xf>
    <xf numFmtId="166" fontId="17" fillId="0" borderId="0" applyAlignment="1" pivotButton="0" quotePrefix="0" xfId="3">
      <alignment horizontal="left"/>
    </xf>
    <xf numFmtId="0" fontId="9" fillId="0" borderId="0" applyAlignment="1" pivotButton="0" quotePrefix="0" xfId="0">
      <alignment horizontal="left"/>
    </xf>
    <xf numFmtId="0" fontId="9" fillId="0" borderId="1" applyAlignment="1" pivotButton="0" quotePrefix="0" xfId="0">
      <alignment horizontal="left"/>
    </xf>
    <xf numFmtId="0" fontId="17" fillId="0" borderId="1" applyAlignment="1" pivotButton="0" quotePrefix="0" xfId="0">
      <alignment horizontal="left"/>
    </xf>
    <xf numFmtId="169" fontId="4" fillId="0" borderId="1" applyAlignment="1" pivotButton="0" quotePrefix="0" xfId="0">
      <alignment horizontal="center" vertical="center"/>
    </xf>
    <xf numFmtId="0" fontId="4" fillId="0" borderId="1" applyAlignment="1" pivotButton="0" quotePrefix="0" xfId="0">
      <alignment horizontal="center"/>
    </xf>
    <xf numFmtId="179" fontId="4" fillId="0" borderId="1" applyAlignment="1" pivotButton="0" quotePrefix="0" xfId="0">
      <alignment horizontal="center"/>
    </xf>
    <xf numFmtId="165" fontId="4" fillId="0" borderId="1" applyAlignment="1" pivotButton="0" quotePrefix="0" xfId="3">
      <alignment horizontal="center"/>
    </xf>
    <xf numFmtId="0" fontId="4" fillId="5" borderId="0" pivotButton="0" quotePrefix="0" xfId="0"/>
    <xf numFmtId="41" fontId="4" fillId="5" borderId="2" pivotButton="0" quotePrefix="0" xfId="0"/>
    <xf numFmtId="165" fontId="9" fillId="5" borderId="2" pivotButton="0" quotePrefix="0" xfId="3"/>
    <xf numFmtId="0" fontId="9" fillId="5" borderId="0" pivotButton="0" quotePrefix="0" xfId="0"/>
    <xf numFmtId="3" fontId="9" fillId="0" borderId="2" applyAlignment="1" pivotButton="0" quotePrefix="0" xfId="1">
      <alignment horizontal="left"/>
    </xf>
    <xf numFmtId="0" fontId="9" fillId="0" borderId="2" applyAlignment="1" pivotButton="0" quotePrefix="0" xfId="5">
      <alignment horizontal="center"/>
    </xf>
    <xf numFmtId="3" fontId="9" fillId="0" borderId="2" applyAlignment="1" pivotButton="0" quotePrefix="0" xfId="1">
      <alignment horizontal="center"/>
    </xf>
    <xf numFmtId="9" fontId="9" fillId="0" borderId="3" applyAlignment="1" pivotButton="0" quotePrefix="0" xfId="4">
      <alignment horizontal="center"/>
    </xf>
    <xf numFmtId="167" fontId="7" fillId="3" borderId="9" applyAlignment="1" pivotButton="0" quotePrefix="0" xfId="0">
      <alignment horizontal="center"/>
    </xf>
    <xf numFmtId="0" fontId="4" fillId="3" borderId="17" applyAlignment="1" pivotButton="0" quotePrefix="0" xfId="0">
      <alignment horizontal="center"/>
    </xf>
    <xf numFmtId="169" fontId="7" fillId="3" borderId="8" applyAlignment="1" pivotButton="0" quotePrefix="0" xfId="0">
      <alignment horizontal="center"/>
    </xf>
    <xf numFmtId="0" fontId="7" fillId="0" borderId="36" pivotButton="0" quotePrefix="0" xfId="0"/>
    <xf numFmtId="41" fontId="4" fillId="0" borderId="0" applyAlignment="1" pivotButton="0" quotePrefix="0" xfId="0">
      <alignment horizontal="center"/>
    </xf>
    <xf numFmtId="167" fontId="4" fillId="0" borderId="0" applyAlignment="1" pivotButton="0" quotePrefix="0" xfId="3">
      <alignment horizontal="center"/>
    </xf>
    <xf numFmtId="166" fontId="4" fillId="0" borderId="19" pivotButton="0" quotePrefix="0" xfId="3"/>
    <xf numFmtId="167" fontId="9" fillId="0" borderId="15" applyAlignment="1" pivotButton="0" quotePrefix="0" xfId="3">
      <alignment horizontal="center"/>
    </xf>
    <xf numFmtId="165" fontId="4" fillId="5" borderId="0" applyAlignment="1" pivotButton="0" quotePrefix="0" xfId="3">
      <alignment horizontal="center" vertical="center"/>
    </xf>
    <xf numFmtId="170" fontId="9" fillId="5" borderId="0" applyAlignment="1" pivotButton="0" quotePrefix="0" xfId="3">
      <alignment horizontal="center" vertical="center"/>
    </xf>
    <xf numFmtId="166" fontId="4" fillId="5" borderId="0" applyAlignment="1" pivotButton="0" quotePrefix="0" xfId="3">
      <alignment horizontal="center" vertical="center"/>
    </xf>
    <xf numFmtId="167" fontId="0" fillId="0" borderId="0" pivotButton="0" quotePrefix="0" xfId="0"/>
    <xf numFmtId="180" fontId="17" fillId="0" borderId="0" applyAlignment="1" pivotButton="0" quotePrefix="0" xfId="0">
      <alignment horizontal="center"/>
    </xf>
    <xf numFmtId="1" fontId="17" fillId="0" borderId="0" applyAlignment="1" pivotButton="0" quotePrefix="0" xfId="0">
      <alignment horizontal="center"/>
    </xf>
    <xf numFmtId="3" fontId="17" fillId="0" borderId="0" applyAlignment="1" pivotButton="0" quotePrefix="0" xfId="0">
      <alignment horizontal="center"/>
    </xf>
    <xf numFmtId="9" fontId="17" fillId="0" borderId="0" applyAlignment="1" pivotButton="0" quotePrefix="0" xfId="4">
      <alignment horizontal="center"/>
    </xf>
    <xf numFmtId="169" fontId="17" fillId="0" borderId="0" applyAlignment="1" pivotButton="0" quotePrefix="0" xfId="3">
      <alignment horizontal="center"/>
    </xf>
    <xf numFmtId="170" fontId="17" fillId="0" borderId="0" applyAlignment="1" pivotButton="0" quotePrefix="0" xfId="3">
      <alignment horizontal="center"/>
    </xf>
    <xf numFmtId="167" fontId="4" fillId="0" borderId="0" applyProtection="1" pivotButton="0" quotePrefix="0" xfId="3">
      <protection locked="0" hidden="0"/>
    </xf>
    <xf numFmtId="167" fontId="7" fillId="3" borderId="9" applyProtection="1" pivotButton="0" quotePrefix="0" xfId="3">
      <protection locked="0" hidden="0"/>
    </xf>
    <xf numFmtId="167" fontId="4" fillId="0" borderId="0" pivotButton="0" quotePrefix="0" xfId="3"/>
    <xf numFmtId="167" fontId="7" fillId="0" borderId="0" applyProtection="1" pivotButton="0" quotePrefix="0" xfId="3">
      <protection locked="0" hidden="0"/>
    </xf>
    <xf numFmtId="169" fontId="19" fillId="0" borderId="0" pivotButton="0" quotePrefix="0" xfId="3"/>
    <xf numFmtId="167" fontId="4" fillId="0" borderId="15" applyAlignment="1" pivotButton="0" quotePrefix="0" xfId="3">
      <alignment horizontal="center" vertical="center"/>
    </xf>
    <xf numFmtId="167" fontId="9" fillId="0" borderId="15" applyAlignment="1" pivotButton="0" quotePrefix="0" xfId="3">
      <alignment horizontal="center" vertical="center"/>
    </xf>
    <xf numFmtId="169" fontId="4" fillId="0" borderId="15" applyAlignment="1" pivotButton="0" quotePrefix="0" xfId="3">
      <alignment horizontal="center" vertical="center"/>
    </xf>
    <xf numFmtId="0" fontId="7" fillId="3" borderId="11" applyAlignment="1" pivotButton="0" quotePrefix="0" xfId="0">
      <alignment vertical="center" wrapText="1"/>
    </xf>
    <xf numFmtId="180" fontId="7" fillId="3" borderId="11" applyAlignment="1" pivotButton="0" quotePrefix="0" xfId="0">
      <alignment horizontal="center" vertical="center"/>
    </xf>
    <xf numFmtId="3" fontId="7" fillId="3" borderId="11" applyAlignment="1" pivotButton="0" quotePrefix="0" xfId="0">
      <alignment horizontal="center" vertical="center" wrapText="1"/>
    </xf>
    <xf numFmtId="9" fontId="7" fillId="3" borderId="11" applyAlignment="1" pivotButton="0" quotePrefix="0" xfId="4">
      <alignment horizontal="center" vertical="center"/>
    </xf>
    <xf numFmtId="9" fontId="7" fillId="3" borderId="11" applyAlignment="1" pivotButton="0" quotePrefix="0" xfId="4">
      <alignment horizontal="center" vertical="center" shrinkToFit="1"/>
    </xf>
    <xf numFmtId="0" fontId="7" fillId="3" borderId="11" applyAlignment="1" pivotButton="0" quotePrefix="0" xfId="0">
      <alignment horizontal="center" vertical="center" shrinkToFit="1"/>
    </xf>
    <xf numFmtId="0" fontId="16" fillId="3" borderId="0" pivotButton="0" quotePrefix="0" xfId="0"/>
    <xf numFmtId="0" fontId="5" fillId="3" borderId="0" pivotButton="0" quotePrefix="0" xfId="0"/>
    <xf numFmtId="2" fontId="16" fillId="3" borderId="0" applyAlignment="1" pivotButton="0" quotePrefix="0" xfId="0">
      <alignment horizontal="center"/>
    </xf>
    <xf numFmtId="0" fontId="16" fillId="3" borderId="1" pivotButton="0" quotePrefix="0" xfId="0"/>
    <xf numFmtId="0" fontId="5" fillId="3" borderId="1" pivotButton="0" quotePrefix="0" xfId="0"/>
    <xf numFmtId="10" fontId="4" fillId="5" borderId="0" applyAlignment="1" pivotButton="0" quotePrefix="0" xfId="4">
      <alignment horizontal="center" vertical="center" shrinkToFit="1"/>
    </xf>
    <xf numFmtId="165" fontId="16" fillId="3" borderId="1" applyAlignment="1" pivotButton="0" quotePrefix="0" xfId="3">
      <alignment horizontal="left"/>
    </xf>
    <xf numFmtId="166" fontId="19" fillId="3" borderId="1" applyAlignment="1" pivotButton="0" quotePrefix="0" xfId="3">
      <alignment horizontal="left"/>
    </xf>
    <xf numFmtId="0" fontId="7" fillId="3" borderId="9" applyAlignment="1" pivotButton="0" quotePrefix="0" xfId="0">
      <alignment vertical="center"/>
    </xf>
    <xf numFmtId="169" fontId="16" fillId="3" borderId="9" applyAlignment="1" pivotButton="0" quotePrefix="0" xfId="0">
      <alignment horizontal="right" vertical="center" wrapText="1"/>
    </xf>
    <xf numFmtId="165" fontId="7" fillId="3" borderId="9" applyAlignment="1" pivotButton="0" quotePrefix="0" xfId="4">
      <alignment horizontal="right" vertical="center"/>
    </xf>
    <xf numFmtId="0" fontId="4" fillId="6" borderId="0" applyAlignment="1" pivotButton="0" quotePrefix="0" xfId="0">
      <alignment vertical="center"/>
    </xf>
    <xf numFmtId="169" fontId="4" fillId="6" borderId="0" applyAlignment="1" pivotButton="0" quotePrefix="0" xfId="3">
      <alignment horizontal="right" vertical="center"/>
    </xf>
    <xf numFmtId="169" fontId="7" fillId="3" borderId="9" applyAlignment="1" pivotButton="0" quotePrefix="0" xfId="4">
      <alignment horizontal="right" vertical="center"/>
    </xf>
    <xf numFmtId="0" fontId="4" fillId="0" borderId="9" applyAlignment="1" pivotButton="0" quotePrefix="0" xfId="0">
      <alignment vertical="center"/>
    </xf>
    <xf numFmtId="165" fontId="16" fillId="0" borderId="9" applyAlignment="1" pivotButton="0" quotePrefix="0" xfId="0">
      <alignment horizontal="right" vertical="center" wrapText="1"/>
    </xf>
    <xf numFmtId="169" fontId="16" fillId="3" borderId="9" applyAlignment="1" pivotButton="0" quotePrefix="0" xfId="0">
      <alignment horizontal="right"/>
    </xf>
    <xf numFmtId="165" fontId="16" fillId="3" borderId="9" applyAlignment="1" pivotButton="0" quotePrefix="0" xfId="3">
      <alignment horizontal="left"/>
    </xf>
    <xf numFmtId="166" fontId="19" fillId="3" borderId="9" applyAlignment="1" pivotButton="0" quotePrefix="0" xfId="3">
      <alignment horizontal="left"/>
    </xf>
    <xf numFmtId="0" fontId="4" fillId="5" borderId="0" applyAlignment="1" pivotButton="0" quotePrefix="0" xfId="0">
      <alignment horizontal="center" vertical="center"/>
    </xf>
    <xf numFmtId="0" fontId="4" fillId="5" borderId="0" applyAlignment="1" pivotButton="0" quotePrefix="0" xfId="0">
      <alignment vertical="center" wrapText="1"/>
    </xf>
    <xf numFmtId="180" fontId="4" fillId="5" borderId="0" applyAlignment="1" pivotButton="0" quotePrefix="0" xfId="0">
      <alignment horizontal="center" vertical="top"/>
    </xf>
    <xf numFmtId="180" fontId="17" fillId="5" borderId="0" applyAlignment="1" pivotButton="0" quotePrefix="0" xfId="0">
      <alignment vertical="top"/>
    </xf>
    <xf numFmtId="3" fontId="4" fillId="5" borderId="0" applyAlignment="1" pivotButton="0" quotePrefix="0" xfId="0">
      <alignment horizontal="center" vertical="top" wrapText="1"/>
    </xf>
    <xf numFmtId="3" fontId="4" fillId="5" borderId="0" applyAlignment="1" pivotButton="0" quotePrefix="0" xfId="0">
      <alignment horizontal="center" vertical="center" wrapText="1"/>
    </xf>
    <xf numFmtId="9" fontId="4" fillId="5" borderId="0" applyAlignment="1" pivotButton="0" quotePrefix="0" xfId="4">
      <alignment horizontal="center" vertical="top"/>
    </xf>
    <xf numFmtId="9" fontId="9" fillId="5" borderId="0" applyAlignment="1" pivotButton="0" quotePrefix="0" xfId="4">
      <alignment horizontal="center" vertical="top" shrinkToFit="1"/>
    </xf>
    <xf numFmtId="3" fontId="9" fillId="5" borderId="0" applyAlignment="1" pivotButton="0" quotePrefix="0" xfId="0">
      <alignment horizontal="center" vertical="top" shrinkToFit="1"/>
    </xf>
    <xf numFmtId="9" fontId="4" fillId="5" borderId="0" applyAlignment="1" pivotButton="0" quotePrefix="0" xfId="4">
      <alignment horizontal="center" vertical="top" shrinkToFit="1"/>
    </xf>
    <xf numFmtId="169" fontId="4" fillId="5" borderId="0" applyAlignment="1" pivotButton="0" quotePrefix="0" xfId="0">
      <alignment horizontal="center" vertical="top" wrapText="1" shrinkToFit="1"/>
    </xf>
    <xf numFmtId="167" fontId="4" fillId="5" borderId="0" applyAlignment="1" pivotButton="0" quotePrefix="0" xfId="0">
      <alignment horizontal="center" vertical="center" shrinkToFit="1"/>
    </xf>
    <xf numFmtId="180" fontId="4" fillId="5" borderId="0" applyAlignment="1" pivotButton="0" quotePrefix="0" xfId="0">
      <alignment vertical="top"/>
    </xf>
    <xf numFmtId="3" fontId="4" fillId="5" borderId="0" applyAlignment="1" pivotButton="0" quotePrefix="0" xfId="0">
      <alignment vertical="top" wrapText="1"/>
    </xf>
    <xf numFmtId="2" fontId="4" fillId="5" borderId="0" applyAlignment="1" pivotButton="0" quotePrefix="0" xfId="0">
      <alignment horizontal="center" vertical="top" wrapText="1"/>
    </xf>
    <xf numFmtId="169" fontId="4" fillId="5" borderId="0" applyAlignment="1" pivotButton="0" quotePrefix="0" xfId="0">
      <alignment vertical="top" wrapText="1" shrinkToFit="1"/>
    </xf>
    <xf numFmtId="180" fontId="17" fillId="5" borderId="0" applyAlignment="1" pivotButton="0" quotePrefix="0" xfId="0">
      <alignment horizontal="center" vertical="top"/>
    </xf>
    <xf numFmtId="1" fontId="4" fillId="5" borderId="0" applyAlignment="1" pivotButton="0" quotePrefix="0" xfId="0">
      <alignment horizontal="center" vertical="top"/>
    </xf>
    <xf numFmtId="3" fontId="4" fillId="5" borderId="0" applyAlignment="1" pivotButton="0" quotePrefix="0" xfId="0">
      <alignment horizontal="center" vertical="top"/>
    </xf>
    <xf numFmtId="180" fontId="4" fillId="5" borderId="0" applyAlignment="1" pivotButton="0" quotePrefix="0" xfId="0">
      <alignment horizontal="center" vertical="center"/>
    </xf>
    <xf numFmtId="180" fontId="17" fillId="5" borderId="0" applyAlignment="1" pivotButton="0" quotePrefix="0" xfId="0">
      <alignment horizontal="center" vertical="center"/>
    </xf>
    <xf numFmtId="1" fontId="4" fillId="5" borderId="0" applyAlignment="1" pivotButton="0" quotePrefix="0" xfId="0">
      <alignment horizontal="center" vertical="center"/>
    </xf>
    <xf numFmtId="0" fontId="4" fillId="5" borderId="0" applyAlignment="1" pivotButton="0" quotePrefix="0" xfId="0">
      <alignment horizontal="center" vertical="center" wrapText="1"/>
    </xf>
    <xf numFmtId="3" fontId="4" fillId="5" borderId="0" applyAlignment="1" pivotButton="0" quotePrefix="0" xfId="0">
      <alignment horizontal="center" vertical="center"/>
    </xf>
    <xf numFmtId="2" fontId="4" fillId="5" borderId="0" applyAlignment="1" pivotButton="0" quotePrefix="0" xfId="0">
      <alignment horizontal="center" vertical="center"/>
    </xf>
    <xf numFmtId="9" fontId="24" fillId="5" borderId="0" applyAlignment="1" pivotButton="0" quotePrefix="0" xfId="4">
      <alignment horizontal="center" vertical="center" shrinkToFit="1"/>
    </xf>
    <xf numFmtId="3" fontId="24" fillId="5" borderId="0" applyAlignment="1" pivotButton="0" quotePrefix="0" xfId="0">
      <alignment horizontal="center" vertical="center" shrinkToFit="1"/>
    </xf>
    <xf numFmtId="9" fontId="4" fillId="5" borderId="0" applyAlignment="1" pivotButton="0" quotePrefix="0" xfId="4">
      <alignment horizontal="center" vertical="center" shrinkToFit="1"/>
    </xf>
    <xf numFmtId="3" fontId="4" fillId="5" borderId="0" applyAlignment="1" pivotButton="0" quotePrefix="0" xfId="0">
      <alignment horizontal="center" vertical="center" shrinkToFit="1"/>
    </xf>
    <xf numFmtId="167" fontId="4" fillId="5" borderId="0" applyAlignment="1" pivotButton="0" quotePrefix="0" xfId="0">
      <alignment horizontal="center" vertical="center" wrapText="1" shrinkToFit="1"/>
    </xf>
    <xf numFmtId="0" fontId="16" fillId="3" borderId="11" applyAlignment="1" pivotButton="0" quotePrefix="0" xfId="0">
      <alignment horizontal="left" vertical="top"/>
    </xf>
    <xf numFmtId="165" fontId="9" fillId="0" borderId="0" pivotButton="0" quotePrefix="0" xfId="0"/>
    <xf numFmtId="170" fontId="17" fillId="0" borderId="0" applyAlignment="1" pivotButton="0" quotePrefix="0" xfId="3">
      <alignment horizontal="right"/>
    </xf>
    <xf numFmtId="166" fontId="0" fillId="0" borderId="0" pivotButton="0" quotePrefix="0" xfId="3"/>
    <xf numFmtId="181" fontId="0" fillId="0" borderId="0" pivotButton="0" quotePrefix="0" xfId="3"/>
    <xf numFmtId="170" fontId="0" fillId="0" borderId="0" pivotButton="0" quotePrefix="0" xfId="0"/>
    <xf numFmtId="0" fontId="17" fillId="6" borderId="0" applyAlignment="1" pivotButton="0" quotePrefix="0" xfId="0">
      <alignment horizontal="left"/>
    </xf>
    <xf numFmtId="180" fontId="17" fillId="6" borderId="0" applyAlignment="1" pivotButton="0" quotePrefix="0" xfId="0">
      <alignment horizontal="center"/>
    </xf>
    <xf numFmtId="0" fontId="17" fillId="6" borderId="0" applyAlignment="1" pivotButton="0" quotePrefix="0" xfId="0">
      <alignment horizontal="center"/>
    </xf>
    <xf numFmtId="3" fontId="17" fillId="6" borderId="0" applyAlignment="1" pivotButton="0" quotePrefix="0" xfId="0">
      <alignment horizontal="center"/>
    </xf>
    <xf numFmtId="9" fontId="17" fillId="6" borderId="0" applyAlignment="1" pivotButton="0" quotePrefix="0" xfId="4">
      <alignment horizontal="center"/>
    </xf>
    <xf numFmtId="170" fontId="17" fillId="6" borderId="0" applyAlignment="1" pivotButton="0" quotePrefix="0" xfId="3">
      <alignment horizontal="center"/>
    </xf>
    <xf numFmtId="10" fontId="17" fillId="6" borderId="0" applyAlignment="1" pivotButton="0" quotePrefix="0" xfId="0">
      <alignment horizontal="center"/>
    </xf>
    <xf numFmtId="1" fontId="17" fillId="6" borderId="0" applyAlignment="1" pivotButton="0" quotePrefix="0" xfId="0">
      <alignment horizontal="center"/>
    </xf>
    <xf numFmtId="9" fontId="24" fillId="0" borderId="0" applyAlignment="1" pivotButton="0" quotePrefix="0" xfId="0">
      <alignment horizontal="center"/>
    </xf>
    <xf numFmtId="10" fontId="24" fillId="0" borderId="0" applyAlignment="1" pivotButton="0" quotePrefix="0" xfId="4">
      <alignment horizontal="center"/>
    </xf>
    <xf numFmtId="10" fontId="4" fillId="0" borderId="0" applyAlignment="1" pivotButton="0" quotePrefix="0" xfId="4">
      <alignment horizontal="right"/>
    </xf>
    <xf numFmtId="38" fontId="0" fillId="0" borderId="0" pivotButton="0" quotePrefix="0" xfId="0"/>
    <xf numFmtId="166" fontId="0" fillId="0" borderId="0" pivotButton="0" quotePrefix="0" xfId="0"/>
    <xf numFmtId="9" fontId="0" fillId="0" borderId="0" pivotButton="0" quotePrefix="0" xfId="4"/>
    <xf numFmtId="0" fontId="17" fillId="6" borderId="0" applyAlignment="1" pivotButton="0" quotePrefix="0" xfId="0">
      <alignment vertical="center"/>
    </xf>
    <xf numFmtId="0" fontId="17" fillId="6" borderId="0" applyAlignment="1" pivotButton="0" quotePrefix="0" xfId="0">
      <alignment horizontal="left" vertical="center"/>
    </xf>
    <xf numFmtId="0" fontId="32" fillId="6" borderId="2" pivotButton="0" quotePrefix="0" xfId="0"/>
    <xf numFmtId="0" fontId="32" fillId="6" borderId="0" pivotButton="0" quotePrefix="0" xfId="0"/>
    <xf numFmtId="0" fontId="32" fillId="0" borderId="0" pivotButton="0" quotePrefix="0" xfId="0"/>
    <xf numFmtId="3" fontId="32" fillId="0" borderId="0" pivotButton="0" quotePrefix="0" xfId="0"/>
    <xf numFmtId="165" fontId="32" fillId="0" borderId="0" pivotButton="0" quotePrefix="0" xfId="0"/>
    <xf numFmtId="0" fontId="23" fillId="0" borderId="0" applyAlignment="1" pivotButton="0" quotePrefix="0" xfId="0">
      <alignment vertical="center"/>
    </xf>
    <xf numFmtId="0" fontId="19" fillId="6" borderId="0" pivotButton="0" quotePrefix="0" xfId="0"/>
    <xf numFmtId="3" fontId="19" fillId="6" borderId="1" applyAlignment="1" pivotButton="0" quotePrefix="0" xfId="0">
      <alignment horizontal="center"/>
    </xf>
    <xf numFmtId="165" fontId="19" fillId="6" borderId="1" applyAlignment="1" pivotButton="0" quotePrefix="0" xfId="0">
      <alignment horizontal="center"/>
    </xf>
    <xf numFmtId="166" fontId="23" fillId="0" borderId="0" applyAlignment="1" pivotButton="0" quotePrefix="0" xfId="3">
      <alignment vertical="center"/>
    </xf>
    <xf numFmtId="0" fontId="4" fillId="0" borderId="0" applyAlignment="1" pivotButton="0" quotePrefix="0" xfId="0">
      <alignment vertical="center"/>
    </xf>
    <xf numFmtId="0" fontId="37" fillId="0" borderId="0" pivotButton="0" quotePrefix="0" xfId="0"/>
    <xf numFmtId="0" fontId="23" fillId="0" borderId="0" applyAlignment="1" pivotButton="0" quotePrefix="1" xfId="0">
      <alignment vertical="center"/>
    </xf>
    <xf numFmtId="0" fontId="17" fillId="6" borderId="0" applyAlignment="1" pivotButton="0" quotePrefix="0" xfId="0">
      <alignment horizontal="left" vertical="center" indent="1"/>
    </xf>
    <xf numFmtId="3" fontId="17" fillId="6" borderId="0" applyAlignment="1" pivotButton="0" quotePrefix="0" xfId="0">
      <alignment vertical="center"/>
    </xf>
    <xf numFmtId="165" fontId="17" fillId="6" borderId="0" applyAlignment="1" pivotButton="0" quotePrefix="0" xfId="0">
      <alignment vertical="center"/>
    </xf>
    <xf numFmtId="0" fontId="17" fillId="6" borderId="0" applyAlignment="1" pivotButton="0" quotePrefix="0" xfId="0">
      <alignment horizontal="left" vertical="center" indent="2"/>
    </xf>
    <xf numFmtId="37" fontId="17" fillId="6" borderId="0" applyAlignment="1" pivotButton="0" quotePrefix="0" xfId="0">
      <alignment horizontal="right"/>
    </xf>
    <xf numFmtId="170" fontId="17" fillId="6" borderId="0" applyAlignment="1" pivotButton="0" quotePrefix="0" xfId="0">
      <alignment vertical="center"/>
    </xf>
    <xf numFmtId="37" fontId="4" fillId="6" borderId="0" pivotButton="0" quotePrefix="0" xfId="0"/>
    <xf numFmtId="170" fontId="4" fillId="6" borderId="0" applyAlignment="1" pivotButton="0" quotePrefix="0" xfId="0">
      <alignment vertical="center"/>
    </xf>
    <xf numFmtId="165" fontId="4" fillId="6" borderId="0" applyAlignment="1" pivotButton="0" quotePrefix="0" xfId="0">
      <alignment vertical="center"/>
    </xf>
    <xf numFmtId="0" fontId="24" fillId="6" borderId="0" applyAlignment="1" pivotButton="0" quotePrefix="0" xfId="0">
      <alignment horizontal="left" vertical="center" indent="2"/>
    </xf>
    <xf numFmtId="3" fontId="4" fillId="6" borderId="0" applyAlignment="1" pivotButton="0" quotePrefix="0" xfId="0">
      <alignment horizontal="center" vertical="center"/>
    </xf>
    <xf numFmtId="165" fontId="4" fillId="6" borderId="11" applyAlignment="1" pivotButton="0" quotePrefix="0" xfId="0">
      <alignment vertical="center"/>
    </xf>
    <xf numFmtId="3" fontId="4" fillId="6" borderId="0" applyAlignment="1" pivotButton="0" quotePrefix="0" xfId="0">
      <alignment vertical="center"/>
    </xf>
    <xf numFmtId="182" fontId="4" fillId="6" borderId="0" applyAlignment="1" pivotButton="0" quotePrefix="0" xfId="2">
      <alignment vertical="center"/>
    </xf>
    <xf numFmtId="182" fontId="4" fillId="6" borderId="1" applyAlignment="1" pivotButton="0" quotePrefix="0" xfId="2">
      <alignment vertical="center"/>
    </xf>
    <xf numFmtId="183" fontId="4" fillId="6" borderId="11" applyAlignment="1" pivotButton="0" quotePrefix="0" xfId="2">
      <alignment vertical="center"/>
    </xf>
    <xf numFmtId="183" fontId="4" fillId="6" borderId="0" applyAlignment="1" pivotButton="0" quotePrefix="0" xfId="2">
      <alignment vertical="center"/>
    </xf>
    <xf numFmtId="183" fontId="4" fillId="6" borderId="1" applyAlignment="1" pivotButton="0" quotePrefix="0" xfId="2">
      <alignment vertical="center"/>
    </xf>
    <xf numFmtId="0" fontId="19" fillId="6" borderId="0" applyAlignment="1" pivotButton="0" quotePrefix="0" xfId="0">
      <alignment horizontal="left" vertical="center" indent="1"/>
    </xf>
    <xf numFmtId="165" fontId="4" fillId="6" borderId="1" applyAlignment="1" pivotButton="0" quotePrefix="0" xfId="3">
      <alignment vertical="center"/>
    </xf>
    <xf numFmtId="37" fontId="4" fillId="6" borderId="11" applyAlignment="1" pivotButton="0" quotePrefix="0" xfId="3">
      <alignment vertical="center"/>
    </xf>
    <xf numFmtId="165" fontId="17" fillId="6" borderId="1" applyAlignment="1" pivotButton="0" quotePrefix="0" xfId="0">
      <alignment vertical="center"/>
    </xf>
    <xf numFmtId="9" fontId="4" fillId="6" borderId="0" applyAlignment="1" pivotButton="0" quotePrefix="0" xfId="0">
      <alignment vertical="center"/>
    </xf>
    <xf numFmtId="170" fontId="4" fillId="6" borderId="0" applyAlignment="1" pivotButton="0" quotePrefix="0" xfId="0">
      <alignment horizontal="center" vertical="center"/>
    </xf>
    <xf numFmtId="165" fontId="19" fillId="6" borderId="0" applyAlignment="1" pivotButton="0" quotePrefix="0" xfId="0">
      <alignment vertical="center"/>
    </xf>
    <xf numFmtId="165" fontId="19" fillId="6" borderId="1" applyAlignment="1" pivotButton="0" quotePrefix="0" xfId="0">
      <alignment vertical="center"/>
    </xf>
    <xf numFmtId="0" fontId="19" fillId="6" borderId="0" applyAlignment="1" pivotButton="0" quotePrefix="0" xfId="0">
      <alignment vertical="center"/>
    </xf>
    <xf numFmtId="0" fontId="19" fillId="6" borderId="0" applyAlignment="1" pivotButton="0" quotePrefix="0" xfId="0">
      <alignment horizontal="left" vertical="center" indent="2"/>
    </xf>
    <xf numFmtId="165" fontId="24" fillId="6" borderId="0" applyAlignment="1" pivotButton="0" quotePrefix="0" xfId="0">
      <alignment vertical="center"/>
    </xf>
    <xf numFmtId="0" fontId="17" fillId="6" borderId="0" applyAlignment="1" pivotButton="0" quotePrefix="0" xfId="0">
      <alignment horizontal="left" vertical="center" indent="3"/>
    </xf>
    <xf numFmtId="184" fontId="4" fillId="6" borderId="1" applyAlignment="1" pivotButton="0" quotePrefix="0" xfId="0">
      <alignment vertical="center"/>
    </xf>
    <xf numFmtId="174" fontId="7" fillId="6" borderId="0" applyAlignment="1" applyProtection="1" pivotButton="0" quotePrefix="0" xfId="0">
      <alignment horizontal="left"/>
      <protection locked="0" hidden="0"/>
    </xf>
    <xf numFmtId="0" fontId="19" fillId="6" borderId="0" applyAlignment="1" applyProtection="1" pivotButton="0" quotePrefix="0" xfId="0">
      <alignment horizontal="center"/>
      <protection locked="0" hidden="0"/>
    </xf>
    <xf numFmtId="165" fontId="19" fillId="6" borderId="0" pivotButton="0" quotePrefix="0" xfId="0"/>
    <xf numFmtId="3" fontId="17" fillId="6" borderId="0" applyAlignment="1" pivotButton="0" quotePrefix="0" xfId="0">
      <alignment horizontal="left" vertical="center" indent="1"/>
    </xf>
    <xf numFmtId="166" fontId="17" fillId="6" borderId="0" applyAlignment="1" pivotButton="0" quotePrefix="0" xfId="3">
      <alignment vertical="center"/>
    </xf>
    <xf numFmtId="0" fontId="19" fillId="6" borderId="11" applyAlignment="1" pivotButton="0" quotePrefix="0" xfId="0">
      <alignment horizontal="left" vertical="center"/>
    </xf>
    <xf numFmtId="0" fontId="35" fillId="6" borderId="0" pivotButton="0" quotePrefix="0" xfId="0"/>
    <xf numFmtId="3" fontId="4" fillId="6" borderId="0" pivotButton="0" quotePrefix="0" xfId="0"/>
    <xf numFmtId="165" fontId="4" fillId="6" borderId="0" pivotButton="0" quotePrefix="0" xfId="0"/>
    <xf numFmtId="41" fontId="36" fillId="6" borderId="0" pivotButton="0" quotePrefix="0" xfId="0"/>
    <xf numFmtId="3" fontId="32" fillId="6" borderId="0" pivotButton="0" quotePrefix="0" xfId="0"/>
    <xf numFmtId="165" fontId="32" fillId="6" borderId="0" pivotButton="0" quotePrefix="0" xfId="0"/>
    <xf numFmtId="0" fontId="34" fillId="6" borderId="0" pivotButton="0" quotePrefix="0" xfId="0"/>
    <xf numFmtId="165" fontId="32" fillId="6" borderId="0" applyAlignment="1" pivotButton="0" quotePrefix="0" xfId="0">
      <alignment vertical="center"/>
    </xf>
    <xf numFmtId="0" fontId="37" fillId="6" borderId="0" pivotButton="0" quotePrefix="0" xfId="0"/>
    <xf numFmtId="0" fontId="3" fillId="6" borderId="0" pivotButton="0" quotePrefix="0" xfId="0"/>
    <xf numFmtId="0" fontId="32" fillId="6" borderId="0" applyAlignment="1" pivotButton="0" quotePrefix="0" xfId="0">
      <alignment horizontal="center"/>
    </xf>
    <xf numFmtId="0" fontId="23" fillId="6" borderId="0" applyAlignment="1" pivotButton="0" quotePrefix="0" xfId="0">
      <alignment horizontal="center"/>
    </xf>
    <xf numFmtId="0" fontId="3" fillId="6" borderId="0" applyAlignment="1" pivotButton="0" quotePrefix="0" xfId="0">
      <alignment vertical="center"/>
    </xf>
    <xf numFmtId="0" fontId="3" fillId="6" borderId="1" applyAlignment="1" pivotButton="0" quotePrefix="0" xfId="0">
      <alignment vertical="center"/>
    </xf>
    <xf numFmtId="164" fontId="23" fillId="6" borderId="1" applyAlignment="1" pivotButton="0" quotePrefix="0" xfId="0">
      <alignment horizontal="center"/>
    </xf>
    <xf numFmtId="0" fontId="7" fillId="3" borderId="0" pivotButton="0" quotePrefix="0" xfId="0"/>
    <xf numFmtId="3" fontId="17" fillId="6" borderId="1" applyAlignment="1" pivotButton="0" quotePrefix="0" xfId="0">
      <alignment horizontal="left" vertical="center" indent="1"/>
    </xf>
    <xf numFmtId="3" fontId="17" fillId="6" borderId="1" applyAlignment="1" pivotButton="0" quotePrefix="0" xfId="0">
      <alignment vertical="center"/>
    </xf>
    <xf numFmtId="0" fontId="17" fillId="6" borderId="1" applyAlignment="1" pivotButton="0" quotePrefix="0" xfId="0">
      <alignment vertical="center"/>
    </xf>
    <xf numFmtId="166" fontId="17" fillId="6" borderId="1" applyAlignment="1" pivotButton="0" quotePrefix="0" xfId="3">
      <alignment vertical="center"/>
    </xf>
    <xf numFmtId="0" fontId="7" fillId="6" borderId="0" applyAlignment="1" pivotButton="0" quotePrefix="0" xfId="0">
      <alignment horizontal="left" vertical="center"/>
    </xf>
    <xf numFmtId="0" fontId="3" fillId="6" borderId="0" applyAlignment="1" pivotButton="0" quotePrefix="1" xfId="0">
      <alignment vertical="center"/>
    </xf>
    <xf numFmtId="185" fontId="4" fillId="6" borderId="0" applyAlignment="1" pivotButton="0" quotePrefix="0" xfId="0">
      <alignment horizontal="left"/>
    </xf>
    <xf numFmtId="185" fontId="7" fillId="6" borderId="0" applyAlignment="1" pivotButton="0" quotePrefix="0" xfId="0">
      <alignment horizontal="left"/>
    </xf>
    <xf numFmtId="0" fontId="19" fillId="6" borderId="1" applyAlignment="1" pivotButton="0" quotePrefix="0" xfId="0">
      <alignment horizontal="left" vertical="center"/>
    </xf>
    <xf numFmtId="170" fontId="24" fillId="6" borderId="1" applyAlignment="1" pivotButton="0" quotePrefix="0" xfId="0">
      <alignment vertical="center"/>
    </xf>
    <xf numFmtId="165" fontId="17" fillId="6" borderId="1" applyAlignment="1" pivotButton="0" quotePrefix="0" xfId="0">
      <alignment horizontal="right" vertical="center"/>
    </xf>
    <xf numFmtId="165" fontId="17" fillId="6" borderId="11" applyAlignment="1" pivotButton="0" quotePrefix="0" xfId="3">
      <alignment horizontal="right" vertical="center"/>
    </xf>
    <xf numFmtId="0" fontId="17" fillId="6" borderId="0" applyAlignment="1" pivotButton="0" quotePrefix="0" xfId="0">
      <alignment horizontal="left" vertical="center" wrapText="1"/>
    </xf>
    <xf numFmtId="165" fontId="4" fillId="6" borderId="1" applyAlignment="1" pivotButton="0" quotePrefix="0" xfId="0">
      <alignment vertical="center"/>
    </xf>
    <xf numFmtId="165" fontId="17" fillId="6" borderId="1" applyAlignment="1" pivotButton="0" quotePrefix="0" xfId="3">
      <alignment horizontal="right" vertical="center"/>
    </xf>
    <xf numFmtId="0" fontId="19" fillId="6" borderId="9" applyAlignment="1" pivotButton="0" quotePrefix="0" xfId="0">
      <alignment horizontal="left" vertical="center"/>
    </xf>
    <xf numFmtId="170" fontId="24" fillId="6" borderId="9" applyAlignment="1" pivotButton="0" quotePrefix="0" xfId="0">
      <alignment vertical="center"/>
    </xf>
    <xf numFmtId="37" fontId="17" fillId="6" borderId="9" applyAlignment="1" pivotButton="0" quotePrefix="0" xfId="0">
      <alignment horizontal="right" vertical="center"/>
    </xf>
    <xf numFmtId="37" fontId="17" fillId="6" borderId="11" applyAlignment="1" pivotButton="0" quotePrefix="0" xfId="0">
      <alignment horizontal="right" vertical="center"/>
    </xf>
    <xf numFmtId="37" fontId="17" fillId="6" borderId="0" applyAlignment="1" pivotButton="0" quotePrefix="0" xfId="0">
      <alignment horizontal="right" vertical="center"/>
    </xf>
    <xf numFmtId="37" fontId="17" fillId="6" borderId="1" applyAlignment="1" pivotButton="0" quotePrefix="0" xfId="0">
      <alignment horizontal="right" vertical="center"/>
    </xf>
    <xf numFmtId="165" fontId="4" fillId="6" borderId="9" applyAlignment="1" pivotButton="0" quotePrefix="0" xfId="0">
      <alignment vertical="center"/>
    </xf>
    <xf numFmtId="165" fontId="24" fillId="6" borderId="11" applyAlignment="1" pivotButton="0" quotePrefix="0" xfId="0">
      <alignment vertical="center"/>
    </xf>
    <xf numFmtId="165" fontId="38" fillId="6" borderId="11" applyAlignment="1" pivotButton="0" quotePrefix="0" xfId="0">
      <alignment horizontal="right" vertical="center"/>
    </xf>
    <xf numFmtId="165" fontId="38" fillId="6" borderId="0" applyAlignment="1" pivotButton="0" quotePrefix="0" xfId="0">
      <alignment horizontal="right" vertical="center"/>
    </xf>
    <xf numFmtId="165" fontId="24" fillId="6" borderId="1" applyAlignment="1" pivotButton="0" quotePrefix="0" xfId="0">
      <alignment vertical="center"/>
    </xf>
    <xf numFmtId="165" fontId="38" fillId="6" borderId="1" applyAlignment="1" pivotButton="0" quotePrefix="0" xfId="0">
      <alignment horizontal="right" vertical="center"/>
    </xf>
    <xf numFmtId="165" fontId="17" fillId="6" borderId="9" applyAlignment="1" pivotButton="0" quotePrefix="0" xfId="3">
      <alignment horizontal="right" vertical="center"/>
    </xf>
    <xf numFmtId="0" fontId="19" fillId="6" borderId="11" applyAlignment="1" pivotButton="0" quotePrefix="0" xfId="0">
      <alignment vertical="center"/>
    </xf>
    <xf numFmtId="3" fontId="17" fillId="6" borderId="11" applyAlignment="1" pivotButton="0" quotePrefix="0" xfId="0">
      <alignment vertical="center"/>
    </xf>
    <xf numFmtId="165" fontId="17" fillId="6" borderId="11" applyAlignment="1" pivotButton="0" quotePrefix="0" xfId="0">
      <alignment vertical="center"/>
    </xf>
    <xf numFmtId="0" fontId="17" fillId="6" borderId="1" pivotButton="0" quotePrefix="0" xfId="0"/>
    <xf numFmtId="0" fontId="17" fillId="6" borderId="11" applyAlignment="1" pivotButton="0" quotePrefix="0" xfId="0">
      <alignment horizontal="left" vertical="center" indent="1"/>
    </xf>
    <xf numFmtId="0" fontId="17" fillId="6" borderId="11" applyAlignment="1" pivotButton="0" quotePrefix="0" xfId="0">
      <alignment vertical="center"/>
    </xf>
    <xf numFmtId="0" fontId="24" fillId="6" borderId="1" applyAlignment="1" pivotButton="0" quotePrefix="0" xfId="0">
      <alignment horizontal="left" indent="1"/>
    </xf>
    <xf numFmtId="185" fontId="24" fillId="6" borderId="1" applyAlignment="1" pivotButton="0" quotePrefix="0" xfId="0">
      <alignment horizontal="left"/>
    </xf>
    <xf numFmtId="3" fontId="24" fillId="6" borderId="1" applyAlignment="1" pivotButton="0" quotePrefix="0" xfId="0">
      <alignment horizontal="left" indent="1"/>
    </xf>
    <xf numFmtId="168" fontId="32" fillId="6" borderId="0" pivotButton="0" quotePrefix="0" xfId="2"/>
    <xf numFmtId="0" fontId="0" fillId="6" borderId="0" applyAlignment="1" pivotButton="0" quotePrefix="0" xfId="0">
      <alignment horizontal="right"/>
    </xf>
    <xf numFmtId="169" fontId="7" fillId="3" borderId="0" pivotButton="0" quotePrefix="0" xfId="0"/>
    <xf numFmtId="167" fontId="7" fillId="3" borderId="0" pivotButton="0" quotePrefix="0" xfId="0"/>
    <xf numFmtId="169" fontId="4" fillId="6" borderId="0" pivotButton="0" quotePrefix="0" xfId="0"/>
    <xf numFmtId="167" fontId="4" fillId="6" borderId="0" pivotButton="0" quotePrefix="0" xfId="0"/>
    <xf numFmtId="170" fontId="23" fillId="0" borderId="0" applyAlignment="1" pivotButton="0" quotePrefix="0" xfId="0">
      <alignment vertical="center"/>
    </xf>
    <xf numFmtId="0" fontId="8" fillId="0" borderId="0" pivotButton="0" quotePrefix="0" xfId="0"/>
    <xf numFmtId="167" fontId="0" fillId="0" borderId="0" pivotButton="0" quotePrefix="0" xfId="4"/>
    <xf numFmtId="0" fontId="7" fillId="6" borderId="0" applyAlignment="1" pivotButton="0" quotePrefix="0" xfId="0">
      <alignment vertical="center"/>
    </xf>
    <xf numFmtId="0" fontId="7" fillId="6" borderId="0" applyAlignment="1" pivotButton="0" quotePrefix="0" xfId="0">
      <alignment horizontal="left" vertical="center" indent="1"/>
    </xf>
    <xf numFmtId="3" fontId="7" fillId="6" borderId="0" applyAlignment="1" pivotButton="0" quotePrefix="0" xfId="0">
      <alignment vertical="center"/>
    </xf>
    <xf numFmtId="0" fontId="7" fillId="6" borderId="0" applyAlignment="1" pivotButton="0" quotePrefix="0" xfId="0">
      <alignment horizontal="left" vertical="center" indent="2"/>
    </xf>
    <xf numFmtId="0" fontId="4" fillId="6" borderId="0" applyAlignment="1" pivotButton="0" quotePrefix="0" xfId="0">
      <alignment horizontal="left" vertical="center" indent="3"/>
    </xf>
    <xf numFmtId="184" fontId="4" fillId="6" borderId="0" applyAlignment="1" pivotButton="0" quotePrefix="0" xfId="0">
      <alignment vertical="center"/>
    </xf>
    <xf numFmtId="171" fontId="4" fillId="6" borderId="0" applyAlignment="1" pivotButton="0" quotePrefix="0" xfId="0">
      <alignment vertical="center"/>
    </xf>
    <xf numFmtId="171" fontId="4" fillId="6" borderId="1" applyAlignment="1" pivotButton="0" quotePrefix="0" xfId="0">
      <alignment vertical="center"/>
    </xf>
    <xf numFmtId="171" fontId="4" fillId="6" borderId="0" applyAlignment="1" pivotButton="0" quotePrefix="0" xfId="4">
      <alignment vertical="center"/>
    </xf>
    <xf numFmtId="165" fontId="7" fillId="6" borderId="1" applyAlignment="1" pivotButton="0" quotePrefix="0" xfId="0">
      <alignment vertical="center"/>
    </xf>
    <xf numFmtId="165" fontId="7" fillId="6" borderId="0" applyAlignment="1" pivotButton="0" quotePrefix="0" xfId="0">
      <alignment vertical="center"/>
    </xf>
    <xf numFmtId="0" fontId="4" fillId="6" borderId="0" applyAlignment="1" pivotButton="0" quotePrefix="0" xfId="0">
      <alignment horizontal="left" vertical="center" indent="2"/>
    </xf>
    <xf numFmtId="0" fontId="4" fillId="6" borderId="0" applyAlignment="1" pivotButton="0" quotePrefix="0" xfId="0">
      <alignment horizontal="left" vertical="center" indent="1"/>
    </xf>
    <xf numFmtId="9" fontId="4" fillId="6" borderId="0" applyAlignment="1" pivotButton="0" quotePrefix="0" xfId="4">
      <alignment vertical="center"/>
    </xf>
    <xf numFmtId="0" fontId="7" fillId="6" borderId="0" applyAlignment="1" applyProtection="1" pivotButton="0" quotePrefix="0" xfId="0">
      <alignment horizontal="center"/>
      <protection locked="0" hidden="0"/>
    </xf>
    <xf numFmtId="165" fontId="7" fillId="6" borderId="0" pivotButton="0" quotePrefix="0" xfId="0"/>
    <xf numFmtId="170" fontId="32" fillId="6" borderId="0" pivotButton="0" quotePrefix="0" xfId="0"/>
    <xf numFmtId="9" fontId="41" fillId="6" borderId="14" applyAlignment="1" pivotButton="0" quotePrefix="0" xfId="4">
      <alignment horizontal="center" vertical="center" wrapText="1"/>
    </xf>
    <xf numFmtId="9" fontId="41" fillId="0" borderId="14" applyAlignment="1" pivotButton="0" quotePrefix="0" xfId="4">
      <alignment horizontal="center" vertical="center" wrapText="1"/>
    </xf>
    <xf numFmtId="9" fontId="41" fillId="0" borderId="0" applyAlignment="1" pivotButton="0" quotePrefix="0" xfId="4">
      <alignment horizontal="center" vertical="center" wrapText="1"/>
    </xf>
    <xf numFmtId="180" fontId="41" fillId="0" borderId="16" applyAlignment="1" pivotButton="0" quotePrefix="0" xfId="0">
      <alignment horizontal="center" vertical="center" wrapText="1"/>
    </xf>
    <xf numFmtId="3" fontId="41" fillId="0" borderId="16" applyAlignment="1" pivotButton="0" quotePrefix="0" xfId="0">
      <alignment horizontal="center" vertical="center" wrapText="1"/>
    </xf>
    <xf numFmtId="0" fontId="41" fillId="0" borderId="16" applyAlignment="1" pivotButton="0" quotePrefix="0" xfId="0">
      <alignment horizontal="center" vertical="center" wrapText="1"/>
    </xf>
    <xf numFmtId="2" fontId="41" fillId="0" borderId="16" applyAlignment="1" pivotButton="0" quotePrefix="0" xfId="4">
      <alignment horizontal="center" vertical="center" wrapText="1"/>
    </xf>
    <xf numFmtId="9" fontId="41" fillId="0" borderId="21" applyAlignment="1" pivotButton="0" quotePrefix="0" xfId="4">
      <alignment horizontal="center" vertical="center" wrapText="1"/>
    </xf>
    <xf numFmtId="164" fontId="43" fillId="3" borderId="8" applyAlignment="1" pivotButton="0" quotePrefix="0" xfId="0">
      <alignment horizontal="center" vertical="center" wrapText="1"/>
    </xf>
    <xf numFmtId="9" fontId="43" fillId="3" borderId="17" applyAlignment="1" pivotButton="0" quotePrefix="0" xfId="0">
      <alignment horizontal="center" vertical="center" wrapText="1"/>
    </xf>
    <xf numFmtId="164" fontId="43" fillId="3" borderId="17" applyAlignment="1" pivotButton="0" quotePrefix="0" xfId="0">
      <alignment horizontal="center" vertical="center" wrapText="1"/>
    </xf>
    <xf numFmtId="165" fontId="19" fillId="3" borderId="1" applyAlignment="1" pivotButton="0" quotePrefix="0" xfId="0">
      <alignment horizontal="center" vertical="center"/>
    </xf>
    <xf numFmtId="0" fontId="45" fillId="4" borderId="0" applyAlignment="1" pivotButton="0" quotePrefix="0" xfId="0">
      <alignment horizontal="center" vertical="center"/>
    </xf>
    <xf numFmtId="0" fontId="47" fillId="0" borderId="0" applyAlignment="1" pivotButton="0" quotePrefix="0" xfId="0">
      <alignment vertical="center"/>
    </xf>
    <xf numFmtId="0" fontId="47" fillId="0" borderId="2" applyAlignment="1" pivotButton="0" quotePrefix="0" xfId="0">
      <alignment horizontal="right" vertical="center"/>
    </xf>
    <xf numFmtId="0" fontId="47" fillId="0" borderId="2" applyAlignment="1" pivotButton="0" quotePrefix="0" xfId="0">
      <alignment horizontal="right" vertical="center" wrapText="1"/>
    </xf>
    <xf numFmtId="0" fontId="49" fillId="0" borderId="2" applyAlignment="1" pivotButton="0" quotePrefix="0" xfId="0">
      <alignment horizontal="right" vertical="center"/>
    </xf>
    <xf numFmtId="165" fontId="49" fillId="0" borderId="2" applyAlignment="1" pivotButton="0" quotePrefix="0" xfId="3">
      <alignment horizontal="right" vertical="center"/>
    </xf>
    <xf numFmtId="0" fontId="48" fillId="0" borderId="2" applyAlignment="1" pivotButton="0" quotePrefix="0" xfId="0">
      <alignment vertical="center" justifyLastLine="1"/>
    </xf>
    <xf numFmtId="0" fontId="48" fillId="0" borderId="0" applyAlignment="1" pivotButton="0" quotePrefix="0" xfId="0">
      <alignment horizontal="right" vertical="center" justifyLastLine="1"/>
    </xf>
    <xf numFmtId="0" fontId="49" fillId="0" borderId="2" applyAlignment="1" pivotButton="0" quotePrefix="0" xfId="0">
      <alignment horizontal="right" vertical="center" wrapText="1"/>
    </xf>
    <xf numFmtId="3" fontId="47" fillId="0" borderId="2" applyAlignment="1" pivotButton="0" quotePrefix="0" xfId="2">
      <alignment horizontal="right" vertical="center"/>
    </xf>
    <xf numFmtId="165" fontId="41" fillId="0" borderId="2" applyAlignment="1" pivotButton="0" quotePrefix="0" xfId="3">
      <alignment horizontal="right" vertical="center" wrapText="1"/>
    </xf>
    <xf numFmtId="0" fontId="50" fillId="3" borderId="6" applyAlignment="1" pivotButton="0" quotePrefix="0" xfId="0">
      <alignment vertical="center"/>
    </xf>
    <xf numFmtId="170" fontId="50" fillId="3" borderId="34" applyAlignment="1" pivotButton="0" quotePrefix="0" xfId="3">
      <alignment horizontal="right" vertical="center"/>
    </xf>
    <xf numFmtId="0" fontId="48" fillId="3" borderId="34" applyAlignment="1" pivotButton="0" quotePrefix="0" xfId="0">
      <alignment horizontal="right" vertical="center"/>
    </xf>
    <xf numFmtId="170" fontId="44" fillId="3" borderId="6" applyAlignment="1" pivotButton="0" quotePrefix="0" xfId="3">
      <alignment horizontal="right" vertical="center"/>
    </xf>
    <xf numFmtId="0" fontId="48" fillId="3" borderId="8" applyAlignment="1" pivotButton="0" quotePrefix="0" xfId="0">
      <alignment horizontal="right" vertical="center"/>
    </xf>
    <xf numFmtId="170" fontId="44" fillId="3" borderId="9" applyAlignment="1" pivotButton="0" quotePrefix="0" xfId="3">
      <alignment horizontal="right" vertical="center"/>
    </xf>
    <xf numFmtId="170" fontId="44" fillId="3" borderId="37" applyAlignment="1" pivotButton="0" quotePrefix="0" xfId="3">
      <alignment horizontal="right" vertical="center"/>
    </xf>
    <xf numFmtId="0" fontId="21" fillId="4" borderId="6" applyAlignment="1" pivotButton="0" quotePrefix="0" xfId="0">
      <alignment vertical="center"/>
    </xf>
    <xf numFmtId="0" fontId="47" fillId="4" borderId="34" applyAlignment="1" pivotButton="0" quotePrefix="0" xfId="0">
      <alignment horizontal="right" vertical="center"/>
    </xf>
    <xf numFmtId="0" fontId="48" fillId="4" borderId="34" applyAlignment="1" pivotButton="0" quotePrefix="0" xfId="0">
      <alignment horizontal="right" vertical="center"/>
    </xf>
    <xf numFmtId="0" fontId="48" fillId="4" borderId="6" applyAlignment="1" pivotButton="0" quotePrefix="0" xfId="0">
      <alignment horizontal="right" vertical="center"/>
    </xf>
    <xf numFmtId="0" fontId="48" fillId="4" borderId="2" applyAlignment="1" pivotButton="0" quotePrefix="0" xfId="0">
      <alignment horizontal="right" vertical="center"/>
    </xf>
    <xf numFmtId="0" fontId="48" fillId="4" borderId="0" applyAlignment="1" pivotButton="0" quotePrefix="0" xfId="0">
      <alignment horizontal="right" vertical="center"/>
    </xf>
    <xf numFmtId="0" fontId="48" fillId="4" borderId="37" applyAlignment="1" pivotButton="0" quotePrefix="0" xfId="0">
      <alignment horizontal="right" vertical="center"/>
    </xf>
    <xf numFmtId="0" fontId="47" fillId="0" borderId="6" applyAlignment="1" pivotButton="0" quotePrefix="0" xfId="0">
      <alignment vertical="center"/>
    </xf>
    <xf numFmtId="0" fontId="49" fillId="0" borderId="34" applyAlignment="1" pivotButton="0" quotePrefix="0" xfId="0">
      <alignment horizontal="right" vertical="center"/>
    </xf>
    <xf numFmtId="0" fontId="48" fillId="0" borderId="34" applyAlignment="1" pivotButton="0" quotePrefix="0" xfId="0">
      <alignment horizontal="right" vertical="center"/>
    </xf>
    <xf numFmtId="186" fontId="44" fillId="0" borderId="6" applyAlignment="1" pivotButton="0" quotePrefix="0" xfId="4">
      <alignment horizontal="right" vertical="center"/>
    </xf>
    <xf numFmtId="0" fontId="48" fillId="0" borderId="2" applyAlignment="1" pivotButton="0" quotePrefix="0" xfId="0">
      <alignment horizontal="right" vertical="center"/>
    </xf>
    <xf numFmtId="186" fontId="44" fillId="0" borderId="0" applyAlignment="1" pivotButton="0" quotePrefix="0" xfId="4">
      <alignment horizontal="right" vertical="center"/>
    </xf>
    <xf numFmtId="186" fontId="44" fillId="0" borderId="37" applyAlignment="1" pivotButton="0" quotePrefix="0" xfId="4">
      <alignment horizontal="right" vertical="center"/>
    </xf>
    <xf numFmtId="0" fontId="47" fillId="0" borderId="0" applyAlignment="1" pivotButton="0" quotePrefix="0" xfId="0">
      <alignment horizontal="left" vertical="center"/>
    </xf>
    <xf numFmtId="170" fontId="44" fillId="0" borderId="0" applyAlignment="1" pivotButton="0" quotePrefix="0" xfId="3">
      <alignment horizontal="right" vertical="center"/>
    </xf>
    <xf numFmtId="170" fontId="52" fillId="0" borderId="0" applyAlignment="1" pivotButton="0" quotePrefix="0" xfId="3">
      <alignment horizontal="right" vertical="center"/>
    </xf>
    <xf numFmtId="170" fontId="52" fillId="0" borderId="14" applyAlignment="1" pivotButton="0" quotePrefix="0" xfId="3">
      <alignment horizontal="right" vertical="center"/>
    </xf>
    <xf numFmtId="186" fontId="43" fillId="0" borderId="0" applyAlignment="1" pivotButton="0" quotePrefix="0" xfId="4">
      <alignment horizontal="right" vertical="center"/>
    </xf>
    <xf numFmtId="186" fontId="44" fillId="0" borderId="14" applyAlignment="1" pivotButton="0" quotePrefix="0" xfId="4">
      <alignment horizontal="right" vertical="center"/>
    </xf>
    <xf numFmtId="170" fontId="44" fillId="0" borderId="14" applyAlignment="1" pivotButton="0" quotePrefix="0" xfId="3">
      <alignment horizontal="right" vertical="center"/>
    </xf>
    <xf numFmtId="180" fontId="48" fillId="0" borderId="2" applyAlignment="1" pivotButton="0" quotePrefix="0" xfId="0">
      <alignment horizontal="right" vertical="center"/>
    </xf>
    <xf numFmtId="0" fontId="50" fillId="3" borderId="24" applyAlignment="1" pivotButton="0" quotePrefix="0" xfId="0">
      <alignment vertical="center" wrapText="1"/>
    </xf>
    <xf numFmtId="0" fontId="52" fillId="3" borderId="35" applyAlignment="1" pivotButton="0" quotePrefix="0" xfId="0">
      <alignment horizontal="right" vertical="center" wrapText="1"/>
    </xf>
    <xf numFmtId="0" fontId="48" fillId="3" borderId="35" applyAlignment="1" pivotButton="0" quotePrefix="0" xfId="0">
      <alignment horizontal="right" vertical="center"/>
    </xf>
    <xf numFmtId="0" fontId="52" fillId="3" borderId="24" applyAlignment="1" pivotButton="0" quotePrefix="0" xfId="0">
      <alignment horizontal="right" vertical="center" wrapText="1"/>
    </xf>
    <xf numFmtId="0" fontId="52" fillId="3" borderId="9" applyAlignment="1" pivotButton="0" quotePrefix="0" xfId="0">
      <alignment horizontal="right" vertical="center" wrapText="1"/>
    </xf>
    <xf numFmtId="0" fontId="52" fillId="3" borderId="38" applyAlignment="1" pivotButton="0" quotePrefix="0" xfId="0">
      <alignment horizontal="right" vertical="center" wrapText="1"/>
    </xf>
    <xf numFmtId="9" fontId="50" fillId="3" borderId="24" applyAlignment="1" pivotButton="0" quotePrefix="0" xfId="4">
      <alignment vertical="center"/>
    </xf>
    <xf numFmtId="9" fontId="47" fillId="3" borderId="35" applyAlignment="1" pivotButton="0" quotePrefix="0" xfId="4">
      <alignment horizontal="right" vertical="center"/>
    </xf>
    <xf numFmtId="170" fontId="44" fillId="3" borderId="24" applyAlignment="1" pivotButton="0" quotePrefix="0" xfId="0">
      <alignment horizontal="right" vertical="center"/>
    </xf>
    <xf numFmtId="170" fontId="44" fillId="3" borderId="9" applyAlignment="1" pivotButton="0" quotePrefix="0" xfId="0">
      <alignment horizontal="right" vertical="center"/>
    </xf>
    <xf numFmtId="170" fontId="44" fillId="3" borderId="38" applyAlignment="1" pivotButton="0" quotePrefix="0" xfId="0">
      <alignment horizontal="right" vertical="center"/>
    </xf>
    <xf numFmtId="0" fontId="21" fillId="0" borderId="0" applyAlignment="1" pivotButton="0" quotePrefix="0" xfId="0">
      <alignment vertical="center"/>
    </xf>
    <xf numFmtId="0" fontId="54" fillId="0" borderId="2" applyAlignment="1" pivotButton="0" quotePrefix="0" xfId="0">
      <alignment horizontal="right" vertical="center"/>
    </xf>
    <xf numFmtId="0" fontId="55" fillId="0" borderId="2" applyAlignment="1" pivotButton="0" quotePrefix="0" xfId="0">
      <alignment horizontal="right" vertical="center"/>
    </xf>
    <xf numFmtId="186" fontId="55" fillId="0" borderId="0" applyAlignment="1" pivotButton="0" quotePrefix="0" xfId="0">
      <alignment horizontal="right" vertical="center"/>
    </xf>
    <xf numFmtId="186" fontId="55" fillId="0" borderId="14" applyAlignment="1" pivotButton="0" quotePrefix="0" xfId="0">
      <alignment horizontal="right" vertical="center"/>
    </xf>
    <xf numFmtId="9" fontId="50" fillId="3" borderId="0" applyAlignment="1" pivotButton="0" quotePrefix="0" xfId="4">
      <alignment vertical="center"/>
    </xf>
    <xf numFmtId="1" fontId="52" fillId="3" borderId="2" applyAlignment="1" pivotButton="0" quotePrefix="0" xfId="0">
      <alignment horizontal="right" vertical="center"/>
    </xf>
    <xf numFmtId="0" fontId="44" fillId="3" borderId="2" applyAlignment="1" pivotButton="0" quotePrefix="0" xfId="0">
      <alignment horizontal="right" vertical="center"/>
    </xf>
    <xf numFmtId="186" fontId="43" fillId="3" borderId="0" applyAlignment="1" pivotButton="0" quotePrefix="0" xfId="4">
      <alignment horizontal="right" vertical="center"/>
    </xf>
    <xf numFmtId="186" fontId="43" fillId="3" borderId="14" applyAlignment="1" pivotButton="0" quotePrefix="0" xfId="4">
      <alignment horizontal="right" vertical="center"/>
    </xf>
    <xf numFmtId="0" fontId="54" fillId="0" borderId="0" applyAlignment="1" pivotButton="0" quotePrefix="0" xfId="0">
      <alignment horizontal="left" vertical="center"/>
    </xf>
    <xf numFmtId="1" fontId="56" fillId="0" borderId="2" applyAlignment="1" pivotButton="0" quotePrefix="0" xfId="0">
      <alignment horizontal="right" vertical="center" wrapText="1"/>
    </xf>
    <xf numFmtId="186" fontId="43" fillId="0" borderId="14" applyAlignment="1" pivotButton="0" quotePrefix="0" xfId="4">
      <alignment horizontal="right" vertical="center"/>
    </xf>
    <xf numFmtId="9" fontId="56" fillId="0" borderId="2" applyAlignment="1" pivotButton="0" quotePrefix="0" xfId="4">
      <alignment horizontal="right" vertical="center"/>
    </xf>
    <xf numFmtId="9" fontId="57" fillId="0" borderId="2" applyAlignment="1" pivotButton="0" quotePrefix="0" xfId="0">
      <alignment horizontal="right" vertical="center" wrapText="1"/>
    </xf>
    <xf numFmtId="0" fontId="54" fillId="6" borderId="0" applyAlignment="1" pivotButton="0" quotePrefix="0" xfId="0">
      <alignment horizontal="left" vertical="center"/>
    </xf>
    <xf numFmtId="9" fontId="56" fillId="6" borderId="2" applyAlignment="1" pivotButton="0" quotePrefix="0" xfId="4">
      <alignment horizontal="right" vertical="center" wrapText="1"/>
    </xf>
    <xf numFmtId="0" fontId="50" fillId="3" borderId="0" applyAlignment="1" pivotButton="0" quotePrefix="0" xfId="0">
      <alignment vertical="center"/>
    </xf>
    <xf numFmtId="3" fontId="44" fillId="3" borderId="2" applyAlignment="1" pivotButton="0" quotePrefix="0" xfId="2">
      <alignment horizontal="right" vertical="center"/>
    </xf>
    <xf numFmtId="1" fontId="50" fillId="3" borderId="0" applyAlignment="1" pivotButton="0" quotePrefix="0" xfId="0">
      <alignment vertical="center"/>
    </xf>
    <xf numFmtId="186" fontId="53" fillId="0" borderId="0" applyAlignment="1" pivotButton="0" quotePrefix="0" xfId="4">
      <alignment horizontal="right" vertical="center"/>
    </xf>
    <xf numFmtId="186" fontId="53" fillId="0" borderId="14" applyAlignment="1" pivotButton="0" quotePrefix="0" xfId="4">
      <alignment horizontal="right" vertical="center"/>
    </xf>
    <xf numFmtId="9" fontId="56" fillId="0" borderId="2" applyAlignment="1" pivotButton="0" quotePrefix="0" xfId="4">
      <alignment horizontal="right" vertical="center" wrapText="1"/>
    </xf>
    <xf numFmtId="2" fontId="52" fillId="3" borderId="2" applyAlignment="1" pivotButton="0" quotePrefix="0" xfId="4">
      <alignment horizontal="right" vertical="center" wrapText="1"/>
    </xf>
    <xf numFmtId="2" fontId="52" fillId="3" borderId="2" applyAlignment="1" pivotButton="0" quotePrefix="0" xfId="4">
      <alignment horizontal="right" vertical="center"/>
    </xf>
    <xf numFmtId="1" fontId="56" fillId="6" borderId="2" applyAlignment="1" pivotButton="0" quotePrefix="0" xfId="0">
      <alignment horizontal="right" vertical="center"/>
    </xf>
    <xf numFmtId="10" fontId="56" fillId="0" borderId="2" applyAlignment="1" pivotButton="0" quotePrefix="0" xfId="4">
      <alignment horizontal="right" vertical="center"/>
    </xf>
    <xf numFmtId="168" fontId="56" fillId="0" borderId="2" applyAlignment="1" pivotButton="0" quotePrefix="0" xfId="2">
      <alignment horizontal="right" vertical="center"/>
    </xf>
    <xf numFmtId="0" fontId="43" fillId="3" borderId="2" applyAlignment="1" pivotButton="0" quotePrefix="0" xfId="0">
      <alignment horizontal="right" vertical="center"/>
    </xf>
    <xf numFmtId="186" fontId="52" fillId="3" borderId="0" applyAlignment="1" pivotButton="0" quotePrefix="0" xfId="4">
      <alignment horizontal="right" vertical="center"/>
    </xf>
    <xf numFmtId="186" fontId="52" fillId="3" borderId="14" applyAlignment="1" pivotButton="0" quotePrefix="0" xfId="4">
      <alignment horizontal="right" vertical="center"/>
    </xf>
    <xf numFmtId="0" fontId="56" fillId="0" borderId="2" applyAlignment="1" pivotButton="0" quotePrefix="0" xfId="4">
      <alignment horizontal="right" vertical="center" wrapText="1"/>
    </xf>
    <xf numFmtId="186" fontId="53" fillId="0" borderId="1" applyAlignment="1" pivotButton="0" quotePrefix="0" xfId="4">
      <alignment horizontal="right" vertical="center"/>
    </xf>
    <xf numFmtId="0" fontId="52" fillId="3" borderId="6" applyAlignment="1" pivotButton="0" quotePrefix="0" xfId="0">
      <alignment vertical="center"/>
    </xf>
    <xf numFmtId="0" fontId="52" fillId="3" borderId="34" applyAlignment="1" pivotButton="0" quotePrefix="0" xfId="0">
      <alignment vertical="center"/>
    </xf>
    <xf numFmtId="0" fontId="50" fillId="3" borderId="34" applyAlignment="1" pivotButton="0" quotePrefix="0" xfId="0">
      <alignment vertical="center"/>
    </xf>
    <xf numFmtId="186" fontId="50" fillId="3" borderId="6" applyAlignment="1" pivotButton="0" quotePrefix="0" xfId="3">
      <alignment vertical="center"/>
    </xf>
    <xf numFmtId="0" fontId="50" fillId="3" borderId="45" applyAlignment="1" pivotButton="0" quotePrefix="0" xfId="0">
      <alignment vertical="center"/>
    </xf>
    <xf numFmtId="186" fontId="50" fillId="3" borderId="1" applyAlignment="1" pivotButton="0" quotePrefix="0" xfId="3">
      <alignment vertical="center"/>
    </xf>
    <xf numFmtId="0" fontId="50" fillId="3" borderId="35" applyAlignment="1" pivotButton="0" quotePrefix="0" xfId="0">
      <alignment vertical="center"/>
    </xf>
    <xf numFmtId="186" fontId="50" fillId="3" borderId="38" applyAlignment="1" pivotButton="0" quotePrefix="0" xfId="3">
      <alignment vertical="center"/>
    </xf>
    <xf numFmtId="0" fontId="52" fillId="8" borderId="24" applyAlignment="1" pivotButton="0" quotePrefix="0" xfId="0">
      <alignment vertical="center"/>
    </xf>
    <xf numFmtId="0" fontId="52" fillId="8" borderId="35" applyAlignment="1" pivotButton="0" quotePrefix="0" xfId="0">
      <alignment vertical="center"/>
    </xf>
    <xf numFmtId="0" fontId="50" fillId="8" borderId="35" applyAlignment="1" pivotButton="0" quotePrefix="0" xfId="0">
      <alignment horizontal="right" vertical="center"/>
    </xf>
    <xf numFmtId="170" fontId="50" fillId="8" borderId="24" applyAlignment="1" pivotButton="0" quotePrefix="0" xfId="3">
      <alignment vertical="center"/>
    </xf>
    <xf numFmtId="170" fontId="50" fillId="8" borderId="1" applyAlignment="1" pivotButton="0" quotePrefix="0" xfId="3">
      <alignment vertical="center"/>
    </xf>
    <xf numFmtId="170" fontId="50" fillId="8" borderId="38" applyAlignment="1" pivotButton="0" quotePrefix="0" xfId="3">
      <alignment vertical="center"/>
    </xf>
    <xf numFmtId="0" fontId="44" fillId="3" borderId="2" applyAlignment="1" pivotButton="0" quotePrefix="0" xfId="0">
      <alignment horizontal="right" vertical="center" wrapText="1"/>
    </xf>
    <xf numFmtId="0" fontId="13" fillId="13" borderId="0" applyAlignment="1" pivotButton="0" quotePrefix="0" xfId="0">
      <alignment horizontal="left"/>
    </xf>
    <xf numFmtId="187" fontId="13" fillId="13" borderId="0" applyAlignment="1" pivotButton="0" quotePrefix="0" xfId="0">
      <alignment horizontal="center"/>
    </xf>
    <xf numFmtId="0" fontId="13" fillId="13" borderId="0" applyAlignment="1" pivotButton="0" quotePrefix="0" xfId="0">
      <alignment horizontal="center"/>
    </xf>
    <xf numFmtId="171" fontId="13" fillId="13" borderId="0" applyAlignment="1" pivotButton="0" quotePrefix="0" xfId="4">
      <alignment horizontal="center"/>
    </xf>
    <xf numFmtId="0" fontId="13" fillId="13" borderId="1" applyAlignment="1" pivotButton="0" quotePrefix="0" xfId="0">
      <alignment horizontal="left"/>
    </xf>
    <xf numFmtId="187" fontId="13" fillId="13" borderId="1" applyAlignment="1" pivotButton="0" quotePrefix="0" xfId="0">
      <alignment horizontal="center"/>
    </xf>
    <xf numFmtId="170" fontId="47" fillId="0" borderId="1" pivotButton="0" quotePrefix="0" xfId="0"/>
    <xf numFmtId="0" fontId="48" fillId="4" borderId="9" applyAlignment="1" pivotButton="0" quotePrefix="0" xfId="0">
      <alignment horizontal="right" vertical="center"/>
    </xf>
    <xf numFmtId="0" fontId="48" fillId="3" borderId="0" applyAlignment="1" pivotButton="0" quotePrefix="0" xfId="0">
      <alignment horizontal="right" vertical="center"/>
    </xf>
    <xf numFmtId="170" fontId="44" fillId="3" borderId="0" applyAlignment="1" pivotButton="0" quotePrefix="0" xfId="3">
      <alignment horizontal="right" vertical="center"/>
    </xf>
    <xf numFmtId="0" fontId="48" fillId="0" borderId="0" applyAlignment="1" pivotButton="0" quotePrefix="0" xfId="0">
      <alignment horizontal="right" vertical="center"/>
    </xf>
    <xf numFmtId="186" fontId="51" fillId="0" borderId="0" applyAlignment="1" pivotButton="0" quotePrefix="0" xfId="4">
      <alignment horizontal="right" vertical="center"/>
    </xf>
    <xf numFmtId="0" fontId="53" fillId="0" borderId="0" applyAlignment="1" pivotButton="0" quotePrefix="0" xfId="0">
      <alignment horizontal="right" vertical="center"/>
    </xf>
    <xf numFmtId="180" fontId="53" fillId="0" borderId="0" applyAlignment="1" pivotButton="0" quotePrefix="0" xfId="0">
      <alignment horizontal="right" vertical="center"/>
    </xf>
    <xf numFmtId="0" fontId="52" fillId="3" borderId="0" applyAlignment="1" pivotButton="0" quotePrefix="0" xfId="0">
      <alignment horizontal="right" vertical="center" wrapText="1"/>
    </xf>
    <xf numFmtId="170" fontId="44" fillId="3" borderId="0" applyAlignment="1" pivotButton="0" quotePrefix="0" xfId="0">
      <alignment horizontal="right" vertical="center"/>
    </xf>
    <xf numFmtId="0" fontId="55" fillId="0" borderId="0" applyAlignment="1" pivotButton="0" quotePrefix="0" xfId="0">
      <alignment horizontal="right" vertical="center"/>
    </xf>
    <xf numFmtId="0" fontId="44" fillId="3" borderId="0" applyAlignment="1" pivotButton="0" quotePrefix="0" xfId="0">
      <alignment horizontal="right" vertical="center"/>
    </xf>
    <xf numFmtId="1" fontId="56" fillId="0" borderId="0" applyAlignment="1" pivotButton="0" quotePrefix="0" xfId="0">
      <alignment horizontal="right" vertical="center" wrapText="1"/>
    </xf>
    <xf numFmtId="9" fontId="56" fillId="0" borderId="0" applyAlignment="1" pivotButton="0" quotePrefix="0" xfId="4">
      <alignment horizontal="right" vertical="center"/>
    </xf>
    <xf numFmtId="9" fontId="57" fillId="0" borderId="0" applyAlignment="1" pivotButton="0" quotePrefix="0" xfId="0">
      <alignment horizontal="right" vertical="center" wrapText="1"/>
    </xf>
    <xf numFmtId="9" fontId="56" fillId="6" borderId="0" applyAlignment="1" pivotButton="0" quotePrefix="0" xfId="4">
      <alignment horizontal="right" vertical="center" wrapText="1"/>
    </xf>
    <xf numFmtId="3" fontId="44" fillId="3" borderId="0" applyAlignment="1" pivotButton="0" quotePrefix="0" xfId="2">
      <alignment horizontal="right" vertical="center"/>
    </xf>
    <xf numFmtId="9" fontId="56" fillId="0" borderId="0" applyAlignment="1" pivotButton="0" quotePrefix="0" xfId="4">
      <alignment horizontal="right" vertical="center" wrapText="1"/>
    </xf>
    <xf numFmtId="2" fontId="52" fillId="3" borderId="0" applyAlignment="1" pivotButton="0" quotePrefix="0" xfId="4">
      <alignment horizontal="right" vertical="center"/>
    </xf>
    <xf numFmtId="10" fontId="56" fillId="0" borderId="0" applyAlignment="1" pivotButton="0" quotePrefix="0" xfId="4">
      <alignment horizontal="right" vertical="center"/>
    </xf>
    <xf numFmtId="168" fontId="56" fillId="0" borderId="0" applyAlignment="1" pivotButton="0" quotePrefix="0" xfId="2">
      <alignment horizontal="right" vertical="center"/>
    </xf>
    <xf numFmtId="3" fontId="57" fillId="0" borderId="0" applyAlignment="1" pivotButton="0" quotePrefix="0" xfId="0">
      <alignment horizontal="right" vertical="center" wrapText="1"/>
    </xf>
    <xf numFmtId="186" fontId="50" fillId="3" borderId="0" applyAlignment="1" pivotButton="0" quotePrefix="0" xfId="3">
      <alignment vertical="center"/>
    </xf>
    <xf numFmtId="0" fontId="50" fillId="8" borderId="0" applyAlignment="1" pivotButton="0" quotePrefix="0" xfId="0">
      <alignment horizontal="right" vertical="center"/>
    </xf>
    <xf numFmtId="170" fontId="50" fillId="8" borderId="0" applyAlignment="1" pivotButton="0" quotePrefix="0" xfId="3">
      <alignment vertical="center"/>
    </xf>
    <xf numFmtId="169" fontId="48" fillId="6" borderId="2" applyAlignment="1" pivotButton="0" quotePrefix="0" xfId="3">
      <alignment horizontal="right" vertical="top" justifyLastLine="1"/>
    </xf>
    <xf numFmtId="169" fontId="48" fillId="6" borderId="0" applyAlignment="1" pivotButton="0" quotePrefix="0" xfId="3">
      <alignment horizontal="right" vertical="top" justifyLastLine="1"/>
    </xf>
    <xf numFmtId="0" fontId="47" fillId="6" borderId="0" pivotButton="0" quotePrefix="0" xfId="0"/>
    <xf numFmtId="0" fontId="47" fillId="6" borderId="0" applyAlignment="1" pivotButton="0" quotePrefix="0" xfId="0">
      <alignment vertical="top"/>
    </xf>
    <xf numFmtId="0" fontId="50" fillId="3" borderId="6" pivotButton="0" quotePrefix="0" xfId="0"/>
    <xf numFmtId="170" fontId="44" fillId="3" borderId="6" applyAlignment="1" pivotButton="0" quotePrefix="0" xfId="3">
      <alignment horizontal="right" vertical="top"/>
    </xf>
    <xf numFmtId="170" fontId="44" fillId="3" borderId="37" applyAlignment="1" pivotButton="0" quotePrefix="0" xfId="3">
      <alignment horizontal="right" vertical="top"/>
    </xf>
    <xf numFmtId="0" fontId="48" fillId="3" borderId="6" applyAlignment="1" pivotButton="0" quotePrefix="0" xfId="0">
      <alignment horizontal="right" vertical="top"/>
    </xf>
    <xf numFmtId="0" fontId="48" fillId="4" borderId="6" applyAlignment="1" pivotButton="0" quotePrefix="0" xfId="0">
      <alignment horizontal="right" vertical="top"/>
    </xf>
    <xf numFmtId="0" fontId="47" fillId="6" borderId="6" pivotButton="0" quotePrefix="0" xfId="0"/>
    <xf numFmtId="186" fontId="51" fillId="6" borderId="6" applyAlignment="1" pivotButton="0" quotePrefix="0" xfId="4">
      <alignment horizontal="right" vertical="top"/>
    </xf>
    <xf numFmtId="0" fontId="48" fillId="6" borderId="6" applyAlignment="1" pivotButton="0" quotePrefix="0" xfId="0">
      <alignment horizontal="right" vertical="top"/>
    </xf>
    <xf numFmtId="0" fontId="47" fillId="6" borderId="0" applyAlignment="1" pivotButton="0" quotePrefix="0" xfId="0">
      <alignment horizontal="left" indent="2"/>
    </xf>
    <xf numFmtId="170" fontId="52" fillId="6" borderId="0" applyAlignment="1" pivotButton="0" quotePrefix="0" xfId="3">
      <alignment horizontal="right" vertical="top"/>
    </xf>
    <xf numFmtId="0" fontId="48" fillId="6" borderId="0" applyAlignment="1" pivotButton="0" quotePrefix="0" xfId="0">
      <alignment horizontal="right" vertical="top"/>
    </xf>
    <xf numFmtId="186" fontId="43" fillId="6" borderId="0" applyAlignment="1" pivotButton="0" quotePrefix="0" xfId="4">
      <alignment horizontal="right" vertical="top"/>
    </xf>
    <xf numFmtId="0" fontId="53" fillId="6" borderId="0" applyAlignment="1" pivotButton="0" quotePrefix="0" xfId="0">
      <alignment horizontal="right" vertical="top"/>
    </xf>
    <xf numFmtId="0" fontId="50" fillId="3" borderId="24" applyAlignment="1" pivotButton="0" quotePrefix="0" xfId="0">
      <alignment wrapText="1"/>
    </xf>
    <xf numFmtId="0" fontId="52" fillId="3" borderId="24" applyAlignment="1" pivotButton="0" quotePrefix="0" xfId="0">
      <alignment horizontal="right" vertical="top" wrapText="1"/>
    </xf>
    <xf numFmtId="0" fontId="48" fillId="3" borderId="24" applyAlignment="1" pivotButton="0" quotePrefix="0" xfId="0">
      <alignment horizontal="right" vertical="top"/>
    </xf>
    <xf numFmtId="9" fontId="50" fillId="3" borderId="24" pivotButton="0" quotePrefix="0" xfId="4"/>
    <xf numFmtId="170" fontId="44" fillId="3" borderId="24" applyAlignment="1" pivotButton="0" quotePrefix="0" xfId="0">
      <alignment horizontal="right" vertical="top"/>
    </xf>
    <xf numFmtId="170" fontId="44" fillId="3" borderId="38" applyAlignment="1" pivotButton="0" quotePrefix="0" xfId="0">
      <alignment horizontal="right" vertical="top"/>
    </xf>
    <xf numFmtId="186" fontId="55" fillId="0" borderId="0" applyAlignment="1" pivotButton="0" quotePrefix="0" xfId="0">
      <alignment horizontal="right" vertical="top"/>
    </xf>
    <xf numFmtId="0" fontId="55" fillId="0" borderId="0" applyAlignment="1" pivotButton="0" quotePrefix="0" xfId="0">
      <alignment horizontal="right" vertical="top"/>
    </xf>
    <xf numFmtId="186" fontId="43" fillId="3" borderId="0" applyAlignment="1" pivotButton="0" quotePrefix="0" xfId="4">
      <alignment horizontal="right" vertical="top"/>
    </xf>
    <xf numFmtId="0" fontId="44" fillId="3" borderId="0" applyAlignment="1" pivotButton="0" quotePrefix="0" xfId="0">
      <alignment horizontal="right" vertical="top"/>
    </xf>
    <xf numFmtId="3" fontId="44" fillId="3" borderId="0" applyAlignment="1" pivotButton="0" quotePrefix="0" xfId="2">
      <alignment horizontal="right" vertical="top"/>
    </xf>
    <xf numFmtId="2" fontId="44" fillId="3" borderId="0" applyAlignment="1" pivotButton="0" quotePrefix="0" xfId="0">
      <alignment horizontal="right" vertical="top"/>
    </xf>
    <xf numFmtId="186" fontId="52" fillId="3" borderId="0" applyAlignment="1" pivotButton="0" quotePrefix="0" xfId="4">
      <alignment horizontal="right" vertical="top"/>
    </xf>
    <xf numFmtId="0" fontId="43" fillId="3" borderId="0" applyAlignment="1" pivotButton="0" quotePrefix="0" xfId="0">
      <alignment horizontal="right" vertical="top"/>
    </xf>
    <xf numFmtId="0" fontId="52" fillId="3" borderId="6" pivotButton="0" quotePrefix="0" xfId="0"/>
    <xf numFmtId="186" fontId="50" fillId="3" borderId="6" pivotButton="0" quotePrefix="0" xfId="3"/>
    <xf numFmtId="0" fontId="52" fillId="8" borderId="24" pivotButton="0" quotePrefix="0" xfId="0"/>
    <xf numFmtId="170" fontId="50" fillId="8" borderId="64" pivotButton="0" quotePrefix="0" xfId="3"/>
    <xf numFmtId="170" fontId="50" fillId="8" borderId="39" pivotButton="0" quotePrefix="0" xfId="3"/>
    <xf numFmtId="0" fontId="50" fillId="8" borderId="64" applyAlignment="1" pivotButton="0" quotePrefix="0" xfId="0">
      <alignment horizontal="right" vertical="top"/>
    </xf>
    <xf numFmtId="0" fontId="39" fillId="2" borderId="0" applyAlignment="1" pivotButton="0" quotePrefix="0" xfId="0">
      <alignment horizontal="center" justifyLastLine="1"/>
    </xf>
    <xf numFmtId="167" fontId="17" fillId="6" borderId="0" applyAlignment="1" pivotButton="0" quotePrefix="0" xfId="3">
      <alignment horizontal="center"/>
    </xf>
    <xf numFmtId="171" fontId="19" fillId="0" borderId="0" applyAlignment="1" pivotButton="0" quotePrefix="0" xfId="4">
      <alignment horizontal="center"/>
    </xf>
    <xf numFmtId="0" fontId="18" fillId="6" borderId="0" applyAlignment="1" pivotButton="0" quotePrefix="0" xfId="0">
      <alignment vertical="center"/>
    </xf>
    <xf numFmtId="0" fontId="15" fillId="3" borderId="11" applyAlignment="1" pivotButton="0" quotePrefix="0" xfId="0">
      <alignment vertical="center"/>
    </xf>
    <xf numFmtId="0" fontId="15" fillId="3" borderId="1" applyAlignment="1" pivotButton="0" quotePrefix="0" xfId="0">
      <alignment vertical="center"/>
    </xf>
    <xf numFmtId="169" fontId="0" fillId="0" borderId="0" pivotButton="0" quotePrefix="0" xfId="0"/>
    <xf numFmtId="43" fontId="0" fillId="0" borderId="0" pivotButton="0" quotePrefix="0" xfId="2"/>
    <xf numFmtId="0" fontId="1" fillId="6" borderId="0" pivotButton="0" quotePrefix="0" xfId="8"/>
    <xf numFmtId="0" fontId="1" fillId="6" borderId="0" applyAlignment="1" pivotButton="0" quotePrefix="0" xfId="8">
      <alignment horizontal="right"/>
    </xf>
    <xf numFmtId="0" fontId="1" fillId="6" borderId="0" applyAlignment="1" pivotButton="0" quotePrefix="0" xfId="8">
      <alignment horizontal="center"/>
    </xf>
    <xf numFmtId="1" fontId="1" fillId="6" borderId="0" applyAlignment="1" pivotButton="0" quotePrefix="0" xfId="8">
      <alignment horizontal="right"/>
    </xf>
    <xf numFmtId="3" fontId="1" fillId="6" borderId="0" applyAlignment="1" pivotButton="0" quotePrefix="0" xfId="8">
      <alignment horizontal="right"/>
    </xf>
    <xf numFmtId="3" fontId="1" fillId="6" borderId="0" applyAlignment="1" pivotButton="0" quotePrefix="0" xfId="8">
      <alignment horizontal="center"/>
    </xf>
    <xf numFmtId="188" fontId="1" fillId="6" borderId="0" pivotButton="0" quotePrefix="0" xfId="8"/>
    <xf numFmtId="14" fontId="1" fillId="6" borderId="0" pivotButton="0" quotePrefix="0" xfId="8"/>
    <xf numFmtId="2" fontId="1" fillId="6" borderId="0" applyAlignment="1" pivotButton="0" quotePrefix="0" xfId="8">
      <alignment horizontal="center" vertical="center"/>
    </xf>
    <xf numFmtId="0" fontId="1" fillId="6" borderId="0" applyAlignment="1" pivotButton="0" quotePrefix="0" xfId="8">
      <alignment horizontal="center" vertical="center"/>
    </xf>
    <xf numFmtId="9" fontId="1" fillId="6" borderId="0" applyAlignment="1" pivotButton="0" quotePrefix="0" xfId="4">
      <alignment horizontal="center" vertical="center"/>
    </xf>
    <xf numFmtId="0" fontId="5" fillId="6" borderId="0" applyAlignment="1" pivotButton="0" quotePrefix="0" xfId="8">
      <alignment horizontal="center" vertical="center"/>
    </xf>
    <xf numFmtId="0" fontId="1" fillId="6" borderId="1" pivotButton="0" quotePrefix="0" xfId="8"/>
    <xf numFmtId="167" fontId="5" fillId="6" borderId="1" applyAlignment="1" pivotButton="0" quotePrefix="0" xfId="8">
      <alignment horizontal="right"/>
    </xf>
    <xf numFmtId="0" fontId="1" fillId="6" borderId="1" applyAlignment="1" pivotButton="0" quotePrefix="0" xfId="8">
      <alignment horizontal="center"/>
    </xf>
    <xf numFmtId="1" fontId="1" fillId="6" borderId="1" applyAlignment="1" pivotButton="0" quotePrefix="0" xfId="8">
      <alignment horizontal="right"/>
    </xf>
    <xf numFmtId="3" fontId="1" fillId="6" borderId="1" applyAlignment="1" pivotButton="0" quotePrefix="0" xfId="8">
      <alignment horizontal="right"/>
    </xf>
    <xf numFmtId="3" fontId="1" fillId="6" borderId="1" applyAlignment="1" pivotButton="0" quotePrefix="0" xfId="8">
      <alignment horizontal="center"/>
    </xf>
    <xf numFmtId="188" fontId="1" fillId="6" borderId="1" pivotButton="0" quotePrefix="0" xfId="8"/>
    <xf numFmtId="14" fontId="1" fillId="6" borderId="1" pivotButton="0" quotePrefix="0" xfId="8"/>
    <xf numFmtId="0" fontId="0" fillId="6" borderId="1" pivotButton="0" quotePrefix="0" xfId="8"/>
    <xf numFmtId="167" fontId="5" fillId="6" borderId="0" applyAlignment="1" pivotButton="0" quotePrefix="0" xfId="8">
      <alignment horizontal="right"/>
    </xf>
    <xf numFmtId="10" fontId="1" fillId="6" borderId="0" applyAlignment="1" pivotButton="0" quotePrefix="0" xfId="8">
      <alignment horizontal="center"/>
    </xf>
    <xf numFmtId="0" fontId="0" fillId="6" borderId="0" pivotButton="0" quotePrefix="0" xfId="8"/>
    <xf numFmtId="10" fontId="1" fillId="6" borderId="1" applyAlignment="1" pivotButton="0" quotePrefix="0" xfId="8">
      <alignment horizontal="center" vertical="center"/>
    </xf>
    <xf numFmtId="0" fontId="1" fillId="6" borderId="0" applyAlignment="1" pivotButton="0" quotePrefix="0" xfId="8">
      <alignment vertical="center"/>
    </xf>
    <xf numFmtId="167" fontId="1" fillId="6" borderId="0" applyAlignment="1" pivotButton="0" quotePrefix="0" xfId="8">
      <alignment horizontal="right" vertical="center"/>
    </xf>
    <xf numFmtId="10" fontId="1" fillId="6" borderId="0" applyAlignment="1" pivotButton="0" quotePrefix="0" xfId="8">
      <alignment horizontal="center" vertical="center"/>
    </xf>
    <xf numFmtId="0" fontId="1" fillId="6" borderId="9" applyAlignment="1" pivotButton="0" quotePrefix="0" xfId="8">
      <alignment horizontal="right" vertical="center"/>
    </xf>
    <xf numFmtId="1" fontId="44" fillId="6" borderId="9" applyAlignment="1" pivotButton="0" quotePrefix="0" xfId="8">
      <alignment horizontal="right" vertical="center" wrapText="1"/>
    </xf>
    <xf numFmtId="1" fontId="44" fillId="6" borderId="9" applyAlignment="1" pivotButton="0" quotePrefix="0" xfId="8">
      <alignment horizontal="center" vertical="center" wrapText="1"/>
    </xf>
    <xf numFmtId="1" fontId="44" fillId="14" borderId="9" applyAlignment="1" pivotButton="0" quotePrefix="0" xfId="8">
      <alignment horizontal="center" vertical="center" wrapText="1"/>
    </xf>
    <xf numFmtId="2" fontId="44" fillId="14" borderId="9" applyAlignment="1" pivotButton="0" quotePrefix="0" xfId="8">
      <alignment horizontal="center" vertical="center" wrapText="1"/>
    </xf>
    <xf numFmtId="3" fontId="44" fillId="14" borderId="9" applyAlignment="1" pivotButton="0" quotePrefix="0" xfId="8">
      <alignment horizontal="center" vertical="center" wrapText="1"/>
    </xf>
    <xf numFmtId="3" fontId="44" fillId="6" borderId="9" applyAlignment="1" pivotButton="0" quotePrefix="0" xfId="8">
      <alignment horizontal="right" vertical="center"/>
    </xf>
    <xf numFmtId="0" fontId="44" fillId="6" borderId="9" applyAlignment="1" pivotButton="0" quotePrefix="0" xfId="8">
      <alignment horizontal="left" vertical="center"/>
    </xf>
    <xf numFmtId="1" fontId="44" fillId="6" borderId="1" applyAlignment="1" pivotButton="0" quotePrefix="0" xfId="8">
      <alignment horizontal="center" vertical="center" wrapText="1"/>
    </xf>
    <xf numFmtId="1" fontId="44" fillId="14" borderId="1" applyAlignment="1" pivotButton="0" quotePrefix="0" xfId="8">
      <alignment horizontal="center" vertical="center" wrapText="1"/>
    </xf>
    <xf numFmtId="1" fontId="44" fillId="6" borderId="1" applyAlignment="1" pivotButton="0" quotePrefix="0" xfId="8">
      <alignment horizontal="center"/>
    </xf>
    <xf numFmtId="3" fontId="44" fillId="6" borderId="1" applyAlignment="1" pivotButton="0" quotePrefix="0" xfId="8">
      <alignment horizontal="center" wrapText="1"/>
    </xf>
    <xf numFmtId="3" fontId="44" fillId="6" borderId="1" applyAlignment="1" pivotButton="0" quotePrefix="0" xfId="8">
      <alignment horizontal="center"/>
    </xf>
    <xf numFmtId="188" fontId="44" fillId="6" borderId="1" applyAlignment="1" pivotButton="0" quotePrefix="0" xfId="8">
      <alignment horizontal="center" wrapText="1"/>
    </xf>
    <xf numFmtId="14" fontId="44" fillId="6" borderId="1" applyAlignment="1" pivotButton="0" quotePrefix="0" xfId="8">
      <alignment horizontal="center" wrapText="1"/>
    </xf>
    <xf numFmtId="0" fontId="44" fillId="6" borderId="1" applyAlignment="1" pivotButton="0" quotePrefix="0" xfId="8">
      <alignment horizontal="center" wrapText="1"/>
    </xf>
    <xf numFmtId="0" fontId="44" fillId="6" borderId="1" applyAlignment="1" pivotButton="0" quotePrefix="0" xfId="8">
      <alignment horizontal="center"/>
    </xf>
    <xf numFmtId="0" fontId="5" fillId="0" borderId="18" pivotButton="0" quotePrefix="0" xfId="0"/>
    <xf numFmtId="169" fontId="5" fillId="0" borderId="11" pivotButton="0" quotePrefix="0" xfId="0"/>
    <xf numFmtId="167" fontId="5" fillId="0" borderId="36" pivotButton="0" quotePrefix="0" xfId="0"/>
    <xf numFmtId="0" fontId="5" fillId="0" borderId="3" pivotButton="0" quotePrefix="0" xfId="0"/>
    <xf numFmtId="169" fontId="5" fillId="0" borderId="1" pivotButton="0" quotePrefix="0" xfId="0"/>
    <xf numFmtId="167" fontId="5" fillId="0" borderId="4" pivotButton="0" quotePrefix="0" xfId="0"/>
    <xf numFmtId="0" fontId="44" fillId="6" borderId="9" applyAlignment="1" pivotButton="0" quotePrefix="0" xfId="8">
      <alignment horizontal="center" vertical="center" wrapText="1"/>
    </xf>
    <xf numFmtId="189" fontId="5" fillId="6" borderId="0" applyAlignment="1" pivotButton="0" quotePrefix="0" xfId="8">
      <alignment wrapText="1"/>
    </xf>
    <xf numFmtId="189" fontId="5" fillId="6" borderId="1" applyAlignment="1" pivotButton="0" quotePrefix="0" xfId="8">
      <alignment wrapText="1"/>
    </xf>
    <xf numFmtId="188" fontId="1" fillId="6" borderId="0" applyAlignment="1" pivotButton="0" quotePrefix="0" xfId="8">
      <alignment wrapText="1"/>
    </xf>
    <xf numFmtId="2" fontId="29" fillId="6" borderId="0" applyAlignment="1" pivotButton="0" quotePrefix="0" xfId="0">
      <alignment horizontal="right"/>
    </xf>
    <xf numFmtId="9" fontId="29" fillId="6" borderId="0" applyAlignment="1" pivotButton="0" quotePrefix="0" xfId="4">
      <alignment horizontal="right"/>
    </xf>
    <xf numFmtId="0" fontId="18" fillId="6" borderId="0" applyAlignment="1" pivotButton="0" quotePrefix="0" xfId="0">
      <alignment horizontal="center" vertical="center"/>
    </xf>
    <xf numFmtId="0" fontId="18" fillId="6" borderId="0" applyAlignment="1" pivotButton="0" quotePrefix="0" xfId="0">
      <alignment horizontal="center"/>
    </xf>
    <xf numFmtId="0" fontId="15" fillId="3" borderId="11" applyAlignment="1" pivotButton="0" quotePrefix="0" xfId="0">
      <alignment horizontal="center" vertical="center"/>
    </xf>
    <xf numFmtId="0" fontId="15" fillId="3" borderId="11" applyAlignment="1" pivotButton="0" quotePrefix="0" xfId="0">
      <alignment horizontal="center"/>
    </xf>
    <xf numFmtId="10" fontId="15" fillId="3" borderId="1" applyAlignment="1" pivotButton="0" quotePrefix="0" xfId="0">
      <alignment horizontal="center" vertical="center"/>
    </xf>
    <xf numFmtId="10" fontId="15" fillId="3" borderId="1" applyAlignment="1" pivotButton="0" quotePrefix="0" xfId="0">
      <alignment horizontal="center"/>
    </xf>
    <xf numFmtId="3" fontId="48" fillId="6" borderId="2" applyAlignment="1" pivotButton="0" quotePrefix="0" xfId="0">
      <alignment horizontal="right" vertical="top" justifyLastLine="1"/>
    </xf>
    <xf numFmtId="1" fontId="48" fillId="6" borderId="14" applyAlignment="1" pivotButton="0" quotePrefix="0" xfId="0">
      <alignment horizontal="right" vertical="top" justifyLastLine="1"/>
    </xf>
    <xf numFmtId="1" fontId="49" fillId="6" borderId="14" applyAlignment="1" pivotButton="0" quotePrefix="0" xfId="3">
      <alignment horizontal="right" vertical="top" justifyLastLine="1"/>
    </xf>
    <xf numFmtId="170" fontId="50" fillId="8" borderId="38" applyAlignment="1" pivotButton="0" quotePrefix="0" xfId="3">
      <alignment horizontal="right"/>
    </xf>
    <xf numFmtId="0" fontId="47" fillId="6" borderId="0" applyAlignment="1" pivotButton="0" quotePrefix="0" xfId="0">
      <alignment wrapText="1"/>
    </xf>
    <xf numFmtId="0" fontId="0" fillId="0" borderId="0" applyAlignment="1" pivotButton="0" quotePrefix="0" xfId="0">
      <alignment wrapText="1"/>
    </xf>
    <xf numFmtId="3" fontId="48" fillId="6" borderId="0" applyAlignment="1" pivotButton="0" quotePrefix="0" xfId="0">
      <alignment horizontal="right" vertical="top" justifyLastLine="1"/>
    </xf>
    <xf numFmtId="0" fontId="47" fillId="6" borderId="15" applyAlignment="1" pivotButton="0" quotePrefix="0" xfId="0">
      <alignment horizontal="right" vertical="top" wrapText="1"/>
    </xf>
    <xf numFmtId="0" fontId="47" fillId="6" borderId="15" applyAlignment="1" pivotButton="0" quotePrefix="0" xfId="0">
      <alignment horizontal="right" vertical="top"/>
    </xf>
    <xf numFmtId="0" fontId="49" fillId="6" borderId="15" applyAlignment="1" pivotButton="0" quotePrefix="0" xfId="0">
      <alignment horizontal="right" vertical="top"/>
    </xf>
    <xf numFmtId="169" fontId="49" fillId="6" borderId="15" applyAlignment="1" pivotButton="0" quotePrefix="0" xfId="0">
      <alignment horizontal="right" vertical="top"/>
    </xf>
    <xf numFmtId="0" fontId="49" fillId="6" borderId="15" applyAlignment="1" pivotButton="0" quotePrefix="0" xfId="0">
      <alignment horizontal="right" vertical="top" wrapText="1"/>
    </xf>
    <xf numFmtId="37" fontId="47" fillId="6" borderId="15" applyAlignment="1" pivotButton="0" quotePrefix="0" xfId="2">
      <alignment horizontal="right" vertical="top"/>
    </xf>
    <xf numFmtId="3" fontId="47" fillId="6" borderId="15" applyAlignment="1" pivotButton="0" quotePrefix="0" xfId="2">
      <alignment horizontal="right" vertical="top"/>
    </xf>
    <xf numFmtId="1" fontId="41" fillId="6" borderId="15" applyAlignment="1" pivotButton="0" quotePrefix="0" xfId="3">
      <alignment horizontal="right" vertical="top"/>
    </xf>
    <xf numFmtId="165" fontId="41" fillId="6" borderId="15" applyAlignment="1" pivotButton="0" quotePrefix="0" xfId="3">
      <alignment horizontal="right" vertical="top" wrapText="1"/>
    </xf>
    <xf numFmtId="170" fontId="50" fillId="3" borderId="65" applyAlignment="1" pivotButton="0" quotePrefix="0" xfId="3">
      <alignment horizontal="right" vertical="top"/>
    </xf>
    <xf numFmtId="1" fontId="49" fillId="6" borderId="65" applyAlignment="1" pivotButton="0" quotePrefix="0" xfId="0">
      <alignment horizontal="right" vertical="top"/>
    </xf>
    <xf numFmtId="0" fontId="52" fillId="3" borderId="66" applyAlignment="1" pivotButton="0" quotePrefix="0" xfId="0">
      <alignment horizontal="right" vertical="top" wrapText="1"/>
    </xf>
    <xf numFmtId="9" fontId="47" fillId="3" borderId="66" applyAlignment="1" pivotButton="0" quotePrefix="0" xfId="4">
      <alignment horizontal="right" vertical="top"/>
    </xf>
    <xf numFmtId="0" fontId="52" fillId="3" borderId="65" pivotButton="0" quotePrefix="0" xfId="0"/>
    <xf numFmtId="0" fontId="52" fillId="8" borderId="66" pivotButton="0" quotePrefix="0" xfId="0"/>
    <xf numFmtId="9" fontId="50" fillId="6" borderId="0" pivotButton="0" quotePrefix="0" xfId="4"/>
    <xf numFmtId="1" fontId="50" fillId="6" borderId="0" pivotButton="0" quotePrefix="0" xfId="0"/>
    <xf numFmtId="1" fontId="49" fillId="6" borderId="15" applyAlignment="1" pivotButton="0" quotePrefix="0" xfId="0">
      <alignment horizontal="right" vertical="top"/>
    </xf>
    <xf numFmtId="3" fontId="48" fillId="6" borderId="15" applyAlignment="1" pivotButton="0" quotePrefix="0" xfId="2">
      <alignment horizontal="right" vertical="top"/>
    </xf>
    <xf numFmtId="2" fontId="49" fillId="6" borderId="15" applyAlignment="1" pivotButton="0" quotePrefix="0" xfId="4">
      <alignment horizontal="right" vertical="top"/>
    </xf>
    <xf numFmtId="169" fontId="48" fillId="6" borderId="15" applyAlignment="1" pivotButton="0" quotePrefix="0" xfId="3">
      <alignment horizontal="right" vertical="top" justifyLastLine="1"/>
    </xf>
    <xf numFmtId="0" fontId="48" fillId="6" borderId="15" applyAlignment="1" pivotButton="0" quotePrefix="0" xfId="0">
      <alignment horizontal="right" vertical="top" wrapText="1" justifyLastLine="1"/>
    </xf>
    <xf numFmtId="0" fontId="48" fillId="6" borderId="15" applyAlignment="1" pivotButton="0" quotePrefix="0" xfId="0">
      <alignment horizontal="right" vertical="top" justifyLastLine="1"/>
    </xf>
    <xf numFmtId="180" fontId="49" fillId="6" borderId="15" applyAlignment="1" pivotButton="0" quotePrefix="0" xfId="0">
      <alignment horizontal="right" vertical="top" justifyLastLine="1"/>
    </xf>
    <xf numFmtId="3" fontId="48" fillId="6" borderId="15" applyAlignment="1" pivotButton="0" quotePrefix="0" xfId="2">
      <alignment horizontal="right" vertical="top" justifyLastLine="1"/>
    </xf>
    <xf numFmtId="3" fontId="48" fillId="6" borderId="15" applyAlignment="1" pivotButton="0" quotePrefix="0" xfId="0">
      <alignment horizontal="right" vertical="top" justifyLastLine="1"/>
    </xf>
    <xf numFmtId="170" fontId="50" fillId="8" borderId="66" pivotButton="0" quotePrefix="0" xfId="3"/>
    <xf numFmtId="190" fontId="52" fillId="6" borderId="14" applyAlignment="1" pivotButton="0" quotePrefix="0" xfId="3">
      <alignment horizontal="right" vertical="top"/>
    </xf>
    <xf numFmtId="190" fontId="52" fillId="3" borderId="38" applyAlignment="1" pivotButton="0" quotePrefix="0" xfId="0">
      <alignment horizontal="right" vertical="top" wrapText="1"/>
    </xf>
    <xf numFmtId="190" fontId="50" fillId="3" borderId="37" applyAlignment="1" pivotButton="0" quotePrefix="0" xfId="3">
      <alignment horizontal="right"/>
    </xf>
    <xf numFmtId="190" fontId="50" fillId="3" borderId="37" pivotButton="0" quotePrefix="0" xfId="3"/>
    <xf numFmtId="190" fontId="41" fillId="6" borderId="14" applyAlignment="1" pivotButton="0" quotePrefix="0" xfId="4">
      <alignment horizontal="right" vertical="top"/>
    </xf>
    <xf numFmtId="190" fontId="49" fillId="6" borderId="14" applyAlignment="1" pivotButton="0" quotePrefix="0" xfId="4">
      <alignment horizontal="right" vertical="top"/>
    </xf>
    <xf numFmtId="167" fontId="17" fillId="0" borderId="0" applyAlignment="1" pivotButton="0" quotePrefix="0" xfId="3">
      <alignment horizontal="right"/>
    </xf>
    <xf numFmtId="167" fontId="16" fillId="3" borderId="11" applyAlignment="1" pivotButton="0" quotePrefix="0" xfId="0">
      <alignment horizontal="right" vertical="top"/>
    </xf>
    <xf numFmtId="190" fontId="48" fillId="6" borderId="37" applyAlignment="1" pivotButton="0" quotePrefix="0" xfId="4">
      <alignment horizontal="right" vertical="top"/>
    </xf>
    <xf numFmtId="0" fontId="1" fillId="6" borderId="0" pivotButton="0" quotePrefix="0" xfId="9"/>
    <xf numFmtId="14" fontId="1" fillId="6" borderId="0" pivotButton="0" quotePrefix="0" xfId="9"/>
    <xf numFmtId="188" fontId="1" fillId="6" borderId="0" pivotButton="0" quotePrefix="0" xfId="9"/>
    <xf numFmtId="167" fontId="1" fillId="6" borderId="0" pivotButton="0" quotePrefix="0" xfId="9"/>
    <xf numFmtId="3" fontId="1" fillId="6" borderId="0" pivotButton="0" quotePrefix="0" xfId="9"/>
    <xf numFmtId="1" fontId="49" fillId="6" borderId="15" applyAlignment="1" pivotButton="0" quotePrefix="0" xfId="0">
      <alignment horizontal="right" vertical="top" wrapText="1"/>
    </xf>
    <xf numFmtId="3" fontId="41" fillId="6" borderId="2" applyAlignment="1" pivotButton="0" quotePrefix="0" xfId="0">
      <alignment horizontal="center" vertical="center" wrapText="1"/>
    </xf>
    <xf numFmtId="0" fontId="41" fillId="6" borderId="14" applyAlignment="1" pivotButton="0" quotePrefix="0" xfId="0">
      <alignment vertical="center" wrapText="1"/>
    </xf>
    <xf numFmtId="3" fontId="41" fillId="0" borderId="2" applyAlignment="1" pivotButton="0" quotePrefix="0" xfId="0">
      <alignment horizontal="center" vertical="center" wrapText="1"/>
    </xf>
    <xf numFmtId="0" fontId="42" fillId="4" borderId="0" applyAlignment="1" pivotButton="0" quotePrefix="0" xfId="0">
      <alignment horizontal="center" vertical="center" wrapText="1"/>
    </xf>
    <xf numFmtId="0" fontId="42" fillId="4" borderId="11" applyAlignment="1" pivotButton="0" quotePrefix="0" xfId="0">
      <alignment horizontal="center" vertical="center" wrapText="1"/>
    </xf>
    <xf numFmtId="0" fontId="5" fillId="6" borderId="9" applyAlignment="1" pivotButton="0" quotePrefix="0" xfId="8">
      <alignment horizontal="center" vertical="center"/>
    </xf>
    <xf numFmtId="0" fontId="42" fillId="15" borderId="0" applyAlignment="1" pivotButton="0" quotePrefix="0" xfId="0">
      <alignment horizontal="center" vertical="center" wrapText="1"/>
    </xf>
    <xf numFmtId="0" fontId="42" fillId="15" borderId="11" applyAlignment="1" pivotButton="0" quotePrefix="0" xfId="0">
      <alignment horizontal="center" vertical="center" wrapText="1"/>
    </xf>
    <xf numFmtId="0" fontId="41" fillId="6" borderId="2" applyAlignment="1" pivotButton="0" quotePrefix="0" xfId="0">
      <alignment vertical="center" wrapText="1"/>
    </xf>
    <xf numFmtId="0" fontId="42" fillId="4" borderId="14" applyAlignment="1" pivotButton="0" quotePrefix="0" xfId="0">
      <alignment horizontal="center" vertical="center" wrapText="1"/>
    </xf>
    <xf numFmtId="0" fontId="42" fillId="4" borderId="36" applyAlignment="1" pivotButton="0" quotePrefix="0" xfId="0">
      <alignment horizontal="center" vertical="center" wrapText="1"/>
    </xf>
    <xf numFmtId="9" fontId="5" fillId="0" borderId="14" applyAlignment="1" pivotButton="0" quotePrefix="0" xfId="4">
      <alignment horizontal="center" vertical="center"/>
    </xf>
    <xf numFmtId="0" fontId="45" fillId="15" borderId="0" applyAlignment="1" pivotButton="0" quotePrefix="0" xfId="0">
      <alignment horizontal="center" vertical="center"/>
    </xf>
    <xf numFmtId="0" fontId="21" fillId="15" borderId="6" pivotButton="0" quotePrefix="0" xfId="0"/>
    <xf numFmtId="0" fontId="47" fillId="15" borderId="65" applyAlignment="1" pivotButton="0" quotePrefix="0" xfId="0">
      <alignment horizontal="right" vertical="top"/>
    </xf>
    <xf numFmtId="0" fontId="48" fillId="15" borderId="37" applyAlignment="1" pivotButton="0" quotePrefix="0" xfId="0">
      <alignment horizontal="right" vertical="top"/>
    </xf>
    <xf numFmtId="186" fontId="48" fillId="15" borderId="37" applyAlignment="1" pivotButton="0" quotePrefix="0" xfId="0">
      <alignment horizontal="right" vertical="top"/>
    </xf>
    <xf numFmtId="0" fontId="50" fillId="6" borderId="0" applyAlignment="1" pivotButton="0" quotePrefix="0" xfId="0">
      <alignment vertical="center"/>
    </xf>
    <xf numFmtId="0" fontId="34" fillId="6" borderId="0" applyAlignment="1" pivotButton="0" quotePrefix="0" xfId="0">
      <alignment vertical="top"/>
    </xf>
    <xf numFmtId="0" fontId="34" fillId="6" borderId="0" applyAlignment="1" pivotButton="0" quotePrefix="0" xfId="0">
      <alignment vertical="center"/>
    </xf>
    <xf numFmtId="0" fontId="34" fillId="6" borderId="0" applyAlignment="1" pivotButton="0" quotePrefix="0" xfId="0">
      <alignment horizontal="left" vertical="top"/>
    </xf>
    <xf numFmtId="0" fontId="34" fillId="6" borderId="1" applyAlignment="1" pivotButton="0" quotePrefix="0" xfId="0">
      <alignment horizontal="left" vertical="top"/>
    </xf>
    <xf numFmtId="0" fontId="32" fillId="6" borderId="0" applyAlignment="1" pivotButton="0" quotePrefix="0" xfId="0">
      <alignment vertical="top"/>
    </xf>
    <xf numFmtId="0" fontId="34" fillId="6" borderId="0" applyAlignment="1" pivotButton="0" quotePrefix="0" xfId="0">
      <alignment horizontal="left" vertical="top" indent="1"/>
    </xf>
    <xf numFmtId="0" fontId="32" fillId="6" borderId="0" applyAlignment="1" pivotButton="0" quotePrefix="0" xfId="0">
      <alignment horizontal="justify" vertical="center" wrapText="1"/>
    </xf>
    <xf numFmtId="0" fontId="32" fillId="6" borderId="0" applyAlignment="1" pivotButton="0" quotePrefix="0" xfId="0">
      <alignment horizontal="justify" vertical="center"/>
    </xf>
    <xf numFmtId="0" fontId="32" fillId="0" borderId="0" applyAlignment="1" pivotButton="0" quotePrefix="0" xfId="0">
      <alignment wrapText="1"/>
    </xf>
    <xf numFmtId="0" fontId="32" fillId="0" borderId="68" pivotButton="0" quotePrefix="0" xfId="0"/>
    <xf numFmtId="0" fontId="32" fillId="0" borderId="68" applyAlignment="1" pivotButton="0" quotePrefix="0" xfId="0">
      <alignment wrapText="1"/>
    </xf>
    <xf numFmtId="0" fontId="34" fillId="0" borderId="19" applyAlignment="1" pivotButton="0" quotePrefix="0" xfId="0">
      <alignment horizontal="left" vertical="top" indent="1"/>
    </xf>
    <xf numFmtId="0" fontId="34" fillId="0" borderId="15" applyAlignment="1" pivotButton="0" quotePrefix="0" xfId="0">
      <alignment horizontal="left" vertical="top" indent="1"/>
    </xf>
    <xf numFmtId="0" fontId="34" fillId="0" borderId="22" applyAlignment="1" pivotButton="0" quotePrefix="0" xfId="0">
      <alignment horizontal="left" vertical="top" indent="1"/>
    </xf>
    <xf numFmtId="0" fontId="21" fillId="16" borderId="8" applyAlignment="1" pivotButton="0" quotePrefix="0" xfId="0">
      <alignment vertical="top"/>
    </xf>
    <xf numFmtId="0" fontId="63" fillId="16" borderId="17" applyAlignment="1" pivotButton="0" quotePrefix="0" xfId="0">
      <alignment horizontal="left"/>
    </xf>
    <xf numFmtId="0" fontId="0" fillId="6" borderId="0" pivotButton="0" quotePrefix="0" xfId="0"/>
    <xf numFmtId="0" fontId="34" fillId="6" borderId="0" applyAlignment="1" pivotButton="0" quotePrefix="0" xfId="0">
      <alignment horizontal="left"/>
    </xf>
    <xf numFmtId="0" fontId="32" fillId="6" borderId="0" applyAlignment="1" pivotButton="0" quotePrefix="0" xfId="0">
      <alignment horizontal="justify" vertical="top"/>
    </xf>
    <xf numFmtId="0" fontId="34" fillId="6" borderId="0" applyAlignment="1" pivotButton="0" quotePrefix="0" xfId="0">
      <alignment horizontal="left" vertical="center"/>
    </xf>
    <xf numFmtId="0" fontId="65" fillId="6" borderId="0" applyAlignment="1" pivotButton="0" quotePrefix="0" xfId="0">
      <alignment horizontal="justify" vertical="center" wrapText="1"/>
    </xf>
    <xf numFmtId="0" fontId="65" fillId="6" borderId="0" applyAlignment="1" pivotButton="0" quotePrefix="0" xfId="0">
      <alignment horizontal="justify" vertical="center"/>
    </xf>
    <xf numFmtId="0" fontId="21" fillId="17" borderId="0" applyAlignment="1" pivotButton="0" quotePrefix="0" xfId="0">
      <alignment horizontal="center" wrapText="1"/>
    </xf>
    <xf numFmtId="0" fontId="32" fillId="6" borderId="0" applyAlignment="1" pivotButton="0" quotePrefix="0" xfId="0">
      <alignment horizontal="left" vertical="top" wrapText="1"/>
    </xf>
    <xf numFmtId="171" fontId="13" fillId="13" borderId="1" applyAlignment="1" pivotButton="0" quotePrefix="0" xfId="4">
      <alignment horizontal="center"/>
    </xf>
    <xf numFmtId="0" fontId="13" fillId="18" borderId="0" applyAlignment="1" pivotButton="0" quotePrefix="0" xfId="0">
      <alignment horizontal="left"/>
    </xf>
    <xf numFmtId="187" fontId="13" fillId="18" borderId="0" applyAlignment="1" pivotButton="0" quotePrefix="0" xfId="0">
      <alignment horizontal="center"/>
    </xf>
    <xf numFmtId="171" fontId="13" fillId="18" borderId="0" applyAlignment="1" pivotButton="0" quotePrefix="0" xfId="4">
      <alignment horizontal="center"/>
    </xf>
    <xf numFmtId="0" fontId="32" fillId="6" borderId="0" applyAlignment="1" pivotButton="0" quotePrefix="0" xfId="0">
      <alignment horizontal="left" vertical="top"/>
    </xf>
    <xf numFmtId="191" fontId="32" fillId="6" borderId="0" applyAlignment="1" pivotButton="0" quotePrefix="0" xfId="0">
      <alignment horizontal="left" vertical="top" wrapText="1"/>
    </xf>
    <xf numFmtId="192" fontId="32" fillId="6" borderId="0" applyAlignment="1" pivotButton="0" quotePrefix="0" xfId="0">
      <alignment horizontal="left" vertical="top" wrapText="1"/>
    </xf>
    <xf numFmtId="191" fontId="34" fillId="6" borderId="11" applyAlignment="1" pivotButton="0" quotePrefix="0" xfId="0">
      <alignment horizontal="left" vertical="top" wrapText="1"/>
    </xf>
    <xf numFmtId="192" fontId="34" fillId="6" borderId="11" applyAlignment="1" pivotButton="0" quotePrefix="0" xfId="0">
      <alignment horizontal="left" vertical="top" wrapText="1"/>
    </xf>
    <xf numFmtId="0" fontId="47" fillId="6" borderId="0" applyAlignment="1" pivotButton="0" quotePrefix="0" xfId="0">
      <alignment vertical="center"/>
    </xf>
    <xf numFmtId="0" fontId="47" fillId="6" borderId="2" applyAlignment="1" pivotButton="0" quotePrefix="0" xfId="0">
      <alignment horizontal="right" vertical="center"/>
    </xf>
    <xf numFmtId="0" fontId="47" fillId="6" borderId="2" applyAlignment="1" pivotButton="0" quotePrefix="0" xfId="0">
      <alignment horizontal="right" vertical="center" wrapText="1"/>
    </xf>
    <xf numFmtId="3" fontId="47" fillId="6" borderId="2" applyAlignment="1" pivotButton="0" quotePrefix="0" xfId="2">
      <alignment horizontal="right" vertical="center"/>
    </xf>
    <xf numFmtId="0" fontId="47" fillId="6" borderId="6" applyAlignment="1" pivotButton="0" quotePrefix="0" xfId="0">
      <alignment vertical="center"/>
    </xf>
    <xf numFmtId="0" fontId="48" fillId="6" borderId="34" applyAlignment="1" pivotButton="0" quotePrefix="0" xfId="0">
      <alignment horizontal="right" vertical="center"/>
    </xf>
    <xf numFmtId="186" fontId="51" fillId="6" borderId="6" applyAlignment="1" pivotButton="0" quotePrefix="0" xfId="4">
      <alignment horizontal="right" vertical="center"/>
    </xf>
    <xf numFmtId="0" fontId="47" fillId="6" borderId="0" applyAlignment="1" pivotButton="0" quotePrefix="0" xfId="0">
      <alignment horizontal="left" vertical="center"/>
    </xf>
    <xf numFmtId="0" fontId="48" fillId="6" borderId="2" applyAlignment="1" pivotButton="0" quotePrefix="0" xfId="0">
      <alignment horizontal="right" vertical="center"/>
    </xf>
    <xf numFmtId="170" fontId="52" fillId="6" borderId="0" applyAlignment="1" pivotButton="0" quotePrefix="0" xfId="3">
      <alignment horizontal="right" vertical="center"/>
    </xf>
    <xf numFmtId="170" fontId="52" fillId="6" borderId="14" applyAlignment="1" pivotButton="0" quotePrefix="0" xfId="3">
      <alignment horizontal="right" vertical="center"/>
    </xf>
    <xf numFmtId="186" fontId="44" fillId="6" borderId="0" applyAlignment="1" pivotButton="0" quotePrefix="0" xfId="4">
      <alignment horizontal="right" vertical="center"/>
    </xf>
    <xf numFmtId="170" fontId="44" fillId="6" borderId="0" applyAlignment="1" pivotButton="0" quotePrefix="0" xfId="3">
      <alignment horizontal="right" vertical="center"/>
    </xf>
    <xf numFmtId="180" fontId="48" fillId="6" borderId="2" applyAlignment="1" pivotButton="0" quotePrefix="0" xfId="0">
      <alignment horizontal="right" vertical="center"/>
    </xf>
    <xf numFmtId="1" fontId="56" fillId="6" borderId="2" applyAlignment="1" pivotButton="0" quotePrefix="0" xfId="0">
      <alignment horizontal="right" vertical="center" wrapText="1"/>
    </xf>
    <xf numFmtId="186" fontId="43" fillId="6" borderId="0" applyAlignment="1" pivotButton="0" quotePrefix="0" xfId="4">
      <alignment horizontal="right" vertical="center"/>
    </xf>
    <xf numFmtId="9" fontId="56" fillId="6" borderId="2" applyAlignment="1" pivotButton="0" quotePrefix="0" xfId="4">
      <alignment horizontal="right" vertical="center"/>
    </xf>
    <xf numFmtId="9" fontId="57" fillId="6" borderId="2" applyAlignment="1" pivotButton="0" quotePrefix="0" xfId="0">
      <alignment horizontal="right" vertical="center" wrapText="1"/>
    </xf>
    <xf numFmtId="186" fontId="53" fillId="6" borderId="0" applyAlignment="1" pivotButton="0" quotePrefix="0" xfId="4">
      <alignment horizontal="right" vertical="center"/>
    </xf>
    <xf numFmtId="0" fontId="56" fillId="6" borderId="2" applyAlignment="1" pivotButton="0" quotePrefix="0" xfId="4">
      <alignment horizontal="right" vertical="center" wrapText="1"/>
    </xf>
    <xf numFmtId="0" fontId="56" fillId="6" borderId="2" applyAlignment="1" pivotButton="0" quotePrefix="0" xfId="4">
      <alignment horizontal="right" vertical="center"/>
    </xf>
    <xf numFmtId="186" fontId="50" fillId="3" borderId="24" applyAlignment="1" pivotButton="0" quotePrefix="0" xfId="3">
      <alignment vertical="center"/>
    </xf>
    <xf numFmtId="0" fontId="21" fillId="15" borderId="6" applyAlignment="1" pivotButton="0" quotePrefix="0" xfId="0">
      <alignment vertical="center"/>
    </xf>
    <xf numFmtId="0" fontId="47" fillId="15" borderId="34" applyAlignment="1" pivotButton="0" quotePrefix="0" xfId="0">
      <alignment horizontal="right" vertical="center"/>
    </xf>
    <xf numFmtId="0" fontId="48" fillId="15" borderId="34" applyAlignment="1" pivotButton="0" quotePrefix="0" xfId="0">
      <alignment horizontal="right" vertical="center"/>
    </xf>
    <xf numFmtId="0" fontId="48" fillId="15" borderId="6" applyAlignment="1" pivotButton="0" quotePrefix="0" xfId="0">
      <alignment horizontal="right" vertical="center"/>
    </xf>
    <xf numFmtId="186" fontId="53" fillId="6" borderId="14" applyAlignment="1" pivotButton="0" quotePrefix="0" xfId="4">
      <alignment horizontal="right" vertical="center"/>
    </xf>
    <xf numFmtId="181" fontId="0" fillId="0" borderId="0" pivotButton="0" quotePrefix="0" xfId="0"/>
    <xf numFmtId="0" fontId="7" fillId="6" borderId="0" applyAlignment="1" pivotButton="0" quotePrefix="0" xfId="0">
      <alignment horizontal="left"/>
    </xf>
    <xf numFmtId="165" fontId="7" fillId="6" borderId="9" applyAlignment="1" pivotButton="0" quotePrefix="0" xfId="0">
      <alignment vertical="center"/>
    </xf>
    <xf numFmtId="0" fontId="32" fillId="6" borderId="0" applyAlignment="1" pivotButton="0" quotePrefix="0" xfId="11">
      <alignment horizontal="justify" vertical="top" wrapText="1"/>
    </xf>
    <xf numFmtId="0" fontId="0" fillId="6" borderId="0" applyAlignment="1" pivotButton="0" quotePrefix="0" xfId="0">
      <alignment horizontal="justify" vertical="top" wrapText="1"/>
    </xf>
    <xf numFmtId="191" fontId="32" fillId="6" borderId="0" applyAlignment="1" pivotButton="0" quotePrefix="0" xfId="11">
      <alignment horizontal="justify" vertical="top" wrapText="1"/>
    </xf>
    <xf numFmtId="170" fontId="17" fillId="6" borderId="0" applyAlignment="1" pivotButton="0" quotePrefix="0" xfId="3">
      <alignment vertical="center"/>
    </xf>
    <xf numFmtId="0" fontId="32" fillId="16" borderId="9" pivotButton="0" quotePrefix="0" xfId="0"/>
    <xf numFmtId="4" fontId="32" fillId="6" borderId="0" applyAlignment="1" pivotButton="0" quotePrefix="0" xfId="11">
      <alignment horizontal="justify" vertical="top" wrapText="1"/>
    </xf>
    <xf numFmtId="0" fontId="45" fillId="15" borderId="0" applyAlignment="1" pivotButton="0" quotePrefix="0" xfId="0">
      <alignment horizontal="center" vertical="center" justifyLastLine="1"/>
    </xf>
    <xf numFmtId="180" fontId="49" fillId="6" borderId="0" applyAlignment="1" pivotButton="0" quotePrefix="0" xfId="0">
      <alignment horizontal="right" vertical="top" justifyLastLine="1"/>
    </xf>
    <xf numFmtId="0" fontId="48" fillId="6" borderId="0" applyAlignment="1" pivotButton="0" quotePrefix="0" xfId="0">
      <alignment horizontal="right" vertical="top" wrapText="1" justifyLastLine="1"/>
    </xf>
    <xf numFmtId="0" fontId="48" fillId="6" borderId="0" applyAlignment="1" pivotButton="0" quotePrefix="0" xfId="0">
      <alignment horizontal="right" vertical="top" justifyLastLine="1"/>
    </xf>
    <xf numFmtId="3" fontId="48" fillId="6" borderId="0" applyAlignment="1" pivotButton="0" quotePrefix="0" xfId="2">
      <alignment horizontal="right" vertical="top" justifyLastLine="1"/>
    </xf>
    <xf numFmtId="3" fontId="48" fillId="6" borderId="2" applyAlignment="1" pivotButton="0" quotePrefix="0" xfId="2">
      <alignment horizontal="right" vertical="top" justifyLastLine="1"/>
    </xf>
    <xf numFmtId="169" fontId="49" fillId="6" borderId="41" applyAlignment="1" pivotButton="0" quotePrefix="0" xfId="3">
      <alignment horizontal="right" vertical="top" wrapText="1" justifyLastLine="1"/>
    </xf>
    <xf numFmtId="0" fontId="48" fillId="6" borderId="2" applyAlignment="1" pivotButton="0" quotePrefix="0" xfId="0">
      <alignment horizontal="right" vertical="top" wrapText="1" justifyLastLine="1"/>
    </xf>
    <xf numFmtId="0" fontId="48" fillId="6" borderId="2" applyAlignment="1" pivotButton="0" quotePrefix="0" xfId="0">
      <alignment horizontal="right" vertical="top" justifyLastLine="1"/>
    </xf>
    <xf numFmtId="180" fontId="49" fillId="6" borderId="2" applyAlignment="1" pivotButton="0" quotePrefix="0" xfId="0">
      <alignment horizontal="right" vertical="top" justifyLastLine="1"/>
    </xf>
    <xf numFmtId="0" fontId="34" fillId="6" borderId="1" applyAlignment="1" pivotButton="0" quotePrefix="0" xfId="0">
      <alignment horizontal="left" vertical="center"/>
    </xf>
    <xf numFmtId="0" fontId="34" fillId="0" borderId="10" applyAlignment="1" pivotButton="0" quotePrefix="0" xfId="0">
      <alignment horizontal="left" vertical="center"/>
    </xf>
    <xf numFmtId="0" fontId="58" fillId="19" borderId="0" applyAlignment="1" pivotButton="0" quotePrefix="0" xfId="0">
      <alignment horizontal="center" vertical="top" wrapText="1"/>
    </xf>
    <xf numFmtId="0" fontId="44" fillId="10" borderId="0" pivotButton="0" quotePrefix="0" xfId="0"/>
    <xf numFmtId="179" fontId="53" fillId="5" borderId="0" applyAlignment="1" pivotButton="0" quotePrefix="0" xfId="0">
      <alignment horizontal="center"/>
    </xf>
    <xf numFmtId="193" fontId="53" fillId="5" borderId="0" applyAlignment="1" pivotButton="0" quotePrefix="0" xfId="0">
      <alignment horizontal="center"/>
    </xf>
    <xf numFmtId="164" fontId="48" fillId="5" borderId="0" applyAlignment="1" pivotButton="0" quotePrefix="0" xfId="0">
      <alignment horizontal="center"/>
    </xf>
    <xf numFmtId="179" fontId="53" fillId="5" borderId="1" applyAlignment="1" pivotButton="0" quotePrefix="0" xfId="0">
      <alignment horizontal="center"/>
    </xf>
    <xf numFmtId="193" fontId="53" fillId="5" borderId="1" applyAlignment="1" pivotButton="0" quotePrefix="0" xfId="0">
      <alignment horizontal="center"/>
    </xf>
    <xf numFmtId="164" fontId="48" fillId="5" borderId="1" applyAlignment="1" pivotButton="0" quotePrefix="0" xfId="0">
      <alignment horizontal="center"/>
    </xf>
    <xf numFmtId="0" fontId="44" fillId="10" borderId="0" applyAlignment="1" pivotButton="0" quotePrefix="0" xfId="0">
      <alignment vertical="top"/>
    </xf>
    <xf numFmtId="0" fontId="44" fillId="10" borderId="1" applyAlignment="1" pivotButton="0" quotePrefix="0" xfId="0">
      <alignment vertical="top"/>
    </xf>
    <xf numFmtId="194" fontId="32" fillId="0" borderId="1" pivotButton="0" quotePrefix="0" xfId="0"/>
    <xf numFmtId="0" fontId="50" fillId="0" borderId="11" pivotButton="0" quotePrefix="0" xfId="0"/>
    <xf numFmtId="165" fontId="47" fillId="0" borderId="0" pivotButton="0" quotePrefix="0" xfId="0"/>
    <xf numFmtId="0" fontId="47" fillId="0" borderId="1" pivotButton="0" quotePrefix="0" xfId="0"/>
    <xf numFmtId="165" fontId="47" fillId="0" borderId="1" pivotButton="0" quotePrefix="0" xfId="0"/>
    <xf numFmtId="0" fontId="50" fillId="0" borderId="9" pivotButton="0" quotePrefix="0" xfId="0"/>
    <xf numFmtId="165" fontId="50" fillId="0" borderId="11" pivotButton="0" quotePrefix="0" xfId="0"/>
    <xf numFmtId="174" fontId="5" fillId="3" borderId="11" applyAlignment="1" applyProtection="1" pivotButton="0" quotePrefix="0" xfId="0">
      <alignment horizontal="left"/>
      <protection locked="0" hidden="0"/>
    </xf>
    <xf numFmtId="165" fontId="34" fillId="3" borderId="11" pivotButton="0" quotePrefix="0" xfId="0"/>
    <xf numFmtId="0" fontId="34" fillId="3" borderId="1" applyAlignment="1" pivotButton="0" quotePrefix="0" xfId="0">
      <alignment horizontal="left"/>
    </xf>
    <xf numFmtId="170" fontId="34" fillId="3" borderId="1" pivotButton="0" quotePrefix="0" xfId="0"/>
    <xf numFmtId="10" fontId="0" fillId="0" borderId="0" pivotButton="0" quotePrefix="0" xfId="0"/>
    <xf numFmtId="0" fontId="58" fillId="19" borderId="0" applyAlignment="1" pivotButton="0" quotePrefix="0" xfId="0">
      <alignment horizontal="left" vertical="top" wrapText="1"/>
    </xf>
    <xf numFmtId="0" fontId="53" fillId="10" borderId="1" applyAlignment="1" pivotButton="0" quotePrefix="0" xfId="0">
      <alignment horizontal="center"/>
    </xf>
    <xf numFmtId="164" fontId="53" fillId="10" borderId="1" applyAlignment="1" pivotButton="0" quotePrefix="0" xfId="0">
      <alignment horizontal="center"/>
    </xf>
    <xf numFmtId="38" fontId="32" fillId="0" borderId="0" pivotButton="0" quotePrefix="0" xfId="2"/>
    <xf numFmtId="0" fontId="41" fillId="0" borderId="0" pivotButton="0" quotePrefix="0" xfId="0"/>
    <xf numFmtId="193" fontId="32" fillId="0" borderId="0" pivotButton="0" quotePrefix="0" xfId="3"/>
    <xf numFmtId="0" fontId="40" fillId="0" borderId="0" applyAlignment="1" pivotButton="0" quotePrefix="0" xfId="0">
      <alignment horizontal="center" vertical="center" wrapText="1"/>
    </xf>
    <xf numFmtId="0" fontId="40" fillId="15" borderId="0" applyAlignment="1" pivotButton="0" quotePrefix="0" xfId="0">
      <alignment vertical="center" wrapText="1"/>
    </xf>
    <xf numFmtId="0" fontId="40" fillId="0" borderId="0" applyAlignment="1" pivotButton="0" quotePrefix="0" xfId="0">
      <alignment vertical="center" wrapText="1"/>
    </xf>
    <xf numFmtId="0" fontId="67" fillId="6" borderId="9" applyAlignment="1" pivotButton="0" quotePrefix="0" xfId="0">
      <alignment vertical="center" wrapText="1"/>
    </xf>
    <xf numFmtId="3" fontId="68" fillId="6" borderId="9" applyAlignment="1" pivotButton="0" quotePrefix="0" xfId="0">
      <alignment horizontal="center" vertical="center" wrapText="1"/>
    </xf>
    <xf numFmtId="193" fontId="68" fillId="0" borderId="0" applyAlignment="1" pivotButton="0" quotePrefix="0" xfId="0">
      <alignment horizontal="center" vertical="center" wrapText="1"/>
    </xf>
    <xf numFmtId="0" fontId="68" fillId="0" borderId="0" applyAlignment="1" pivotButton="0" quotePrefix="0" xfId="0">
      <alignment vertical="center" wrapText="1"/>
    </xf>
    <xf numFmtId="3" fontId="68" fillId="0" borderId="0" applyAlignment="1" pivotButton="0" quotePrefix="0" xfId="0">
      <alignment horizontal="center" vertical="center" wrapText="1"/>
    </xf>
    <xf numFmtId="164" fontId="68" fillId="0" borderId="0" applyAlignment="1" pivotButton="0" quotePrefix="0" xfId="0">
      <alignment horizontal="center" vertical="center" wrapText="1"/>
    </xf>
    <xf numFmtId="0" fontId="32" fillId="6" borderId="48" applyAlignment="1" pivotButton="0" quotePrefix="0" xfId="0">
      <alignment horizontal="left" wrapText="1"/>
    </xf>
    <xf numFmtId="193" fontId="32" fillId="0" borderId="0" applyAlignment="1" pivotButton="0" quotePrefix="0" xfId="3">
      <alignment horizontal="left"/>
    </xf>
    <xf numFmtId="0" fontId="32" fillId="0" borderId="0" applyAlignment="1" pivotButton="0" quotePrefix="0" xfId="0">
      <alignment horizontal="left"/>
    </xf>
    <xf numFmtId="10" fontId="32" fillId="6" borderId="47" applyAlignment="1" pivotButton="0" quotePrefix="0" xfId="4">
      <alignment horizontal="right" vertical="top"/>
    </xf>
    <xf numFmtId="10" fontId="32" fillId="6" borderId="48" applyAlignment="1" pivotButton="0" quotePrefix="0" xfId="4">
      <alignment horizontal="right" vertical="top"/>
    </xf>
    <xf numFmtId="0" fontId="32" fillId="6" borderId="5" applyAlignment="1" pivotButton="0" quotePrefix="0" xfId="0">
      <alignment horizontal="left" wrapText="1"/>
    </xf>
    <xf numFmtId="10" fontId="32" fillId="6" borderId="5" applyAlignment="1" pivotButton="0" quotePrefix="0" xfId="4">
      <alignment horizontal="right" vertical="top"/>
    </xf>
    <xf numFmtId="0" fontId="39" fillId="15" borderId="1" pivotButton="0" quotePrefix="0" xfId="0"/>
    <xf numFmtId="0" fontId="39" fillId="15" borderId="1" applyAlignment="1" pivotButton="0" quotePrefix="0" xfId="0">
      <alignment horizontal="center"/>
    </xf>
    <xf numFmtId="167" fontId="32" fillId="0" borderId="0" applyAlignment="1" pivotButton="0" quotePrefix="0" xfId="3">
      <alignment horizontal="center"/>
    </xf>
    <xf numFmtId="193" fontId="48" fillId="0" borderId="0" applyAlignment="1" pivotButton="0" quotePrefix="0" xfId="3">
      <alignment horizontal="right"/>
    </xf>
    <xf numFmtId="0" fontId="32" fillId="0" borderId="0" applyAlignment="1" pivotButton="0" quotePrefix="0" xfId="0">
      <alignment horizontal="right"/>
    </xf>
    <xf numFmtId="49" fontId="32" fillId="0" borderId="0" pivotButton="0" quotePrefix="0" xfId="0"/>
    <xf numFmtId="0" fontId="32" fillId="3" borderId="9" pivotButton="0" quotePrefix="0" xfId="0"/>
    <xf numFmtId="167" fontId="32" fillId="3" borderId="9" applyAlignment="1" pivotButton="0" quotePrefix="0" xfId="0">
      <alignment horizontal="center"/>
    </xf>
    <xf numFmtId="164" fontId="32" fillId="0" borderId="0" pivotButton="0" quotePrefix="0" xfId="0"/>
    <xf numFmtId="10" fontId="32" fillId="0" borderId="0" applyAlignment="1" pivotButton="0" quotePrefix="0" xfId="4">
      <alignment horizontal="center"/>
    </xf>
    <xf numFmtId="167" fontId="32" fillId="0" borderId="0" applyAlignment="1" pivotButton="0" quotePrefix="0" xfId="0">
      <alignment horizontal="center"/>
    </xf>
    <xf numFmtId="0" fontId="34" fillId="3" borderId="9" pivotButton="0" quotePrefix="0" xfId="0"/>
    <xf numFmtId="10" fontId="34" fillId="3" borderId="9" pivotButton="0" quotePrefix="0" xfId="4"/>
    <xf numFmtId="0" fontId="40" fillId="15" borderId="0" applyAlignment="1" pivotButton="0" quotePrefix="0" xfId="0">
      <alignment horizontal="right" vertical="center" wrapText="1"/>
    </xf>
    <xf numFmtId="0" fontId="68" fillId="0" borderId="14" applyAlignment="1" pivotButton="0" quotePrefix="0" xfId="0">
      <alignment vertical="center" wrapText="1"/>
    </xf>
    <xf numFmtId="0" fontId="68" fillId="0" borderId="50" applyAlignment="1" pivotButton="0" quotePrefix="0" xfId="0">
      <alignment vertical="center" wrapText="1"/>
    </xf>
    <xf numFmtId="0" fontId="68" fillId="0" borderId="47" applyAlignment="1" pivotButton="0" quotePrefix="0" xfId="0">
      <alignment horizontal="right" vertical="center" wrapText="1"/>
    </xf>
    <xf numFmtId="193" fontId="68" fillId="0" borderId="47" applyAlignment="1" pivotButton="0" quotePrefix="0" xfId="0">
      <alignment horizontal="right" vertical="center" wrapText="1"/>
    </xf>
    <xf numFmtId="167" fontId="68" fillId="0" borderId="47" applyAlignment="1" pivotButton="0" quotePrefix="0" xfId="3">
      <alignment horizontal="right" vertical="center" wrapText="1"/>
    </xf>
    <xf numFmtId="167" fontId="32" fillId="0" borderId="0" pivotButton="0" quotePrefix="0" xfId="0"/>
    <xf numFmtId="0" fontId="68" fillId="0" borderId="51" applyAlignment="1" pivotButton="0" quotePrefix="0" xfId="0">
      <alignment vertical="center" wrapText="1"/>
    </xf>
    <xf numFmtId="0" fontId="68" fillId="0" borderId="48" applyAlignment="1" pivotButton="0" quotePrefix="0" xfId="0">
      <alignment horizontal="right" vertical="center" wrapText="1"/>
    </xf>
    <xf numFmtId="193" fontId="68" fillId="0" borderId="48" applyAlignment="1" pivotButton="0" quotePrefix="0" xfId="0">
      <alignment horizontal="right" vertical="center" wrapText="1"/>
    </xf>
    <xf numFmtId="167" fontId="68" fillId="0" borderId="48" applyAlignment="1" pivotButton="0" quotePrefix="0" xfId="3">
      <alignment horizontal="right" vertical="center" wrapText="1"/>
    </xf>
    <xf numFmtId="0" fontId="68" fillId="0" borderId="4" applyAlignment="1" pivotButton="0" quotePrefix="0" xfId="0">
      <alignment vertical="center" wrapText="1"/>
    </xf>
    <xf numFmtId="0" fontId="68" fillId="0" borderId="52" applyAlignment="1" pivotButton="0" quotePrefix="0" xfId="0">
      <alignment vertical="center" wrapText="1"/>
    </xf>
    <xf numFmtId="0" fontId="68" fillId="0" borderId="49" applyAlignment="1" pivotButton="0" quotePrefix="0" xfId="0">
      <alignment horizontal="right" vertical="center" wrapText="1"/>
    </xf>
    <xf numFmtId="193" fontId="68" fillId="0" borderId="49" applyAlignment="1" pivotButton="0" quotePrefix="0" xfId="0">
      <alignment horizontal="right" vertical="center" wrapText="1"/>
    </xf>
    <xf numFmtId="167" fontId="68" fillId="0" borderId="49" applyAlignment="1" pivotButton="0" quotePrefix="0" xfId="3">
      <alignment horizontal="right" vertical="center" wrapText="1"/>
    </xf>
    <xf numFmtId="0" fontId="68" fillId="11" borderId="17" applyAlignment="1" pivotButton="0" quotePrefix="0" xfId="0">
      <alignment vertical="center" wrapText="1"/>
    </xf>
    <xf numFmtId="0" fontId="68" fillId="11" borderId="8" applyAlignment="1" pivotButton="0" quotePrefix="0" xfId="0">
      <alignment vertical="center" wrapText="1"/>
    </xf>
    <xf numFmtId="0" fontId="68" fillId="11" borderId="9" applyAlignment="1" pivotButton="0" quotePrefix="0" xfId="0">
      <alignment horizontal="right" vertical="center" wrapText="1"/>
    </xf>
    <xf numFmtId="193" fontId="68" fillId="11" borderId="9" applyAlignment="1" pivotButton="0" quotePrefix="0" xfId="0">
      <alignment horizontal="right" vertical="center" wrapText="1"/>
    </xf>
    <xf numFmtId="167" fontId="68" fillId="3" borderId="9" applyAlignment="1" pivotButton="0" quotePrefix="0" xfId="3">
      <alignment horizontal="right" vertical="center" wrapText="1"/>
    </xf>
    <xf numFmtId="10" fontId="68" fillId="0" borderId="2" applyAlignment="1" pivotButton="0" quotePrefix="0" xfId="4">
      <alignment vertical="center" wrapText="1"/>
    </xf>
    <xf numFmtId="164" fontId="48" fillId="0" borderId="0" applyAlignment="1" pivotButton="0" quotePrefix="0" xfId="0">
      <alignment horizontal="right" vertical="center" wrapText="1"/>
    </xf>
    <xf numFmtId="0" fontId="68" fillId="0" borderId="0" applyAlignment="1" pivotButton="0" quotePrefix="0" xfId="0">
      <alignment horizontal="right" vertical="center" wrapText="1"/>
    </xf>
    <xf numFmtId="164" fontId="68" fillId="0" borderId="9" applyAlignment="1" pivotButton="0" quotePrefix="0" xfId="3">
      <alignment horizontal="right" vertical="center" wrapText="1"/>
    </xf>
    <xf numFmtId="0" fontId="40" fillId="15" borderId="17" applyAlignment="1" pivotButton="0" quotePrefix="0" xfId="0">
      <alignment vertical="center" wrapText="1"/>
    </xf>
    <xf numFmtId="0" fontId="40" fillId="15" borderId="8" applyAlignment="1" pivotButton="0" quotePrefix="0" xfId="0">
      <alignment vertical="center" wrapText="1"/>
    </xf>
    <xf numFmtId="0" fontId="40" fillId="15" borderId="9" applyAlignment="1" pivotButton="0" quotePrefix="0" xfId="0">
      <alignment horizontal="right" vertical="center" wrapText="1"/>
    </xf>
    <xf numFmtId="0" fontId="68" fillId="0" borderId="36" applyAlignment="1" pivotButton="0" quotePrefix="0" xfId="0">
      <alignment vertical="center" wrapText="1"/>
    </xf>
    <xf numFmtId="10" fontId="68" fillId="0" borderId="42" applyAlignment="1" pivotButton="0" quotePrefix="0" xfId="4">
      <alignment vertical="center" wrapText="1"/>
    </xf>
    <xf numFmtId="164" fontId="68" fillId="0" borderId="43" applyAlignment="1" pivotButton="0" quotePrefix="0" xfId="3">
      <alignment horizontal="right" vertical="center" wrapText="1"/>
    </xf>
    <xf numFmtId="0" fontId="68" fillId="10" borderId="43" applyAlignment="1" pivotButton="0" quotePrefix="0" xfId="0">
      <alignment horizontal="right" vertical="center" wrapText="1"/>
    </xf>
    <xf numFmtId="10" fontId="68" fillId="0" borderId="52" applyAlignment="1" pivotButton="0" quotePrefix="0" xfId="4">
      <alignment vertical="center" wrapText="1"/>
    </xf>
    <xf numFmtId="0" fontId="68" fillId="10" borderId="49" applyAlignment="1" pivotButton="0" quotePrefix="0" xfId="0">
      <alignment horizontal="right" vertical="center" wrapText="1"/>
    </xf>
    <xf numFmtId="164" fontId="68" fillId="0" borderId="49" applyAlignment="1" pivotButton="0" quotePrefix="0" xfId="3">
      <alignment horizontal="right" vertical="center" wrapText="1"/>
    </xf>
    <xf numFmtId="0" fontId="67" fillId="11" borderId="43" applyAlignment="1" pivotButton="0" quotePrefix="0" xfId="0">
      <alignment vertical="center" wrapText="1"/>
    </xf>
    <xf numFmtId="193" fontId="67" fillId="11" borderId="43" applyAlignment="1" pivotButton="0" quotePrefix="0" xfId="0">
      <alignment horizontal="right" vertical="center" wrapText="1"/>
    </xf>
    <xf numFmtId="0" fontId="67" fillId="3" borderId="43" applyAlignment="1" pivotButton="0" quotePrefix="0" xfId="0">
      <alignment horizontal="right" vertical="center" wrapText="1"/>
    </xf>
    <xf numFmtId="164" fontId="67" fillId="3" borderId="43" applyAlignment="1" pivotButton="0" quotePrefix="0" xfId="3">
      <alignment horizontal="right" vertical="center" wrapText="1"/>
    </xf>
    <xf numFmtId="0" fontId="67" fillId="11" borderId="49" applyAlignment="1" pivotButton="0" quotePrefix="0" xfId="0">
      <alignment vertical="center" wrapText="1"/>
    </xf>
    <xf numFmtId="193" fontId="67" fillId="11" borderId="49" applyAlignment="1" pivotButton="0" quotePrefix="0" xfId="0">
      <alignment horizontal="right" vertical="center" wrapText="1"/>
    </xf>
    <xf numFmtId="193" fontId="67" fillId="3" borderId="49" applyAlignment="1" pivotButton="0" quotePrefix="0" xfId="0">
      <alignment horizontal="right" vertical="center" wrapText="1"/>
    </xf>
    <xf numFmtId="167" fontId="67" fillId="3" borderId="49" applyAlignment="1" pivotButton="0" quotePrefix="0" xfId="3">
      <alignment horizontal="right" vertical="center" wrapText="1"/>
    </xf>
    <xf numFmtId="10" fontId="32" fillId="0" borderId="0" pivotButton="0" quotePrefix="0" xfId="4"/>
    <xf numFmtId="0" fontId="39" fillId="15" borderId="0" applyAlignment="1" pivotButton="0" quotePrefix="0" xfId="0">
      <alignment horizontal="left"/>
    </xf>
    <xf numFmtId="0" fontId="39" fillId="15" borderId="0" applyAlignment="1" pivotButton="0" quotePrefix="0" xfId="0">
      <alignment horizontal="center"/>
    </xf>
    <xf numFmtId="0" fontId="48" fillId="6" borderId="0" applyAlignment="1" pivotButton="0" quotePrefix="0" xfId="0">
      <alignment vertical="center"/>
    </xf>
    <xf numFmtId="0" fontId="48" fillId="6" borderId="0" applyAlignment="1" pivotButton="0" quotePrefix="0" xfId="0">
      <alignment horizontal="center" vertical="center" wrapText="1"/>
    </xf>
    <xf numFmtId="0" fontId="48" fillId="6" borderId="0" applyAlignment="1" pivotButton="0" quotePrefix="0" xfId="0">
      <alignment vertical="center" wrapText="1"/>
    </xf>
    <xf numFmtId="0" fontId="40" fillId="12" borderId="20" applyAlignment="1" pivotButton="0" quotePrefix="0" xfId="0">
      <alignment vertical="center" wrapText="1"/>
    </xf>
    <xf numFmtId="0" fontId="48" fillId="6" borderId="0" applyAlignment="1" pivotButton="0" quotePrefix="0" xfId="0">
      <alignment horizontal="center"/>
    </xf>
    <xf numFmtId="0" fontId="48" fillId="0" borderId="56" applyAlignment="1" pivotButton="0" quotePrefix="0" xfId="0">
      <alignment vertical="center" wrapText="1"/>
    </xf>
    <xf numFmtId="193" fontId="48" fillId="0" borderId="57" applyAlignment="1" pivotButton="0" quotePrefix="0" xfId="0">
      <alignment horizontal="center" vertical="center" wrapText="1"/>
    </xf>
    <xf numFmtId="193" fontId="48" fillId="0" borderId="58" applyAlignment="1" pivotButton="0" quotePrefix="0" xfId="0">
      <alignment horizontal="center" vertical="center" wrapText="1"/>
    </xf>
    <xf numFmtId="0" fontId="48" fillId="6" borderId="0" applyAlignment="1" pivotButton="0" quotePrefix="0" xfId="0">
      <alignment horizontal="center" vertical="center"/>
    </xf>
    <xf numFmtId="0" fontId="48" fillId="0" borderId="22" applyAlignment="1" pivotButton="0" quotePrefix="0" xfId="0">
      <alignment vertical="center" wrapText="1"/>
    </xf>
    <xf numFmtId="10" fontId="48" fillId="0" borderId="5" applyAlignment="1" pivotButton="0" quotePrefix="0" xfId="0">
      <alignment horizontal="center" vertical="center" wrapText="1"/>
    </xf>
    <xf numFmtId="10" fontId="48" fillId="0" borderId="59" applyAlignment="1" pivotButton="0" quotePrefix="0" xfId="0">
      <alignment horizontal="center" vertical="center" wrapText="1"/>
    </xf>
    <xf numFmtId="0" fontId="44" fillId="3" borderId="11" applyAlignment="1" pivotButton="0" quotePrefix="0" xfId="0">
      <alignment vertical="center"/>
    </xf>
    <xf numFmtId="0" fontId="44" fillId="3" borderId="11" applyAlignment="1" pivotButton="0" quotePrefix="0" xfId="0">
      <alignment horizontal="center" vertical="center"/>
    </xf>
    <xf numFmtId="0" fontId="44" fillId="3" borderId="11" applyAlignment="1" pivotButton="0" quotePrefix="0" xfId="0">
      <alignment horizontal="center"/>
    </xf>
    <xf numFmtId="0" fontId="48" fillId="11" borderId="42" applyAlignment="1" pivotButton="0" quotePrefix="0" xfId="0">
      <alignment vertical="center" wrapText="1"/>
    </xf>
    <xf numFmtId="193" fontId="48" fillId="11" borderId="43" applyAlignment="1" pivotButton="0" quotePrefix="0" xfId="0">
      <alignment horizontal="center" vertical="center" wrapText="1"/>
    </xf>
    <xf numFmtId="193" fontId="48" fillId="11" borderId="44" applyAlignment="1" pivotButton="0" quotePrefix="0" xfId="0">
      <alignment horizontal="center" vertical="center" wrapText="1"/>
    </xf>
    <xf numFmtId="0" fontId="44" fillId="3" borderId="1" applyAlignment="1" pivotButton="0" quotePrefix="0" xfId="0">
      <alignment vertical="center"/>
    </xf>
    <xf numFmtId="10" fontId="44" fillId="3" borderId="1" applyAlignment="1" pivotButton="0" quotePrefix="0" xfId="0">
      <alignment horizontal="center" vertical="center"/>
    </xf>
    <xf numFmtId="10" fontId="44" fillId="3" borderId="1" applyAlignment="1" pivotButton="0" quotePrefix="0" xfId="0">
      <alignment horizontal="center"/>
    </xf>
    <xf numFmtId="10" fontId="44" fillId="3" borderId="1" applyAlignment="1" pivotButton="0" quotePrefix="0" xfId="0">
      <alignment vertical="center"/>
    </xf>
    <xf numFmtId="0" fontId="44" fillId="11" borderId="52" applyAlignment="1" pivotButton="0" quotePrefix="0" xfId="0">
      <alignment vertical="center" wrapText="1"/>
    </xf>
    <xf numFmtId="193" fontId="44" fillId="11" borderId="49" applyAlignment="1" pivotButton="0" quotePrefix="0" xfId="0">
      <alignment horizontal="center" vertical="center" wrapText="1"/>
    </xf>
    <xf numFmtId="193" fontId="44" fillId="11" borderId="60" applyAlignment="1" pivotButton="0" quotePrefix="0" xfId="0">
      <alignment horizontal="center" vertical="center" wrapText="1"/>
    </xf>
    <xf numFmtId="0" fontId="44" fillId="6" borderId="9" applyAlignment="1" pivotButton="0" quotePrefix="0" xfId="0">
      <alignment vertical="center"/>
    </xf>
    <xf numFmtId="10" fontId="44" fillId="6" borderId="9" applyAlignment="1" pivotButton="0" quotePrefix="0" xfId="0">
      <alignment horizontal="center" vertical="center"/>
    </xf>
    <xf numFmtId="10" fontId="44" fillId="6" borderId="9" applyAlignment="1" pivotButton="0" quotePrefix="0" xfId="0">
      <alignment horizontal="center"/>
    </xf>
    <xf numFmtId="0" fontId="32" fillId="0" borderId="9" pivotButton="0" quotePrefix="0" xfId="0"/>
    <xf numFmtId="2" fontId="31" fillId="6" borderId="0" pivotButton="0" quotePrefix="0" xfId="0"/>
    <xf numFmtId="0" fontId="44" fillId="11" borderId="0" applyAlignment="1" pivotButton="0" quotePrefix="0" xfId="0">
      <alignment vertical="center" wrapText="1"/>
    </xf>
    <xf numFmtId="193" fontId="44" fillId="11" borderId="0" applyAlignment="1" pivotButton="0" quotePrefix="0" xfId="0">
      <alignment horizontal="center" vertical="center" wrapText="1"/>
    </xf>
    <xf numFmtId="0" fontId="44" fillId="6" borderId="0" applyAlignment="1" pivotButton="0" quotePrefix="0" xfId="0">
      <alignment vertical="center"/>
    </xf>
    <xf numFmtId="10" fontId="44" fillId="6" borderId="0" applyAlignment="1" pivotButton="0" quotePrefix="0" xfId="0">
      <alignment horizontal="center" vertical="center"/>
    </xf>
    <xf numFmtId="10" fontId="44" fillId="6" borderId="0" applyAlignment="1" pivotButton="0" quotePrefix="0" xfId="0">
      <alignment horizontal="center"/>
    </xf>
    <xf numFmtId="10" fontId="44" fillId="6" borderId="0" applyAlignment="1" pivotButton="0" quotePrefix="0" xfId="0">
      <alignment vertical="center"/>
    </xf>
    <xf numFmtId="0" fontId="50" fillId="3" borderId="1" applyAlignment="1" pivotButton="0" quotePrefix="0" xfId="0">
      <alignment vertical="center"/>
    </xf>
    <xf numFmtId="165" fontId="50" fillId="3" borderId="1" applyAlignment="1" pivotButton="0" quotePrefix="0" xfId="0">
      <alignment horizontal="center" vertical="center"/>
    </xf>
    <xf numFmtId="178" fontId="5" fillId="0" borderId="9" applyAlignment="1" applyProtection="1" pivotButton="0" quotePrefix="0" xfId="0">
      <alignment horizontal="left"/>
      <protection locked="0" hidden="0"/>
    </xf>
    <xf numFmtId="0" fontId="5" fillId="0" borderId="9" applyAlignment="1" pivotButton="0" quotePrefix="0" xfId="0">
      <alignment horizontal="center"/>
    </xf>
    <xf numFmtId="175" fontId="47" fillId="0" borderId="0" applyAlignment="1" pivotButton="0" quotePrefix="0" xfId="0">
      <alignment horizontal="left"/>
    </xf>
    <xf numFmtId="176" fontId="32" fillId="0" borderId="0" applyAlignment="1" pivotButton="0" quotePrefix="0" xfId="0">
      <alignment horizontal="left"/>
    </xf>
    <xf numFmtId="176" fontId="47" fillId="0" borderId="0" applyAlignment="1" applyProtection="1" pivotButton="0" quotePrefix="0" xfId="0">
      <alignment horizontal="left"/>
      <protection locked="0" hidden="0"/>
    </xf>
    <xf numFmtId="177" fontId="47" fillId="0" borderId="0" applyAlignment="1" pivotButton="0" quotePrefix="0" xfId="0">
      <alignment horizontal="left"/>
    </xf>
    <xf numFmtId="174" fontId="5" fillId="3" borderId="9" applyAlignment="1" applyProtection="1" pivotButton="0" quotePrefix="0" xfId="0">
      <alignment horizontal="left"/>
      <protection locked="0" hidden="0"/>
    </xf>
    <xf numFmtId="174" fontId="50" fillId="3" borderId="9" applyAlignment="1" applyProtection="1" pivotButton="0" quotePrefix="0" xfId="0">
      <alignment horizontal="left"/>
      <protection locked="0" hidden="0"/>
    </xf>
    <xf numFmtId="165" fontId="50" fillId="3" borderId="9" pivotButton="0" quotePrefix="0" xfId="0"/>
    <xf numFmtId="0" fontId="21" fillId="17" borderId="0" applyAlignment="1" pivotButton="0" quotePrefix="0" xfId="0">
      <alignment wrapText="1"/>
    </xf>
    <xf numFmtId="168" fontId="47" fillId="0" borderId="1" pivotButton="0" quotePrefix="0" xfId="0"/>
    <xf numFmtId="37" fontId="47" fillId="0" borderId="1" pivotButton="0" quotePrefix="0" xfId="0"/>
    <xf numFmtId="165" fontId="47" fillId="0" borderId="1" applyAlignment="1" pivotButton="0" quotePrefix="0" xfId="0">
      <alignment horizontal="right"/>
    </xf>
    <xf numFmtId="171" fontId="47" fillId="0" borderId="1" applyAlignment="1" pivotButton="0" quotePrefix="0" xfId="0">
      <alignment horizontal="right"/>
    </xf>
    <xf numFmtId="0" fontId="32" fillId="0" borderId="0" applyAlignment="1" pivotButton="0" quotePrefix="0" xfId="1">
      <alignment horizontal="left" vertical="top"/>
    </xf>
    <xf numFmtId="1" fontId="32" fillId="0" borderId="0" applyAlignment="1" pivotButton="0" quotePrefix="0" xfId="1">
      <alignment horizontal="left" vertical="top"/>
    </xf>
    <xf numFmtId="165" fontId="32" fillId="0" borderId="0" applyAlignment="1" pivotButton="0" quotePrefix="0" xfId="1">
      <alignment horizontal="left" vertical="top"/>
    </xf>
    <xf numFmtId="164" fontId="32" fillId="0" borderId="0" applyAlignment="1" pivotButton="0" quotePrefix="0" xfId="1">
      <alignment horizontal="left" vertical="top"/>
    </xf>
    <xf numFmtId="0" fontId="32" fillId="0" borderId="0" applyAlignment="1" pivotButton="0" quotePrefix="0" xfId="0">
      <alignment horizontal="left" vertical="top"/>
    </xf>
    <xf numFmtId="0" fontId="32" fillId="0" borderId="0" applyAlignment="1" pivotButton="0" quotePrefix="0" xfId="1">
      <alignment horizontal="left" vertical="center"/>
    </xf>
    <xf numFmtId="0" fontId="70" fillId="0" borderId="0" applyAlignment="1" pivotButton="0" quotePrefix="0" xfId="0">
      <alignment horizontal="left" vertical="top"/>
    </xf>
    <xf numFmtId="0" fontId="32" fillId="0" borderId="1" applyAlignment="1" pivotButton="0" quotePrefix="0" xfId="0">
      <alignment horizontal="left" vertical="top"/>
    </xf>
    <xf numFmtId="0" fontId="44" fillId="6" borderId="0" pivotButton="0" quotePrefix="0" xfId="0"/>
    <xf numFmtId="0" fontId="44" fillId="6" borderId="1" pivotButton="0" quotePrefix="0" xfId="0"/>
    <xf numFmtId="0" fontId="44" fillId="6" borderId="0" applyAlignment="1" pivotButton="0" quotePrefix="0" xfId="0">
      <alignment vertical="top"/>
    </xf>
    <xf numFmtId="0" fontId="44" fillId="6" borderId="0" applyAlignment="1" pivotButton="0" quotePrefix="0" xfId="0">
      <alignment horizontal="left" vertical="top"/>
    </xf>
    <xf numFmtId="0" fontId="48" fillId="6" borderId="0" applyAlignment="1" pivotButton="0" quotePrefix="0" xfId="0">
      <alignment vertical="top"/>
    </xf>
    <xf numFmtId="0" fontId="0" fillId="6" borderId="0" applyAlignment="1" pivotButton="0" quotePrefix="0" xfId="0">
      <alignment horizontal="left" indent="1"/>
    </xf>
    <xf numFmtId="0" fontId="0" fillId="6" borderId="1" applyAlignment="1" pivotButton="0" quotePrefix="0" xfId="0">
      <alignment horizontal="left"/>
    </xf>
    <xf numFmtId="0" fontId="34" fillId="6" borderId="1" applyAlignment="1" pivotButton="0" quotePrefix="0" xfId="0">
      <alignment horizontal="left" vertical="top" wrapText="1" indent="1"/>
    </xf>
    <xf numFmtId="0" fontId="34" fillId="6" borderId="0" applyAlignment="1" pivotButton="0" quotePrefix="0" xfId="0">
      <alignment horizontal="left" vertical="top" wrapText="1" indent="1"/>
    </xf>
    <xf numFmtId="0" fontId="50" fillId="22" borderId="11" pivotButton="0" quotePrefix="0" xfId="0"/>
    <xf numFmtId="165" fontId="47" fillId="22" borderId="0" pivotButton="0" quotePrefix="0" xfId="0"/>
    <xf numFmtId="0" fontId="47" fillId="22" borderId="1" pivotButton="0" quotePrefix="0" xfId="0"/>
    <xf numFmtId="165" fontId="47" fillId="22" borderId="1" pivotButton="0" quotePrefix="0" xfId="0"/>
    <xf numFmtId="0" fontId="0" fillId="6" borderId="0" pivotButton="0" quotePrefix="0" xfId="9"/>
    <xf numFmtId="0" fontId="39" fillId="19" borderId="0" applyAlignment="1" pivotButton="0" quotePrefix="0" xfId="0">
      <alignment horizontal="center"/>
    </xf>
    <xf numFmtId="169" fontId="32" fillId="0" borderId="1" applyAlignment="1" pivotButton="0" quotePrefix="0" xfId="0">
      <alignment horizontal="center" vertical="center"/>
    </xf>
    <xf numFmtId="0" fontId="32" fillId="0" borderId="1" applyAlignment="1" pivotButton="0" quotePrefix="0" xfId="0">
      <alignment horizontal="center"/>
    </xf>
    <xf numFmtId="179" fontId="32" fillId="0" borderId="1" applyAlignment="1" pivotButton="0" quotePrefix="0" xfId="0">
      <alignment horizontal="center"/>
    </xf>
    <xf numFmtId="165" fontId="32" fillId="0" borderId="1" applyAlignment="1" pivotButton="0" quotePrefix="0" xfId="3">
      <alignment horizontal="center"/>
    </xf>
    <xf numFmtId="194" fontId="32" fillId="6" borderId="1" pivotButton="0" quotePrefix="0" xfId="0"/>
    <xf numFmtId="0" fontId="50" fillId="6" borderId="9" pivotButton="0" quotePrefix="0" xfId="0"/>
    <xf numFmtId="165" fontId="50" fillId="6" borderId="11" pivotButton="0" quotePrefix="0" xfId="0"/>
    <xf numFmtId="0" fontId="44" fillId="6" borderId="0" applyAlignment="1" pivotButton="0" quotePrefix="0" xfId="0">
      <alignment vertical="top" wrapText="1"/>
    </xf>
    <xf numFmtId="0" fontId="34" fillId="6" borderId="0" applyAlignment="1" pivotButton="0" quotePrefix="0" xfId="0">
      <alignment vertical="top" wrapText="1"/>
    </xf>
    <xf numFmtId="0" fontId="0" fillId="0" borderId="0" applyAlignment="1" pivotButton="0" quotePrefix="0" xfId="0">
      <alignment horizontal="left"/>
    </xf>
    <xf numFmtId="0" fontId="48" fillId="6" borderId="2" applyAlignment="1" pivotButton="0" quotePrefix="0" xfId="0">
      <alignment vertical="center" justifyLastLine="1"/>
    </xf>
    <xf numFmtId="0" fontId="48" fillId="6" borderId="2" applyAlignment="1" pivotButton="0" quotePrefix="0" xfId="0">
      <alignment vertical="center" wrapText="1" justifyLastLine="1"/>
    </xf>
    <xf numFmtId="180" fontId="49" fillId="6" borderId="2" applyAlignment="1" pivotButton="0" quotePrefix="0" xfId="0">
      <alignment vertical="center" justifyLastLine="1"/>
    </xf>
    <xf numFmtId="3" fontId="48" fillId="6" borderId="2" applyAlignment="1" pivotButton="0" quotePrefix="0" xfId="2">
      <alignment vertical="center" justifyLastLine="1"/>
    </xf>
    <xf numFmtId="169" fontId="49" fillId="6" borderId="40" applyAlignment="1" pivotButton="0" quotePrefix="0" xfId="3">
      <alignment vertical="center" wrapText="1" justifyLastLine="1"/>
    </xf>
    <xf numFmtId="169" fontId="48" fillId="6" borderId="2" applyAlignment="1" pivotButton="0" quotePrefix="0" xfId="3">
      <alignment vertical="center" justifyLastLine="1"/>
    </xf>
    <xf numFmtId="0" fontId="0" fillId="0" borderId="0" applyAlignment="1" pivotButton="0" quotePrefix="0" xfId="0">
      <alignment horizontal="right"/>
    </xf>
    <xf numFmtId="186" fontId="50" fillId="3" borderId="37" applyAlignment="1" pivotButton="0" quotePrefix="0" xfId="3">
      <alignment horizontal="right" vertical="center"/>
    </xf>
    <xf numFmtId="170" fontId="50" fillId="8" borderId="38" applyAlignment="1" pivotButton="0" quotePrefix="0" xfId="3">
      <alignment horizontal="right" vertical="center"/>
    </xf>
    <xf numFmtId="9" fontId="50" fillId="6" borderId="0" applyAlignment="1" pivotButton="0" quotePrefix="0" xfId="4">
      <alignment vertical="center"/>
    </xf>
    <xf numFmtId="0" fontId="44" fillId="6" borderId="2" applyAlignment="1" pivotButton="0" quotePrefix="0" xfId="0">
      <alignment horizontal="right" vertical="center"/>
    </xf>
    <xf numFmtId="3" fontId="44" fillId="6" borderId="2" applyAlignment="1" pivotButton="0" quotePrefix="0" xfId="2">
      <alignment horizontal="right" vertical="center"/>
    </xf>
    <xf numFmtId="1" fontId="50" fillId="6" borderId="0" applyAlignment="1" pivotButton="0" quotePrefix="0" xfId="0">
      <alignment vertical="center"/>
    </xf>
    <xf numFmtId="3" fontId="44" fillId="6" borderId="2" applyAlignment="1" pivotButton="0" quotePrefix="0" xfId="0">
      <alignment horizontal="right" vertical="center" wrapText="1"/>
    </xf>
    <xf numFmtId="0" fontId="43" fillId="6" borderId="2" applyAlignment="1" pivotButton="0" quotePrefix="0" xfId="0">
      <alignment horizontal="right" vertical="center"/>
    </xf>
    <xf numFmtId="0" fontId="49" fillId="6" borderId="65" applyAlignment="1" pivotButton="0" quotePrefix="0" xfId="0">
      <alignment horizontal="right" vertical="center"/>
    </xf>
    <xf numFmtId="0" fontId="49" fillId="6" borderId="15" applyAlignment="1" pivotButton="0" quotePrefix="0" xfId="0">
      <alignment horizontal="right" vertical="center"/>
    </xf>
    <xf numFmtId="0" fontId="52" fillId="3" borderId="66" applyAlignment="1" pivotButton="0" quotePrefix="0" xfId="0">
      <alignment horizontal="right" vertical="center" wrapText="1"/>
    </xf>
    <xf numFmtId="9" fontId="47" fillId="3" borderId="66" applyAlignment="1" pivotButton="0" quotePrefix="0" xfId="4">
      <alignment horizontal="right" vertical="center"/>
    </xf>
    <xf numFmtId="1" fontId="52" fillId="6" borderId="15" applyAlignment="1" pivotButton="0" quotePrefix="0" xfId="0">
      <alignment horizontal="right" vertical="center"/>
    </xf>
    <xf numFmtId="1" fontId="56" fillId="6" borderId="15" applyAlignment="1" pivotButton="0" quotePrefix="0" xfId="0">
      <alignment horizontal="right" vertical="center" wrapText="1"/>
    </xf>
    <xf numFmtId="9" fontId="56" fillId="6" borderId="15" applyAlignment="1" pivotButton="0" quotePrefix="0" xfId="4">
      <alignment horizontal="right" vertical="center"/>
    </xf>
    <xf numFmtId="9" fontId="57" fillId="6" borderId="15" applyAlignment="1" pivotButton="0" quotePrefix="0" xfId="0">
      <alignment horizontal="right" vertical="center" wrapText="1"/>
    </xf>
    <xf numFmtId="9" fontId="56" fillId="6" borderId="15" applyAlignment="1" pivotButton="0" quotePrefix="0" xfId="4">
      <alignment horizontal="right" vertical="center" wrapText="1"/>
    </xf>
    <xf numFmtId="3" fontId="44" fillId="6" borderId="15" applyAlignment="1" pivotButton="0" quotePrefix="0" xfId="2">
      <alignment horizontal="right" vertical="center"/>
    </xf>
    <xf numFmtId="0" fontId="56" fillId="6" borderId="15" applyAlignment="1" pivotButton="0" quotePrefix="0" xfId="4">
      <alignment horizontal="right" vertical="center" wrapText="1"/>
    </xf>
    <xf numFmtId="0" fontId="56" fillId="6" borderId="15" applyAlignment="1" pivotButton="0" quotePrefix="0" xfId="4">
      <alignment horizontal="right" vertical="center"/>
    </xf>
    <xf numFmtId="0" fontId="52" fillId="3" borderId="65" applyAlignment="1" pivotButton="0" quotePrefix="0" xfId="0">
      <alignment vertical="center"/>
    </xf>
    <xf numFmtId="0" fontId="52" fillId="8" borderId="66" applyAlignment="1" pivotButton="0" quotePrefix="0" xfId="0">
      <alignment vertical="center"/>
    </xf>
    <xf numFmtId="0" fontId="50" fillId="3" borderId="24" applyAlignment="1" pivotButton="0" quotePrefix="0" xfId="0">
      <alignment vertical="center"/>
    </xf>
    <xf numFmtId="0" fontId="50" fillId="8" borderId="24" applyAlignment="1" pivotButton="0" quotePrefix="0" xfId="0">
      <alignment horizontal="right" vertical="center"/>
    </xf>
    <xf numFmtId="0" fontId="48" fillId="6" borderId="6" applyAlignment="1" pivotButton="0" quotePrefix="0" xfId="0">
      <alignment horizontal="right" vertical="center"/>
    </xf>
    <xf numFmtId="0" fontId="48" fillId="6" borderId="0" applyAlignment="1" pivotButton="0" quotePrefix="0" xfId="0">
      <alignment horizontal="right" vertical="center"/>
    </xf>
    <xf numFmtId="180" fontId="48" fillId="6" borderId="0" applyAlignment="1" pivotButton="0" quotePrefix="0" xfId="0">
      <alignment horizontal="right" vertical="center"/>
    </xf>
    <xf numFmtId="0" fontId="48" fillId="3" borderId="24" applyAlignment="1" pivotButton="0" quotePrefix="0" xfId="0">
      <alignment horizontal="right" vertical="center"/>
    </xf>
    <xf numFmtId="0" fontId="44" fillId="6" borderId="0" applyAlignment="1" pivotButton="0" quotePrefix="0" xfId="0">
      <alignment horizontal="right" vertical="center"/>
    </xf>
    <xf numFmtId="1" fontId="56" fillId="6" borderId="0" applyAlignment="1" pivotButton="0" quotePrefix="0" xfId="0">
      <alignment horizontal="right" vertical="center" wrapText="1"/>
    </xf>
    <xf numFmtId="9" fontId="56" fillId="6" borderId="0" applyAlignment="1" pivotButton="0" quotePrefix="0" xfId="4">
      <alignment horizontal="right" vertical="center"/>
    </xf>
    <xf numFmtId="9" fontId="57" fillId="6" borderId="0" applyAlignment="1" pivotButton="0" quotePrefix="0" xfId="0">
      <alignment horizontal="right" vertical="center" wrapText="1"/>
    </xf>
    <xf numFmtId="3" fontId="44" fillId="6" borderId="0" applyAlignment="1" pivotButton="0" quotePrefix="0" xfId="2">
      <alignment horizontal="right" vertical="center"/>
    </xf>
    <xf numFmtId="3" fontId="44" fillId="6" borderId="0" applyAlignment="1" pivotButton="0" quotePrefix="0" xfId="0">
      <alignment horizontal="right" vertical="center" wrapText="1"/>
    </xf>
    <xf numFmtId="0" fontId="43" fillId="6" borderId="0" applyAlignment="1" pivotButton="0" quotePrefix="0" xfId="0">
      <alignment horizontal="right" vertical="center"/>
    </xf>
    <xf numFmtId="0" fontId="56" fillId="6" borderId="0" applyAlignment="1" pivotButton="0" quotePrefix="0" xfId="4">
      <alignment horizontal="right" vertical="center" wrapText="1"/>
    </xf>
    <xf numFmtId="0" fontId="56" fillId="6" borderId="0" applyAlignment="1" pivotButton="0" quotePrefix="0" xfId="4">
      <alignment horizontal="right" vertical="center"/>
    </xf>
    <xf numFmtId="0" fontId="50" fillId="8" borderId="64" applyAlignment="1" pivotButton="0" quotePrefix="0" xfId="0">
      <alignment horizontal="right" vertical="center"/>
    </xf>
    <xf numFmtId="186" fontId="50" fillId="3" borderId="36" applyAlignment="1" pivotButton="0" quotePrefix="0" xfId="3">
      <alignment horizontal="right" vertical="center"/>
    </xf>
    <xf numFmtId="170" fontId="50" fillId="8" borderId="17" applyAlignment="1" pivotButton="0" quotePrefix="0" xfId="3">
      <alignment horizontal="right" vertical="center"/>
    </xf>
    <xf numFmtId="186" fontId="50" fillId="3" borderId="17" applyAlignment="1" pivotButton="0" quotePrefix="0" xfId="3">
      <alignment horizontal="right" vertical="center"/>
    </xf>
    <xf numFmtId="0" fontId="32" fillId="6" borderId="0" applyAlignment="1" pivotButton="0" quotePrefix="0" xfId="0">
      <alignment horizontal="left" wrapText="1"/>
    </xf>
    <xf numFmtId="0" fontId="44" fillId="3" borderId="0" applyAlignment="1" pivotButton="0" quotePrefix="0" xfId="0">
      <alignment horizontal="right" vertical="center" wrapText="1"/>
    </xf>
    <xf numFmtId="3" fontId="57" fillId="6" borderId="0" applyAlignment="1" pivotButton="0" quotePrefix="0" xfId="0">
      <alignment horizontal="right" vertical="center" wrapText="1"/>
    </xf>
    <xf numFmtId="3" fontId="57" fillId="6" borderId="0" applyAlignment="1" pivotButton="0" quotePrefix="0" xfId="0">
      <alignment horizontal="right" vertical="center"/>
    </xf>
    <xf numFmtId="170" fontId="52" fillId="6" borderId="2" applyAlignment="1" pivotButton="0" quotePrefix="0" xfId="3">
      <alignment horizontal="right" vertical="center"/>
    </xf>
    <xf numFmtId="186" fontId="53" fillId="6" borderId="2" applyAlignment="1" pivotButton="0" quotePrefix="0" xfId="4">
      <alignment horizontal="right" vertical="center"/>
    </xf>
    <xf numFmtId="186" fontId="50" fillId="3" borderId="11" applyAlignment="1" pivotButton="0" quotePrefix="0" xfId="3">
      <alignment horizontal="right" vertical="center"/>
    </xf>
    <xf numFmtId="170" fontId="50" fillId="8" borderId="9" applyAlignment="1" pivotButton="0" quotePrefix="0" xfId="3">
      <alignment horizontal="right" vertical="center"/>
    </xf>
    <xf numFmtId="0" fontId="48" fillId="3" borderId="6" applyAlignment="1" pivotButton="0" quotePrefix="0" xfId="0">
      <alignment horizontal="right" vertical="center"/>
    </xf>
    <xf numFmtId="170" fontId="44" fillId="3" borderId="11" applyAlignment="1" pivotButton="0" quotePrefix="0" xfId="3">
      <alignment horizontal="right" vertical="center"/>
    </xf>
    <xf numFmtId="0" fontId="48" fillId="15" borderId="9" applyAlignment="1" pivotButton="0" quotePrefix="0" xfId="0">
      <alignment horizontal="right" vertical="center"/>
    </xf>
    <xf numFmtId="0" fontId="40" fillId="15" borderId="0" applyAlignment="1" pivotButton="0" quotePrefix="0" xfId="0">
      <alignment horizontal="center" vertical="center" wrapText="1"/>
    </xf>
    <xf numFmtId="0" fontId="0" fillId="5" borderId="0" applyAlignment="1" pivotButton="0" quotePrefix="0" xfId="0">
      <alignment horizontal="right"/>
    </xf>
    <xf numFmtId="1" fontId="0" fillId="5" borderId="0" pivotButton="0" quotePrefix="0" xfId="0"/>
    <xf numFmtId="3" fontId="0" fillId="5" borderId="0" applyAlignment="1" pivotButton="0" quotePrefix="0" xfId="0">
      <alignment horizontal="right"/>
    </xf>
    <xf numFmtId="0" fontId="0" fillId="5" borderId="0" applyAlignment="1" pivotButton="0" quotePrefix="0" xfId="0">
      <alignment horizontal="right" wrapText="1"/>
    </xf>
    <xf numFmtId="0" fontId="0" fillId="5" borderId="0" pivotButton="0" quotePrefix="0" xfId="0"/>
    <xf numFmtId="9" fontId="0" fillId="5" borderId="0" applyAlignment="1" pivotButton="0" quotePrefix="0" xfId="4">
      <alignment horizontal="right"/>
    </xf>
    <xf numFmtId="169" fontId="0" fillId="5" borderId="0" pivotButton="0" quotePrefix="0" xfId="0"/>
    <xf numFmtId="14" fontId="0" fillId="5" borderId="0" pivotButton="0" quotePrefix="0" xfId="0"/>
    <xf numFmtId="14" fontId="0" fillId="5" borderId="0" applyAlignment="1" pivotButton="0" quotePrefix="0" xfId="0">
      <alignment horizontal="right"/>
    </xf>
    <xf numFmtId="0" fontId="5" fillId="5" borderId="0" pivotButton="0" quotePrefix="0" xfId="0"/>
    <xf numFmtId="169" fontId="0" fillId="6" borderId="0" applyAlignment="1" pivotButton="0" quotePrefix="0" xfId="0">
      <alignment horizontal="right"/>
    </xf>
    <xf numFmtId="0" fontId="62" fillId="6" borderId="0" applyAlignment="1" pivotButton="0" quotePrefix="0" xfId="0">
      <alignment horizontal="left" vertical="center"/>
    </xf>
    <xf numFmtId="0" fontId="32" fillId="6" borderId="0" applyAlignment="1" pivotButton="0" quotePrefix="0" xfId="0">
      <alignment horizontal="left" vertical="center"/>
    </xf>
    <xf numFmtId="0" fontId="32" fillId="6" borderId="0" applyAlignment="1" pivotButton="0" quotePrefix="0" xfId="0">
      <alignment horizontal="left" vertical="center" wrapText="1"/>
    </xf>
    <xf numFmtId="191" fontId="32" fillId="6" borderId="0" applyAlignment="1" pivotButton="0" quotePrefix="0" xfId="0">
      <alignment horizontal="left" vertical="center" wrapText="1"/>
    </xf>
    <xf numFmtId="195" fontId="32" fillId="6" borderId="0" applyAlignment="1" pivotButton="0" quotePrefix="0" xfId="0">
      <alignment horizontal="left" vertical="center"/>
    </xf>
    <xf numFmtId="0" fontId="60" fillId="10" borderId="0" pivotButton="0" quotePrefix="0" xfId="0"/>
    <xf numFmtId="0" fontId="59" fillId="10" borderId="0" applyAlignment="1" pivotButton="0" quotePrefix="0" xfId="0">
      <alignment horizontal="right"/>
    </xf>
    <xf numFmtId="179" fontId="59" fillId="10" borderId="0" applyAlignment="1" pivotButton="0" quotePrefix="0" xfId="0">
      <alignment horizontal="right"/>
    </xf>
    <xf numFmtId="0" fontId="60" fillId="9" borderId="0" pivotButton="0" quotePrefix="0" xfId="0"/>
    <xf numFmtId="0" fontId="59" fillId="9" borderId="0" applyAlignment="1" pivotButton="0" quotePrefix="0" xfId="0">
      <alignment horizontal="right"/>
    </xf>
    <xf numFmtId="3" fontId="59" fillId="10" borderId="0" applyAlignment="1" pivotButton="0" quotePrefix="0" xfId="0">
      <alignment horizontal="right"/>
    </xf>
    <xf numFmtId="1" fontId="59" fillId="10" borderId="0" applyAlignment="1" pivotButton="0" quotePrefix="0" xfId="0">
      <alignment horizontal="right"/>
    </xf>
    <xf numFmtId="0" fontId="59" fillId="10" borderId="0" applyAlignment="1" pivotButton="0" quotePrefix="0" xfId="0">
      <alignment horizontal="right" wrapText="1"/>
    </xf>
    <xf numFmtId="9" fontId="59" fillId="10" borderId="0" applyAlignment="1" pivotButton="0" quotePrefix="0" xfId="0">
      <alignment horizontal="right"/>
    </xf>
    <xf numFmtId="0" fontId="60" fillId="10" borderId="1" pivotButton="0" quotePrefix="0" xfId="0"/>
    <xf numFmtId="9" fontId="59" fillId="10" borderId="1" applyAlignment="1" pivotButton="0" quotePrefix="0" xfId="0">
      <alignment horizontal="right"/>
    </xf>
    <xf numFmtId="0" fontId="58" fillId="9" borderId="0" applyAlignment="1" pivotButton="0" quotePrefix="0" xfId="0">
      <alignment horizontal="center"/>
    </xf>
    <xf numFmtId="0" fontId="60" fillId="6" borderId="0" pivotButton="0" quotePrefix="0" xfId="0"/>
    <xf numFmtId="193" fontId="59" fillId="6" borderId="0" applyAlignment="1" pivotButton="0" quotePrefix="0" xfId="0">
      <alignment horizontal="center"/>
    </xf>
    <xf numFmtId="164" fontId="59" fillId="6" borderId="0" applyAlignment="1" pivotButton="0" quotePrefix="0" xfId="0">
      <alignment horizontal="center"/>
    </xf>
    <xf numFmtId="0" fontId="60" fillId="6" borderId="1" pivotButton="0" quotePrefix="0" xfId="0"/>
    <xf numFmtId="193" fontId="59" fillId="6" borderId="1" applyAlignment="1" pivotButton="0" quotePrefix="0" xfId="0">
      <alignment horizontal="center"/>
    </xf>
    <xf numFmtId="164" fontId="59" fillId="6" borderId="1" applyAlignment="1" pivotButton="0" quotePrefix="0" xfId="0">
      <alignment horizontal="center"/>
    </xf>
    <xf numFmtId="0" fontId="39" fillId="6" borderId="0" applyAlignment="1" pivotButton="0" quotePrefix="0" xfId="10">
      <alignment horizontal="center"/>
    </xf>
    <xf numFmtId="0" fontId="50" fillId="6" borderId="0" pivotButton="0" quotePrefix="0" xfId="0"/>
    <xf numFmtId="0" fontId="47" fillId="6" borderId="0" applyAlignment="1" pivotButton="0" quotePrefix="0" xfId="11">
      <alignment horizontal="left" wrapText="1"/>
    </xf>
    <xf numFmtId="0" fontId="0" fillId="6" borderId="0" applyAlignment="1" pivotButton="0" quotePrefix="0" xfId="0">
      <alignment horizontal="justify" wrapText="1"/>
    </xf>
    <xf numFmtId="0" fontId="0" fillId="5" borderId="0" applyAlignment="1" pivotButton="0" quotePrefix="0" xfId="0">
      <alignment horizontal="justify" wrapText="1"/>
    </xf>
    <xf numFmtId="179" fontId="47" fillId="6" borderId="0" applyAlignment="1" pivotButton="0" quotePrefix="0" xfId="11">
      <alignment horizontal="left" wrapText="1"/>
    </xf>
    <xf numFmtId="196" fontId="47" fillId="6" borderId="0" applyAlignment="1" pivotButton="0" quotePrefix="0" xfId="11">
      <alignment horizontal="left" wrapText="1"/>
    </xf>
    <xf numFmtId="0" fontId="47" fillId="6" borderId="0" applyAlignment="1" pivotButton="0" quotePrefix="0" xfId="11">
      <alignment horizontal="justify" wrapText="1"/>
    </xf>
    <xf numFmtId="0" fontId="61" fillId="6" borderId="0" applyAlignment="1" pivotButton="0" quotePrefix="0" xfId="0">
      <alignment horizontal="justify" wrapText="1"/>
    </xf>
    <xf numFmtId="0" fontId="50" fillId="6" borderId="0" applyAlignment="1" pivotButton="0" quotePrefix="0" xfId="0">
      <alignment horizontal="left"/>
    </xf>
    <xf numFmtId="0" fontId="50" fillId="6" borderId="1" applyAlignment="1" pivotButton="0" quotePrefix="0" xfId="0">
      <alignment horizontal="left"/>
    </xf>
    <xf numFmtId="0" fontId="5" fillId="6" borderId="0" applyAlignment="1" pivotButton="0" quotePrefix="0" xfId="0">
      <alignment wrapText="1"/>
    </xf>
    <xf numFmtId="0" fontId="47" fillId="6" borderId="0" applyAlignment="1" pivotButton="0" quotePrefix="0" xfId="11">
      <alignment wrapText="1"/>
    </xf>
    <xf numFmtId="0" fontId="62" fillId="6" borderId="0" applyAlignment="1" pivotButton="0" quotePrefix="0" xfId="0">
      <alignment horizontal="left"/>
    </xf>
    <xf numFmtId="0" fontId="32" fillId="6" borderId="0" applyAlignment="1" pivotButton="0" quotePrefix="0" xfId="0">
      <alignment horizontal="left"/>
    </xf>
    <xf numFmtId="191" fontId="32" fillId="6" borderId="0" applyAlignment="1" pivotButton="0" quotePrefix="0" xfId="0">
      <alignment horizontal="left" wrapText="1"/>
    </xf>
    <xf numFmtId="195" fontId="32" fillId="6" borderId="0" applyAlignment="1" pivotButton="0" quotePrefix="0" xfId="0">
      <alignment horizontal="left"/>
    </xf>
    <xf numFmtId="191" fontId="34" fillId="6" borderId="11" applyAlignment="1" pivotButton="0" quotePrefix="0" xfId="0">
      <alignment horizontal="left" wrapText="1"/>
    </xf>
    <xf numFmtId="195" fontId="34" fillId="6" borderId="11" applyAlignment="1" pivotButton="0" quotePrefix="0" xfId="0">
      <alignment horizontal="left"/>
    </xf>
    <xf numFmtId="0" fontId="34" fillId="6" borderId="1" applyAlignment="1" pivotButton="0" quotePrefix="0" xfId="0">
      <alignment horizontal="left"/>
    </xf>
    <xf numFmtId="0" fontId="34" fillId="17" borderId="0" pivotButton="0" quotePrefix="0" xfId="0"/>
    <xf numFmtId="0" fontId="39" fillId="17" borderId="0" applyAlignment="1" pivotButton="0" quotePrefix="0" xfId="10">
      <alignment horizontal="center"/>
    </xf>
    <xf numFmtId="169" fontId="32" fillId="6" borderId="0" applyAlignment="1" pivotButton="0" quotePrefix="0" xfId="11">
      <alignment horizontal="center" wrapText="1"/>
    </xf>
    <xf numFmtId="169" fontId="0" fillId="6" borderId="0" applyAlignment="1" pivotButton="0" quotePrefix="0" xfId="0">
      <alignment horizontal="center" wrapText="1"/>
    </xf>
    <xf numFmtId="0" fontId="39" fillId="19" borderId="0" pivotButton="0" quotePrefix="0" xfId="0"/>
    <xf numFmtId="169" fontId="31" fillId="19" borderId="0" applyAlignment="1" pivotButton="0" quotePrefix="0" xfId="11">
      <alignment horizontal="center" wrapText="1"/>
    </xf>
    <xf numFmtId="0" fontId="5" fillId="6" borderId="0" pivotButton="0" quotePrefix="0" xfId="0"/>
    <xf numFmtId="0" fontId="34" fillId="6" borderId="1" pivotButton="0" quotePrefix="0" xfId="0"/>
    <xf numFmtId="169" fontId="32" fillId="6" borderId="1" applyAlignment="1" pivotButton="0" quotePrefix="0" xfId="0">
      <alignment horizontal="center" wrapText="1"/>
    </xf>
    <xf numFmtId="169" fontId="0" fillId="6" borderId="1" applyAlignment="1" pivotButton="0" quotePrefix="0" xfId="0">
      <alignment horizontal="center" wrapText="1"/>
    </xf>
    <xf numFmtId="169" fontId="32" fillId="5" borderId="0" applyAlignment="1" pivotButton="0" quotePrefix="0" xfId="0">
      <alignment horizontal="center" wrapText="1"/>
    </xf>
    <xf numFmtId="169" fontId="0" fillId="5" borderId="0" applyAlignment="1" pivotButton="0" quotePrefix="0" xfId="0">
      <alignment horizontal="center" wrapText="1"/>
    </xf>
    <xf numFmtId="169" fontId="32" fillId="5" borderId="1" applyAlignment="1" pivotButton="0" quotePrefix="0" xfId="11">
      <alignment horizontal="center" wrapText="1"/>
    </xf>
    <xf numFmtId="169" fontId="0" fillId="5" borderId="1" applyAlignment="1" pivotButton="0" quotePrefix="0" xfId="0">
      <alignment horizontal="center" wrapText="1"/>
    </xf>
    <xf numFmtId="0" fontId="58" fillId="19" borderId="0" applyAlignment="1" pivotButton="0" quotePrefix="0" xfId="0">
      <alignment horizontal="center" wrapText="1"/>
    </xf>
    <xf numFmtId="0" fontId="44" fillId="10" borderId="1" pivotButton="0" quotePrefix="0" xfId="0"/>
    <xf numFmtId="0" fontId="0" fillId="6" borderId="0" applyAlignment="1" pivotButton="0" quotePrefix="0" xfId="0">
      <alignment horizontal="left" wrapText="1" indent="1"/>
    </xf>
    <xf numFmtId="0" fontId="47" fillId="5" borderId="0" applyAlignment="1" pivotButton="0" quotePrefix="0" xfId="11">
      <alignment horizontal="left" wrapText="1"/>
    </xf>
    <xf numFmtId="0" fontId="5" fillId="5" borderId="0" applyAlignment="1" pivotButton="0" quotePrefix="0" xfId="0">
      <alignment wrapText="1"/>
    </xf>
    <xf numFmtId="0" fontId="32" fillId="6" borderId="0" applyAlignment="1" pivotButton="0" quotePrefix="0" xfId="0">
      <alignment horizontal="left" vertical="center" indent="1"/>
    </xf>
    <xf numFmtId="191" fontId="34" fillId="6" borderId="9" applyAlignment="1" pivotButton="0" quotePrefix="0" xfId="0">
      <alignment horizontal="left" vertical="center" wrapText="1"/>
    </xf>
    <xf numFmtId="195" fontId="34" fillId="6" borderId="9" applyAlignment="1" pivotButton="0" quotePrefix="0" xfId="0">
      <alignment horizontal="left" vertical="center"/>
    </xf>
    <xf numFmtId="0" fontId="48" fillId="5" borderId="0" pivotButton="0" quotePrefix="0" xfId="0"/>
    <xf numFmtId="0" fontId="48" fillId="5" borderId="0" applyAlignment="1" pivotButton="0" quotePrefix="0" xfId="0">
      <alignment horizontal="left"/>
    </xf>
    <xf numFmtId="10" fontId="48" fillId="5" borderId="0" applyAlignment="1" pivotButton="0" quotePrefix="0" xfId="0">
      <alignment horizontal="left"/>
    </xf>
    <xf numFmtId="0" fontId="32" fillId="5" borderId="0" applyAlignment="1" pivotButton="0" quotePrefix="0" xfId="0">
      <alignment horizontal="justify" vertical="top" wrapText="1"/>
    </xf>
    <xf numFmtId="0" fontId="32" fillId="5" borderId="0" applyAlignment="1" pivotButton="0" quotePrefix="0" xfId="0">
      <alignment horizontal="justify" vertical="top"/>
    </xf>
    <xf numFmtId="179" fontId="32" fillId="5" borderId="0" applyAlignment="1" pivotButton="0" quotePrefix="0" xfId="0">
      <alignment horizontal="justify" vertical="top"/>
    </xf>
    <xf numFmtId="0" fontId="48" fillId="5" borderId="0" applyAlignment="1" pivotButton="0" quotePrefix="0" xfId="11">
      <alignment horizontal="justify" vertical="top" wrapText="1"/>
    </xf>
    <xf numFmtId="0" fontId="48" fillId="5" borderId="67" applyAlignment="1" pivotButton="0" quotePrefix="0" xfId="11">
      <alignment horizontal="justify" vertical="top" wrapText="1"/>
    </xf>
    <xf numFmtId="0" fontId="48" fillId="5" borderId="0" applyAlignment="1" pivotButton="0" quotePrefix="0" xfId="0">
      <alignment vertical="top"/>
    </xf>
    <xf numFmtId="0" fontId="48" fillId="5" borderId="0" applyAlignment="1" pivotButton="0" quotePrefix="0" xfId="0">
      <alignment horizontal="justify" vertical="top" wrapText="1"/>
    </xf>
    <xf numFmtId="0" fontId="1" fillId="5" borderId="0" pivotButton="0" quotePrefix="0" xfId="0"/>
    <xf numFmtId="0" fontId="0" fillId="5" borderId="0" applyAlignment="1" pivotButton="0" quotePrefix="0" xfId="0">
      <alignment wrapText="1"/>
    </xf>
    <xf numFmtId="0" fontId="0" fillId="5" borderId="1" pivotButton="0" quotePrefix="0" xfId="0"/>
    <xf numFmtId="0" fontId="32" fillId="5" borderId="0" applyAlignment="1" pivotButton="0" quotePrefix="0" xfId="0">
      <alignment horizontal="justify" vertical="center" wrapText="1"/>
    </xf>
    <xf numFmtId="37" fontId="32" fillId="5" borderId="0" applyAlignment="1" pivotButton="0" quotePrefix="0" xfId="0">
      <alignment horizontal="justify" vertical="center" wrapText="1"/>
    </xf>
    <xf numFmtId="0" fontId="32" fillId="5" borderId="69" applyAlignment="1" pivotButton="0" quotePrefix="0" xfId="0">
      <alignment horizontal="left" vertical="top" wrapText="1"/>
    </xf>
    <xf numFmtId="0" fontId="32" fillId="5" borderId="70" applyAlignment="1" pivotButton="0" quotePrefix="0" xfId="0">
      <alignment horizontal="left" vertical="top" wrapText="1"/>
    </xf>
    <xf numFmtId="0" fontId="48" fillId="5" borderId="70" applyAlignment="1" pivotButton="0" quotePrefix="0" xfId="0">
      <alignment horizontal="left" vertical="top" wrapText="1"/>
    </xf>
    <xf numFmtId="0" fontId="48" fillId="5" borderId="71" applyAlignment="1" pivotButton="0" quotePrefix="0" xfId="0">
      <alignment horizontal="left" vertical="top" wrapText="1"/>
    </xf>
    <xf numFmtId="197" fontId="17" fillId="0" borderId="0" applyAlignment="1" pivotButton="0" quotePrefix="0" xfId="3">
      <alignment horizontal="right"/>
    </xf>
    <xf numFmtId="197" fontId="19" fillId="3" borderId="1" applyAlignment="1" pivotButton="0" quotePrefix="0" xfId="3">
      <alignment horizontal="right"/>
    </xf>
    <xf numFmtId="3" fontId="60" fillId="10" borderId="0" applyAlignment="1" pivotButton="0" quotePrefix="0" xfId="0">
      <alignment horizontal="left" indent="1"/>
    </xf>
    <xf numFmtId="0" fontId="34" fillId="5" borderId="74" pivotButton="0" quotePrefix="0" xfId="0"/>
    <xf numFmtId="0" fontId="34" fillId="5" borderId="0" pivotButton="0" quotePrefix="0" xfId="0"/>
    <xf numFmtId="0" fontId="32" fillId="6" borderId="61" pivotButton="0" quotePrefix="0" xfId="0"/>
    <xf numFmtId="0" fontId="32" fillId="6" borderId="62" pivotButton="0" quotePrefix="0" xfId="0"/>
    <xf numFmtId="0" fontId="34" fillId="5" borderId="63" pivotButton="0" quotePrefix="0" xfId="0"/>
    <xf numFmtId="0" fontId="32" fillId="6" borderId="12" pivotButton="0" quotePrefix="0" xfId="0"/>
    <xf numFmtId="0" fontId="34" fillId="5" borderId="13" pivotButton="0" quotePrefix="0" xfId="0"/>
    <xf numFmtId="0" fontId="32" fillId="0" borderId="13" pivotButton="0" quotePrefix="0" xfId="0"/>
    <xf numFmtId="0" fontId="32" fillId="6" borderId="13" pivotButton="0" quotePrefix="0" xfId="0"/>
    <xf numFmtId="0" fontId="32" fillId="6" borderId="31" pivotButton="0" quotePrefix="0" xfId="0"/>
    <xf numFmtId="0" fontId="32" fillId="6" borderId="33" pivotButton="0" quotePrefix="0" xfId="0"/>
    <xf numFmtId="0" fontId="32" fillId="6" borderId="32" pivotButton="0" quotePrefix="0" xfId="0"/>
    <xf numFmtId="0" fontId="34" fillId="5" borderId="72" pivotButton="0" quotePrefix="0" xfId="0"/>
    <xf numFmtId="9" fontId="32" fillId="0" borderId="0" pivotButton="0" quotePrefix="0" xfId="4"/>
    <xf numFmtId="3" fontId="17" fillId="0" borderId="0" pivotButton="0" quotePrefix="0" xfId="0"/>
    <xf numFmtId="0" fontId="47" fillId="5" borderId="2" applyAlignment="1" pivotButton="0" quotePrefix="0" xfId="0">
      <alignment horizontal="right" vertical="center" wrapText="1"/>
    </xf>
    <xf numFmtId="0" fontId="49" fillId="5" borderId="2" applyAlignment="1" pivotButton="0" quotePrefix="0" xfId="0">
      <alignment horizontal="right" vertical="center"/>
    </xf>
    <xf numFmtId="165" fontId="49" fillId="5" borderId="2" applyAlignment="1" pivotButton="0" quotePrefix="0" xfId="3">
      <alignment horizontal="right" vertical="center"/>
    </xf>
    <xf numFmtId="0" fontId="49" fillId="5" borderId="2" applyAlignment="1" pivotButton="0" quotePrefix="0" xfId="0">
      <alignment horizontal="right" vertical="center" wrapText="1"/>
    </xf>
    <xf numFmtId="165" fontId="41" fillId="5" borderId="2" applyAlignment="1" pivotButton="0" quotePrefix="0" xfId="3">
      <alignment horizontal="right" vertical="center" wrapText="1"/>
    </xf>
    <xf numFmtId="0" fontId="48" fillId="5" borderId="2" applyAlignment="1" pivotButton="0" quotePrefix="0" xfId="0">
      <alignment horizontal="right" vertical="center" wrapText="1" justifyLastLine="1"/>
    </xf>
    <xf numFmtId="0" fontId="48" fillId="5" borderId="2" applyAlignment="1" pivotButton="0" quotePrefix="0" xfId="0">
      <alignment horizontal="right" vertical="center" justifyLastLine="1"/>
    </xf>
    <xf numFmtId="180" fontId="49" fillId="5" borderId="2" applyAlignment="1" pivotButton="0" quotePrefix="0" xfId="0">
      <alignment horizontal="right" vertical="center" justifyLastLine="1"/>
    </xf>
    <xf numFmtId="169" fontId="48" fillId="5" borderId="2" applyAlignment="1" pivotButton="0" quotePrefix="0" xfId="3">
      <alignment horizontal="right" vertical="center" justifyLastLine="1"/>
    </xf>
    <xf numFmtId="3" fontId="48" fillId="5" borderId="2" applyAlignment="1" pivotButton="0" quotePrefix="0" xfId="2">
      <alignment horizontal="right" vertical="center" justifyLastLine="1"/>
    </xf>
    <xf numFmtId="169" fontId="49" fillId="5" borderId="40" applyAlignment="1" pivotButton="0" quotePrefix="0" xfId="3">
      <alignment horizontal="right" vertical="center" wrapText="1" justifyLastLine="1"/>
    </xf>
    <xf numFmtId="169" fontId="49" fillId="5" borderId="2" applyAlignment="1" pivotButton="0" quotePrefix="0" xfId="3">
      <alignment horizontal="right" vertical="center" wrapText="1" justifyLastLine="1"/>
    </xf>
    <xf numFmtId="1" fontId="52" fillId="5" borderId="15" applyAlignment="1" pivotButton="0" quotePrefix="0" xfId="0">
      <alignment horizontal="right" vertical="center"/>
    </xf>
    <xf numFmtId="186" fontId="44" fillId="5" borderId="37" applyAlignment="1" pivotButton="0" quotePrefix="0" xfId="4">
      <alignment horizontal="right" vertical="center"/>
    </xf>
    <xf numFmtId="170" fontId="52" fillId="5" borderId="14" applyAlignment="1" pivotButton="0" quotePrefix="0" xfId="3">
      <alignment horizontal="right" vertical="center"/>
    </xf>
    <xf numFmtId="186" fontId="44" fillId="5" borderId="14" applyAlignment="1" pivotButton="0" quotePrefix="0" xfId="4">
      <alignment horizontal="right" vertical="center"/>
    </xf>
    <xf numFmtId="170" fontId="44" fillId="5" borderId="14" applyAlignment="1" pivotButton="0" quotePrefix="0" xfId="3">
      <alignment horizontal="right" vertical="center"/>
    </xf>
    <xf numFmtId="186" fontId="44" fillId="5" borderId="2" applyAlignment="1" pivotButton="0" quotePrefix="0" xfId="4">
      <alignment horizontal="right" vertical="center"/>
    </xf>
    <xf numFmtId="170" fontId="52" fillId="5" borderId="2" applyAlignment="1" pivotButton="0" quotePrefix="0" xfId="3">
      <alignment horizontal="right" vertical="center"/>
    </xf>
    <xf numFmtId="170" fontId="44" fillId="5" borderId="2" applyAlignment="1" pivotButton="0" quotePrefix="0" xfId="3">
      <alignment horizontal="right" vertical="center"/>
    </xf>
    <xf numFmtId="186" fontId="43" fillId="5" borderId="14" applyAlignment="1" pivotButton="0" quotePrefix="0" xfId="4">
      <alignment horizontal="right" vertical="center"/>
    </xf>
    <xf numFmtId="186" fontId="53" fillId="5" borderId="14" applyAlignment="1" pivotButton="0" quotePrefix="0" xfId="4">
      <alignment horizontal="right" vertical="center"/>
    </xf>
    <xf numFmtId="186" fontId="52" fillId="5" borderId="14" applyAlignment="1" pivotButton="0" quotePrefix="0" xfId="4">
      <alignment horizontal="right" vertical="center"/>
    </xf>
    <xf numFmtId="186" fontId="43" fillId="5" borderId="2" applyAlignment="1" pivotButton="0" quotePrefix="0" xfId="4">
      <alignment horizontal="right" vertical="center"/>
    </xf>
    <xf numFmtId="186" fontId="53" fillId="5" borderId="2" applyAlignment="1" pivotButton="0" quotePrefix="0" xfId="4">
      <alignment horizontal="right" vertical="center"/>
    </xf>
    <xf numFmtId="186" fontId="52" fillId="5" borderId="2" applyAlignment="1" pivotButton="0" quotePrefix="0" xfId="4">
      <alignment horizontal="right" vertical="center"/>
    </xf>
    <xf numFmtId="0" fontId="5" fillId="5" borderId="61" pivotButton="0" quotePrefix="0" xfId="0"/>
    <xf numFmtId="0" fontId="5" fillId="5" borderId="62" pivotButton="0" quotePrefix="0" xfId="0"/>
    <xf numFmtId="0" fontId="5" fillId="5" borderId="63" applyAlignment="1" pivotButton="0" quotePrefix="0" xfId="0">
      <alignment horizontal="right"/>
    </xf>
    <xf numFmtId="0" fontId="5" fillId="5" borderId="12" pivotButton="0" quotePrefix="0" xfId="0"/>
    <xf numFmtId="0" fontId="5" fillId="5" borderId="13" applyAlignment="1" pivotButton="0" quotePrefix="0" xfId="0">
      <alignment horizontal="right"/>
    </xf>
    <xf numFmtId="0" fontId="5" fillId="5" borderId="31" pivotButton="0" quotePrefix="0" xfId="0"/>
    <xf numFmtId="0" fontId="5" fillId="5" borderId="33" pivotButton="0" quotePrefix="0" xfId="0"/>
    <xf numFmtId="0" fontId="5" fillId="5" borderId="32" applyAlignment="1" pivotButton="0" quotePrefix="0" xfId="0">
      <alignment horizontal="right"/>
    </xf>
    <xf numFmtId="170" fontId="0" fillId="5" borderId="0" pivotButton="0" quotePrefix="0" xfId="0"/>
    <xf numFmtId="170" fontId="4" fillId="5" borderId="0" applyAlignment="1" pivotButton="0" quotePrefix="0" xfId="0">
      <alignment vertical="center"/>
    </xf>
    <xf numFmtId="37" fontId="4" fillId="5" borderId="0" pivotButton="0" quotePrefix="0" xfId="0"/>
    <xf numFmtId="3" fontId="4" fillId="5" borderId="0" applyAlignment="1" pivotButton="0" quotePrefix="0" xfId="0">
      <alignment vertical="center"/>
    </xf>
    <xf numFmtId="3" fontId="19" fillId="5" borderId="11" applyAlignment="1" pivotButton="0" quotePrefix="0" xfId="0">
      <alignment horizontal="center"/>
    </xf>
    <xf numFmtId="165" fontId="19" fillId="5" borderId="11" applyAlignment="1" pivotButton="0" quotePrefix="0" xfId="0">
      <alignment horizontal="center"/>
    </xf>
    <xf numFmtId="3" fontId="17" fillId="5" borderId="0" applyAlignment="1" pivotButton="0" quotePrefix="0" xfId="0">
      <alignment horizontal="center"/>
    </xf>
    <xf numFmtId="165" fontId="17" fillId="5" borderId="0" applyAlignment="1" pivotButton="0" quotePrefix="0" xfId="0">
      <alignment horizontal="center"/>
    </xf>
    <xf numFmtId="165" fontId="17" fillId="5" borderId="0" applyAlignment="1" pivotButton="0" quotePrefix="0" xfId="0">
      <alignment vertical="center"/>
    </xf>
    <xf numFmtId="0" fontId="4" fillId="5" borderId="1" pivotButton="0" quotePrefix="0" xfId="0"/>
    <xf numFmtId="3" fontId="4" fillId="5" borderId="1" applyAlignment="1" pivotButton="0" quotePrefix="0" xfId="0">
      <alignment horizontal="left"/>
    </xf>
    <xf numFmtId="3" fontId="4" fillId="5" borderId="1" applyAlignment="1" pivotButton="0" quotePrefix="0" xfId="0">
      <alignment horizontal="center"/>
    </xf>
    <xf numFmtId="165" fontId="4" fillId="5" borderId="1" pivotButton="0" quotePrefix="0" xfId="0"/>
    <xf numFmtId="0" fontId="32" fillId="5" borderId="0" pivotButton="0" quotePrefix="0" xfId="0"/>
    <xf numFmtId="0" fontId="3" fillId="5" borderId="0" pivotButton="0" quotePrefix="0" xfId="0"/>
    <xf numFmtId="0" fontId="3" fillId="5" borderId="0" applyAlignment="1" pivotButton="0" quotePrefix="0" xfId="0">
      <alignment vertical="center"/>
    </xf>
    <xf numFmtId="0" fontId="33" fillId="5" borderId="61" applyAlignment="1" pivotButton="0" quotePrefix="0" xfId="0">
      <alignment horizontal="left" vertical="center"/>
    </xf>
    <xf numFmtId="0" fontId="34" fillId="5" borderId="62" pivotButton="0" quotePrefix="0" xfId="0"/>
    <xf numFmtId="0" fontId="3" fillId="5" borderId="13" pivotButton="0" quotePrefix="0" xfId="0"/>
    <xf numFmtId="0" fontId="3" fillId="5" borderId="13" applyAlignment="1" pivotButton="0" quotePrefix="0" xfId="0">
      <alignment vertical="center"/>
    </xf>
    <xf numFmtId="0" fontId="3" fillId="5" borderId="12" pivotButton="0" quotePrefix="0" xfId="0"/>
    <xf numFmtId="0" fontId="3" fillId="5" borderId="31" pivotButton="0" quotePrefix="0" xfId="0"/>
    <xf numFmtId="0" fontId="3" fillId="5" borderId="33" pivotButton="0" quotePrefix="0" xfId="0"/>
    <xf numFmtId="0" fontId="3" fillId="5" borderId="32" pivotButton="0" quotePrefix="0" xfId="0"/>
    <xf numFmtId="0" fontId="8" fillId="0" borderId="0" applyAlignment="1" pivotButton="0" quotePrefix="1" xfId="0">
      <alignment horizontal="center" vertical="center"/>
    </xf>
    <xf numFmtId="164" fontId="23" fillId="0" borderId="0" applyAlignment="1" pivotButton="0" quotePrefix="0" xfId="0">
      <alignment horizontal="center"/>
    </xf>
    <xf numFmtId="0" fontId="25" fillId="0" borderId="0" applyAlignment="1" pivotButton="0" quotePrefix="0" xfId="0">
      <alignment horizontal="center"/>
    </xf>
    <xf numFmtId="169" fontId="32" fillId="0" borderId="0" pivotButton="0" quotePrefix="0" xfId="0"/>
    <xf numFmtId="169" fontId="4" fillId="0" borderId="0" pivotButton="0" quotePrefix="0" xfId="0"/>
    <xf numFmtId="0" fontId="3" fillId="0" borderId="0" pivotButton="0" quotePrefix="0" xfId="0"/>
    <xf numFmtId="0" fontId="32" fillId="0" borderId="0" applyAlignment="1" pivotButton="0" quotePrefix="0" xfId="0">
      <alignment horizontal="center"/>
    </xf>
    <xf numFmtId="0" fontId="23" fillId="0" borderId="0" applyAlignment="1" pivotButton="0" quotePrefix="0" xfId="0">
      <alignment horizontal="center"/>
    </xf>
    <xf numFmtId="169" fontId="7" fillId="0" borderId="0" pivotButton="0" quotePrefix="0" xfId="0"/>
    <xf numFmtId="0" fontId="3" fillId="0" borderId="0" applyAlignment="1" pivotButton="0" quotePrefix="0" xfId="0">
      <alignment vertical="center"/>
    </xf>
    <xf numFmtId="169" fontId="23" fillId="0" borderId="0" applyAlignment="1" pivotButton="0" quotePrefix="0" xfId="0">
      <alignment vertical="center"/>
    </xf>
    <xf numFmtId="14" fontId="44" fillId="5" borderId="9" applyAlignment="1" pivotButton="0" quotePrefix="0" xfId="8">
      <alignment horizontal="center" vertical="center" wrapText="1"/>
    </xf>
    <xf numFmtId="188" fontId="44" fillId="5" borderId="9" applyAlignment="1" pivotButton="0" quotePrefix="0" xfId="8">
      <alignment horizontal="right" vertical="center"/>
    </xf>
    <xf numFmtId="189" fontId="44" fillId="5" borderId="9" applyAlignment="1" pivotButton="0" quotePrefix="0" xfId="8">
      <alignment horizontal="right" vertical="center" wrapText="1"/>
    </xf>
    <xf numFmtId="3" fontId="44" fillId="5" borderId="9" applyAlignment="1" pivotButton="0" quotePrefix="0" xfId="8">
      <alignment horizontal="right" vertical="center"/>
    </xf>
    <xf numFmtId="3" fontId="44" fillId="5" borderId="9" applyAlignment="1" pivotButton="0" quotePrefix="0" xfId="8">
      <alignment horizontal="center" vertical="center"/>
    </xf>
    <xf numFmtId="1" fontId="44" fillId="5" borderId="9" applyAlignment="1" pivotButton="0" quotePrefix="0" xfId="8">
      <alignment horizontal="center" vertical="center" wrapText="1"/>
    </xf>
    <xf numFmtId="10" fontId="1" fillId="5" borderId="0" applyAlignment="1" pivotButton="0" quotePrefix="0" xfId="8">
      <alignment horizontal="center" vertical="center"/>
    </xf>
    <xf numFmtId="10" fontId="48" fillId="5" borderId="0" applyAlignment="1" pivotButton="0" quotePrefix="0" xfId="8">
      <alignment horizontal="center" vertical="center" wrapText="1"/>
    </xf>
    <xf numFmtId="10" fontId="1" fillId="5" borderId="1" applyAlignment="1" pivotButton="0" quotePrefix="0" xfId="8">
      <alignment horizontal="center" vertical="center"/>
    </xf>
    <xf numFmtId="10" fontId="48" fillId="5" borderId="1" applyAlignment="1" pivotButton="0" quotePrefix="0" xfId="8">
      <alignment horizontal="center" vertical="center" wrapText="1"/>
    </xf>
    <xf numFmtId="0" fontId="1" fillId="6" borderId="1" pivotButton="0" quotePrefix="0" xfId="9"/>
    <xf numFmtId="14" fontId="1" fillId="6" borderId="1" pivotButton="0" quotePrefix="0" xfId="9"/>
    <xf numFmtId="188" fontId="1" fillId="6" borderId="1" pivotButton="0" quotePrefix="0" xfId="9"/>
    <xf numFmtId="167" fontId="1" fillId="6" borderId="1" pivotButton="0" quotePrefix="0" xfId="9"/>
    <xf numFmtId="3" fontId="1" fillId="6" borderId="1" pivotButton="0" quotePrefix="0" xfId="9"/>
    <xf numFmtId="0" fontId="5" fillId="6" borderId="0" applyAlignment="1" pivotButton="0" quotePrefix="0" xfId="8">
      <alignment horizontal="center"/>
    </xf>
    <xf numFmtId="0" fontId="48" fillId="5" borderId="1" pivotButton="0" quotePrefix="0" xfId="0"/>
    <xf numFmtId="0" fontId="48" fillId="5" borderId="0" applyAlignment="1" pivotButton="0" quotePrefix="0" xfId="0">
      <alignment horizontal="center"/>
    </xf>
    <xf numFmtId="0" fontId="44" fillId="5" borderId="9" applyAlignment="1" pivotButton="0" quotePrefix="0" xfId="0">
      <alignment horizontal="center"/>
    </xf>
    <xf numFmtId="167" fontId="48" fillId="5" borderId="9" applyAlignment="1" pivotButton="0" quotePrefix="0" xfId="0">
      <alignment horizontal="center"/>
    </xf>
    <xf numFmtId="0" fontId="48" fillId="5" borderId="9" applyAlignment="1" pivotButton="0" quotePrefix="0" xfId="0">
      <alignment horizontal="center"/>
    </xf>
    <xf numFmtId="0" fontId="48" fillId="5" borderId="1" applyAlignment="1" pivotButton="0" quotePrefix="0" xfId="0">
      <alignment horizontal="center"/>
    </xf>
    <xf numFmtId="0" fontId="30" fillId="19" borderId="0" applyAlignment="1" pivotButton="0" quotePrefix="0" xfId="0">
      <alignment horizontal="center" vertical="center"/>
    </xf>
    <xf numFmtId="0" fontId="30" fillId="19"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right" vertical="center"/>
    </xf>
    <xf numFmtId="180" fontId="41" fillId="5" borderId="16" applyAlignment="1" pivotButton="0" quotePrefix="0" xfId="0">
      <alignment horizontal="center" vertical="center" wrapText="1"/>
    </xf>
    <xf numFmtId="9" fontId="5" fillId="5" borderId="0" applyAlignment="1" pivotButton="0" quotePrefix="0" xfId="4">
      <alignment horizontal="center" vertical="center"/>
    </xf>
    <xf numFmtId="3" fontId="41" fillId="5" borderId="16" applyAlignment="1" pivotButton="0" quotePrefix="0" xfId="0">
      <alignment horizontal="center" vertical="center" wrapText="1"/>
    </xf>
    <xf numFmtId="0" fontId="41" fillId="5" borderId="16" applyAlignment="1" pivotButton="0" quotePrefix="0" xfId="0">
      <alignment horizontal="center" vertical="center" wrapText="1"/>
    </xf>
    <xf numFmtId="2" fontId="41" fillId="5" borderId="16" applyAlignment="1" pivotButton="0" quotePrefix="0" xfId="4">
      <alignment horizontal="center" vertical="center" wrapText="1"/>
    </xf>
    <xf numFmtId="9" fontId="41" fillId="5" borderId="21" applyAlignment="1" pivotButton="0" quotePrefix="0" xfId="4">
      <alignment horizontal="center" vertical="center" wrapText="1"/>
    </xf>
    <xf numFmtId="9" fontId="5" fillId="5" borderId="14" applyAlignment="1" pivotButton="0" quotePrefix="0" xfId="4">
      <alignment horizontal="center" vertical="center"/>
    </xf>
    <xf numFmtId="0" fontId="32" fillId="5" borderId="0" applyAlignment="1" pivotButton="0" quotePrefix="0" xfId="1">
      <alignment horizontal="left" vertical="top" wrapText="1"/>
    </xf>
    <xf numFmtId="0" fontId="32" fillId="5" borderId="0" applyAlignment="1" pivotButton="0" quotePrefix="0" xfId="1">
      <alignment horizontal="left" vertical="top"/>
    </xf>
    <xf numFmtId="3" fontId="32" fillId="5" borderId="0" applyAlignment="1" pivotButton="0" quotePrefix="0" xfId="1">
      <alignment horizontal="left" vertical="top"/>
    </xf>
    <xf numFmtId="14" fontId="32" fillId="5" borderId="0" applyAlignment="1" pivotButton="0" quotePrefix="0" xfId="1">
      <alignment horizontal="left" vertical="top"/>
    </xf>
    <xf numFmtId="14" fontId="39" fillId="19" borderId="18" pivotButton="0" quotePrefix="0" xfId="0"/>
    <xf numFmtId="0" fontId="31" fillId="19" borderId="36" pivotButton="0" quotePrefix="0" xfId="0"/>
    <xf numFmtId="0" fontId="5" fillId="0" borderId="4" pivotButton="0" quotePrefix="0" xfId="0"/>
    <xf numFmtId="0" fontId="0" fillId="5" borderId="2" pivotButton="0" quotePrefix="0" xfId="0"/>
    <xf numFmtId="169" fontId="0" fillId="5" borderId="14" pivotButton="0" quotePrefix="0" xfId="0"/>
    <xf numFmtId="0" fontId="0" fillId="5" borderId="3" pivotButton="0" quotePrefix="0" xfId="0"/>
    <xf numFmtId="169" fontId="0" fillId="5" borderId="4" pivotButton="0" quotePrefix="0" xfId="0"/>
    <xf numFmtId="0" fontId="0" fillId="0" borderId="2" pivotButton="0" quotePrefix="0" xfId="0"/>
    <xf numFmtId="169" fontId="0" fillId="0" borderId="14" pivotButton="0" quotePrefix="0" xfId="3"/>
    <xf numFmtId="0" fontId="0" fillId="0" borderId="3" pivotButton="0" quotePrefix="0" xfId="0"/>
    <xf numFmtId="167" fontId="0" fillId="0" borderId="4" pivotButton="0" quotePrefix="0" xfId="3"/>
    <xf numFmtId="0" fontId="32" fillId="5" borderId="0" applyAlignment="1" pivotButton="0" quotePrefix="0" xfId="1">
      <alignment horizontal="left" vertical="center"/>
    </xf>
    <xf numFmtId="0" fontId="32" fillId="5" borderId="0" applyAlignment="1" pivotButton="0" quotePrefix="0" xfId="0">
      <alignment horizontal="left" vertical="top" wrapText="1"/>
    </xf>
    <xf numFmtId="0" fontId="32" fillId="5" borderId="1" applyAlignment="1" pivotButton="0" quotePrefix="0" xfId="1">
      <alignment horizontal="left" vertical="top" wrapText="1"/>
    </xf>
    <xf numFmtId="0" fontId="34" fillId="6" borderId="9" applyAlignment="1" pivotButton="0" quotePrefix="0" xfId="0">
      <alignment horizontal="center" wrapText="1"/>
    </xf>
    <xf numFmtId="0" fontId="34" fillId="6" borderId="9" applyAlignment="1" pivotButton="0" quotePrefix="0" xfId="0">
      <alignment horizontal="left" wrapText="1"/>
    </xf>
    <xf numFmtId="167" fontId="32" fillId="5" borderId="0" applyAlignment="1" pivotButton="0" quotePrefix="0" xfId="3">
      <alignment horizontal="center"/>
    </xf>
    <xf numFmtId="193" fontId="32" fillId="5" borderId="0" pivotButton="0" quotePrefix="0" xfId="3"/>
    <xf numFmtId="0" fontId="41" fillId="5" borderId="0" pivotButton="0" quotePrefix="0" xfId="0"/>
    <xf numFmtId="0" fontId="48" fillId="5" borderId="0" applyAlignment="1" pivotButton="0" quotePrefix="0" xfId="0">
      <alignment horizontal="center" vertical="center" wrapText="1"/>
    </xf>
    <xf numFmtId="0" fontId="48" fillId="5" borderId="0" applyAlignment="1" pivotButton="0" quotePrefix="0" xfId="0">
      <alignment horizontal="center" wrapText="1"/>
    </xf>
    <xf numFmtId="0" fontId="48" fillId="5" borderId="0" applyAlignment="1" pivotButton="0" quotePrefix="0" xfId="0">
      <alignment horizontal="center" vertical="center"/>
    </xf>
    <xf numFmtId="10" fontId="44" fillId="5" borderId="9" applyAlignment="1" pivotButton="0" quotePrefix="0" xfId="0">
      <alignment horizontal="center" vertical="center"/>
    </xf>
    <xf numFmtId="0" fontId="69" fillId="6" borderId="72" pivotButton="0" quotePrefix="0" xfId="0"/>
    <xf numFmtId="0" fontId="69" fillId="6" borderId="73" pivotButton="0" quotePrefix="0" xfId="0"/>
    <xf numFmtId="0" fontId="69" fillId="6" borderId="74" pivotButton="0" quotePrefix="0" xfId="0"/>
    <xf numFmtId="164" fontId="68" fillId="5" borderId="9" applyAlignment="1" pivotButton="0" quotePrefix="0" xfId="0">
      <alignment horizontal="center" vertical="center" wrapText="1"/>
    </xf>
    <xf numFmtId="0" fontId="25" fillId="19" borderId="6" applyAlignment="1" pivotButton="0" quotePrefix="0" xfId="0">
      <alignment horizontal="center"/>
    </xf>
    <xf numFmtId="0" fontId="6" fillId="19" borderId="0" applyAlignment="1" pivotButton="0" quotePrefix="0" xfId="0">
      <alignment horizontal="left" vertical="center" indent="1"/>
    </xf>
    <xf numFmtId="0" fontId="6" fillId="19" borderId="0" applyAlignment="1" applyProtection="1" pivotButton="0" quotePrefix="0" xfId="0">
      <alignment horizontal="left" vertical="center"/>
      <protection locked="0" hidden="0"/>
    </xf>
    <xf numFmtId="0" fontId="6" fillId="19" borderId="0" applyAlignment="1" applyProtection="1" pivotButton="0" quotePrefix="0" xfId="0">
      <alignment horizontal="centerContinuous"/>
      <protection locked="0" hidden="0"/>
    </xf>
    <xf numFmtId="196" fontId="6" fillId="19" borderId="0" applyAlignment="1" applyProtection="1" pivotButton="0" quotePrefix="0" xfId="0">
      <alignment horizontal="centerContinuous"/>
      <protection locked="0" hidden="0"/>
    </xf>
    <xf numFmtId="0" fontId="6" fillId="19" borderId="0" applyAlignment="1" pivotButton="0" quotePrefix="0" xfId="0">
      <alignment horizontal="left" vertical="center"/>
    </xf>
    <xf numFmtId="0" fontId="22" fillId="19" borderId="0" applyAlignment="1" pivotButton="0" quotePrefix="0" xfId="0">
      <alignment horizontal="left"/>
    </xf>
    <xf numFmtId="0" fontId="6" fillId="19" borderId="0" applyAlignment="1" pivotButton="0" quotePrefix="0" xfId="0">
      <alignment horizontal="centerContinuous"/>
    </xf>
    <xf numFmtId="0" fontId="6" fillId="19" borderId="0" applyAlignment="1" pivotButton="0" quotePrefix="0" xfId="0">
      <alignment horizontal="center" wrapText="1"/>
    </xf>
    <xf numFmtId="0" fontId="6" fillId="19" borderId="0" applyAlignment="1" pivotButton="0" quotePrefix="0" xfId="0">
      <alignment horizontal="center"/>
    </xf>
    <xf numFmtId="0" fontId="25" fillId="19" borderId="0" pivotButton="0" quotePrefix="0" xfId="0"/>
    <xf numFmtId="165" fontId="4" fillId="19" borderId="0" pivotButton="0" quotePrefix="0" xfId="3"/>
    <xf numFmtId="166" fontId="4" fillId="19" borderId="0" pivotButton="0" quotePrefix="0" xfId="3"/>
    <xf numFmtId="0" fontId="4" fillId="19" borderId="0" applyAlignment="1" pivotButton="0" quotePrefix="0" xfId="0">
      <alignment horizontal="center"/>
    </xf>
    <xf numFmtId="167" fontId="4" fillId="19" borderId="0" pivotButton="0" quotePrefix="0" xfId="0"/>
    <xf numFmtId="168" fontId="4" fillId="19" borderId="0" pivotButton="0" quotePrefix="0" xfId="2"/>
    <xf numFmtId="193" fontId="32" fillId="6" borderId="0" pivotButton="0" quotePrefix="0" xfId="3"/>
    <xf numFmtId="193" fontId="1" fillId="6" borderId="0" pivotButton="0" quotePrefix="0" xfId="9"/>
    <xf numFmtId="0" fontId="64" fillId="6" borderId="0" applyAlignment="1" pivotButton="0" quotePrefix="0" xfId="0">
      <alignment horizontal="left" wrapText="1"/>
    </xf>
    <xf numFmtId="0" fontId="0" fillId="6" borderId="0" applyAlignment="1" pivotButton="0" quotePrefix="0" xfId="0">
      <alignment horizontal="left" wrapText="1"/>
    </xf>
    <xf numFmtId="0" fontId="72" fillId="0" borderId="0" pivotButton="0" quotePrefix="0" xfId="0"/>
    <xf numFmtId="0" fontId="0" fillId="6" borderId="0" applyAlignment="1" pivotButton="0" quotePrefix="0" xfId="0">
      <alignment vertical="top"/>
    </xf>
    <xf numFmtId="0" fontId="74" fillId="6" borderId="10" applyAlignment="1" pivotButton="0" quotePrefix="0" xfId="14">
      <alignment horizontal="center" vertical="center" wrapText="1"/>
    </xf>
    <xf numFmtId="0" fontId="15" fillId="6" borderId="0" applyAlignment="1" pivotButton="0" quotePrefix="0" xfId="0">
      <alignment vertical="top"/>
    </xf>
    <xf numFmtId="0" fontId="18" fillId="6" borderId="0" applyAlignment="1" pivotButton="0" quotePrefix="0" xfId="0">
      <alignment horizontal="justify" vertical="top" wrapText="1"/>
    </xf>
    <xf numFmtId="0" fontId="75" fillId="6" borderId="0" pivotButton="0" quotePrefix="0" xfId="0"/>
    <xf numFmtId="0" fontId="48" fillId="6" borderId="0" applyAlignment="1" pivotButton="0" quotePrefix="0" xfId="0">
      <alignment horizontal="justify" vertical="top" wrapText="1"/>
    </xf>
    <xf numFmtId="0" fontId="58" fillId="6" borderId="0" applyAlignment="1" pivotButton="0" quotePrefix="0" xfId="0">
      <alignment horizontal="center" wrapText="1"/>
    </xf>
    <xf numFmtId="49" fontId="0" fillId="5" borderId="0" applyAlignment="1" pivotButton="0" quotePrefix="0" xfId="0">
      <alignment horizontal="center"/>
    </xf>
    <xf numFmtId="167" fontId="0" fillId="5" borderId="0" applyAlignment="1" pivotButton="0" quotePrefix="0" xfId="0">
      <alignment horizontal="center"/>
    </xf>
    <xf numFmtId="198" fontId="0" fillId="5" borderId="0" applyAlignment="1" pivotButton="0" quotePrefix="0" xfId="0">
      <alignment horizontal="center"/>
    </xf>
    <xf numFmtId="198" fontId="0" fillId="0" borderId="0" pivotButton="0" quotePrefix="0" xfId="0"/>
    <xf numFmtId="198" fontId="0" fillId="10" borderId="0" pivotButton="0" quotePrefix="0" xfId="0"/>
    <xf numFmtId="0" fontId="29" fillId="0" borderId="0" applyAlignment="1" pivotButton="0" quotePrefix="0" xfId="0">
      <alignment horizontal="right"/>
    </xf>
    <xf numFmtId="171" fontId="0" fillId="5" borderId="0" applyAlignment="1" pivotButton="0" quotePrefix="0" xfId="0">
      <alignment horizontal="center"/>
    </xf>
    <xf numFmtId="199" fontId="0" fillId="5" borderId="0" applyAlignment="1" pivotButton="0" quotePrefix="0" xfId="0">
      <alignment horizontal="center"/>
    </xf>
    <xf numFmtId="0" fontId="5" fillId="24" borderId="0" pivotButton="0" quotePrefix="0" xfId="0"/>
    <xf numFmtId="49" fontId="0" fillId="0" borderId="0" pivotButton="0" quotePrefix="0" xfId="0"/>
    <xf numFmtId="167" fontId="17" fillId="10" borderId="0" applyAlignment="1" pivotButton="0" quotePrefix="0" xfId="0">
      <alignment vertical="center"/>
    </xf>
    <xf numFmtId="167" fontId="4" fillId="10" borderId="0" applyAlignment="1" pivotButton="0" quotePrefix="0" xfId="0">
      <alignment vertical="center"/>
    </xf>
    <xf numFmtId="198" fontId="4" fillId="10" borderId="0" applyAlignment="1" pivotButton="0" quotePrefix="0" xfId="2">
      <alignment vertical="center"/>
    </xf>
    <xf numFmtId="198" fontId="4" fillId="10" borderId="1" applyAlignment="1" pivotButton="0" quotePrefix="0" xfId="2">
      <alignment vertical="center"/>
    </xf>
    <xf numFmtId="171" fontId="4" fillId="10" borderId="0" applyAlignment="1" pivotButton="0" quotePrefix="0" xfId="0">
      <alignment vertical="center"/>
    </xf>
    <xf numFmtId="199" fontId="4" fillId="10" borderId="0" applyAlignment="1" pivotButton="0" quotePrefix="0" xfId="0">
      <alignment vertical="center"/>
    </xf>
    <xf numFmtId="171" fontId="4" fillId="10" borderId="1" applyAlignment="1" pivotButton="0" quotePrefix="0" xfId="0">
      <alignment vertical="center"/>
    </xf>
    <xf numFmtId="0" fontId="17" fillId="10" borderId="11" applyAlignment="1" pivotButton="0" quotePrefix="0" xfId="0">
      <alignment vertical="center"/>
    </xf>
    <xf numFmtId="3" fontId="17" fillId="10" borderId="11" applyAlignment="1" pivotButton="0" quotePrefix="0" xfId="0">
      <alignment horizontal="left"/>
    </xf>
    <xf numFmtId="0" fontId="17" fillId="10" borderId="0" applyAlignment="1" pivotButton="0" quotePrefix="0" xfId="0">
      <alignment vertical="center"/>
    </xf>
    <xf numFmtId="3" fontId="4" fillId="10" borderId="0" applyAlignment="1" pivotButton="0" quotePrefix="0" xfId="0">
      <alignment horizontal="left"/>
    </xf>
    <xf numFmtId="3" fontId="17" fillId="10" borderId="0" applyAlignment="1" pivotButton="0" quotePrefix="0" xfId="0">
      <alignment horizontal="left" vertical="center"/>
    </xf>
    <xf numFmtId="3" fontId="4" fillId="10" borderId="1" applyAlignment="1" pivotButton="0" quotePrefix="0" xfId="0">
      <alignment horizontal="left"/>
    </xf>
    <xf numFmtId="0" fontId="79" fillId="0" borderId="0" pivotButton="0" quotePrefix="0" xfId="0"/>
    <xf numFmtId="0" fontId="80" fillId="0" borderId="0" pivotButton="0" quotePrefix="0" xfId="0"/>
    <xf numFmtId="167" fontId="81" fillId="5" borderId="0" applyAlignment="1" pivotButton="0" quotePrefix="0" xfId="0">
      <alignment horizontal="center"/>
    </xf>
    <xf numFmtId="198" fontId="81" fillId="5" borderId="0" applyAlignment="1" pivotButton="0" quotePrefix="0" xfId="0">
      <alignment horizontal="center"/>
    </xf>
    <xf numFmtId="0" fontId="79" fillId="24" borderId="0" pivotButton="0" quotePrefix="0" xfId="0"/>
    <xf numFmtId="0" fontId="77" fillId="0" borderId="0" pivotButton="0" quotePrefix="0" xfId="0"/>
    <xf numFmtId="0" fontId="0" fillId="0" borderId="0" pivotButton="0" quotePrefix="0" xfId="0"/>
    <xf numFmtId="0" fontId="58" fillId="9" borderId="0" applyAlignment="1" pivotButton="0" quotePrefix="0" xfId="0">
      <alignment horizontal="center"/>
    </xf>
    <xf numFmtId="0" fontId="76" fillId="16" borderId="0" applyAlignment="1" pivotButton="0" quotePrefix="0" xfId="0">
      <alignment horizontal="center"/>
    </xf>
    <xf numFmtId="0" fontId="5" fillId="23" borderId="0" applyAlignment="1" pivotButton="0" quotePrefix="0" xfId="0">
      <alignment horizontal="center"/>
    </xf>
    <xf numFmtId="0" fontId="78" fillId="16" borderId="0" applyAlignment="1" pivotButton="0" quotePrefix="0" xfId="0">
      <alignment horizontal="center"/>
    </xf>
    <xf numFmtId="171" fontId="32" fillId="6" borderId="0" applyAlignment="1" pivotButton="0" quotePrefix="0" xfId="4">
      <alignment horizontal="left" wrapText="1"/>
    </xf>
    <xf numFmtId="0" fontId="32" fillId="6" borderId="0" applyAlignment="1" pivotButton="0" quotePrefix="0" xfId="11">
      <alignment horizontal="left" vertical="center" wrapText="1"/>
    </xf>
    <xf numFmtId="0" fontId="32" fillId="6" borderId="0" applyAlignment="1" pivotButton="0" quotePrefix="0" xfId="11">
      <alignment horizontal="left" wrapText="1"/>
    </xf>
    <xf numFmtId="191" fontId="32" fillId="6" borderId="0" applyAlignment="1" pivotButton="0" quotePrefix="0" xfId="11">
      <alignment horizontal="left" vertical="center" wrapText="1"/>
    </xf>
    <xf numFmtId="0" fontId="47" fillId="5" borderId="0" applyAlignment="1" pivotButton="0" quotePrefix="0" xfId="11">
      <alignment horizontal="left" wrapText="1"/>
    </xf>
    <xf numFmtId="0" fontId="0" fillId="6" borderId="0" applyAlignment="1" pivotButton="0" quotePrefix="0" xfId="0">
      <alignment horizontal="left" wrapText="1"/>
    </xf>
    <xf numFmtId="0" fontId="0" fillId="6" borderId="0" pivotButton="0" quotePrefix="0" xfId="0"/>
    <xf numFmtId="0" fontId="32" fillId="5" borderId="0" applyAlignment="1" pivotButton="0" quotePrefix="0" xfId="11">
      <alignment horizontal="left" vertical="center" wrapText="1"/>
    </xf>
    <xf numFmtId="191" fontId="32" fillId="6" borderId="0" applyAlignment="1" pivotButton="0" quotePrefix="0" xfId="11">
      <alignment horizontal="left" wrapText="1"/>
    </xf>
    <xf numFmtId="1" fontId="39" fillId="19" borderId="0" applyAlignment="1" pivotButton="0" quotePrefix="0" xfId="11">
      <alignment horizontal="left" wrapText="1"/>
    </xf>
    <xf numFmtId="0" fontId="48" fillId="5" borderId="0" applyAlignment="1" pivotButton="0" quotePrefix="0" xfId="0">
      <alignment horizontal="left" vertical="top" wrapText="1"/>
    </xf>
    <xf numFmtId="196" fontId="47" fillId="6" borderId="0" applyAlignment="1" pivotButton="0" quotePrefix="0" xfId="11">
      <alignment horizontal="left" wrapText="1"/>
    </xf>
    <xf numFmtId="0" fontId="64" fillId="6" borderId="0" applyAlignment="1" pivotButton="0" quotePrefix="0" xfId="0">
      <alignment horizontal="left" wrapText="1"/>
    </xf>
    <xf numFmtId="0" fontId="32" fillId="6" borderId="1" applyAlignment="1" pivotButton="0" quotePrefix="0" xfId="11">
      <alignment horizontal="left" wrapText="1"/>
    </xf>
    <xf numFmtId="0" fontId="0" fillId="0" borderId="1" pivotButton="0" quotePrefix="0" xfId="0"/>
    <xf numFmtId="0" fontId="48" fillId="6" borderId="0" applyAlignment="1" pivotButton="0" quotePrefix="0" xfId="0">
      <alignment horizontal="justify" vertical="top" wrapText="1"/>
    </xf>
    <xf numFmtId="0" fontId="47" fillId="6" borderId="0" applyAlignment="1" pivotButton="0" quotePrefix="0" xfId="11">
      <alignment horizontal="justify" wrapText="1"/>
    </xf>
    <xf numFmtId="0" fontId="47" fillId="5" borderId="0" applyAlignment="1" pivotButton="0" quotePrefix="0" xfId="11">
      <alignment horizontal="justify" wrapText="1"/>
    </xf>
    <xf numFmtId="0" fontId="0" fillId="5" borderId="0" applyAlignment="1" pivotButton="0" quotePrefix="0" xfId="0">
      <alignment horizontal="left" wrapText="1"/>
    </xf>
    <xf numFmtId="0" fontId="32" fillId="5" borderId="0" applyAlignment="1" pivotButton="0" quotePrefix="0" xfId="11">
      <alignment horizontal="left" wrapText="1"/>
    </xf>
    <xf numFmtId="0" fontId="18" fillId="5" borderId="1" applyAlignment="1" pivotButton="0" quotePrefix="0" xfId="0">
      <alignment horizontal="left" vertical="top" wrapText="1"/>
    </xf>
    <xf numFmtId="0" fontId="58" fillId="16" borderId="0" applyAlignment="1" pivotButton="0" quotePrefix="0" xfId="0">
      <alignment horizontal="center"/>
    </xf>
    <xf numFmtId="179" fontId="47" fillId="6" borderId="0" applyAlignment="1" pivotButton="0" quotePrefix="0" xfId="11">
      <alignment horizontal="left" wrapText="1"/>
    </xf>
    <xf numFmtId="0" fontId="39" fillId="16" borderId="11" applyAlignment="1" pivotButton="0" quotePrefix="0" xfId="10">
      <alignment horizontal="center"/>
    </xf>
    <xf numFmtId="0" fontId="0" fillId="0" borderId="11" pivotButton="0" quotePrefix="0" xfId="0"/>
    <xf numFmtId="0" fontId="32" fillId="5" borderId="0" applyAlignment="1" pivotButton="0" quotePrefix="0" xfId="0">
      <alignment horizontal="left" vertical="center" wrapText="1"/>
    </xf>
    <xf numFmtId="0" fontId="5" fillId="6" borderId="0" applyAlignment="1" pivotButton="0" quotePrefix="0" xfId="0">
      <alignment wrapText="1"/>
    </xf>
    <xf numFmtId="0" fontId="39" fillId="16" borderId="0" applyAlignment="1" pivotButton="0" quotePrefix="0" xfId="10">
      <alignment horizontal="center"/>
    </xf>
    <xf numFmtId="0" fontId="58" fillId="16" borderId="11" applyAlignment="1" pivotButton="0" quotePrefix="0" xfId="0">
      <alignment horizontal="center"/>
    </xf>
    <xf numFmtId="1" fontId="32" fillId="6" borderId="0" applyAlignment="1" pivotButton="0" quotePrefix="0" xfId="11">
      <alignment horizontal="left" vertical="center" wrapText="1"/>
    </xf>
    <xf numFmtId="0" fontId="58" fillId="16" borderId="0" applyAlignment="1" pivotButton="0" quotePrefix="0" xfId="0">
      <alignment horizontal="center" wrapText="1"/>
    </xf>
    <xf numFmtId="0" fontId="50" fillId="6" borderId="0" applyAlignment="1" pivotButton="0" quotePrefix="0" xfId="0">
      <alignment horizontal="left" vertical="top" wrapText="1"/>
    </xf>
    <xf numFmtId="3" fontId="0" fillId="5" borderId="0" applyAlignment="1" pivotButton="0" quotePrefix="0" xfId="0">
      <alignment horizontal="left" wrapText="1"/>
    </xf>
    <xf numFmtId="1" fontId="32" fillId="6" borderId="1" applyAlignment="1" pivotButton="0" quotePrefix="0" xfId="11">
      <alignment horizontal="left" vertical="center" wrapText="1"/>
    </xf>
    <xf numFmtId="0" fontId="34" fillId="6" borderId="0" applyAlignment="1" pivotButton="0" quotePrefix="0" xfId="10">
      <alignment horizontal="left"/>
    </xf>
    <xf numFmtId="0" fontId="32" fillId="6" borderId="0" applyAlignment="1" pivotButton="0" quotePrefix="0" xfId="0">
      <alignment horizontal="left" vertical="center" wrapText="1"/>
    </xf>
    <xf numFmtId="0" fontId="0" fillId="5" borderId="1" applyAlignment="1" pivotButton="0" quotePrefix="0" xfId="0">
      <alignment horizontal="center"/>
    </xf>
    <xf numFmtId="0" fontId="18" fillId="5" borderId="0" applyAlignment="1" pivotButton="0" quotePrefix="0" xfId="0">
      <alignment horizontal="left" vertical="top" wrapText="1"/>
    </xf>
    <xf numFmtId="0" fontId="47" fillId="6" borderId="0" applyAlignment="1" pivotButton="0" quotePrefix="0" xfId="11">
      <alignment horizontal="left" wrapText="1"/>
    </xf>
    <xf numFmtId="0" fontId="47" fillId="5" borderId="1" applyAlignment="1" pivotButton="0" quotePrefix="0" xfId="11">
      <alignment horizontal="left" wrapText="1"/>
    </xf>
    <xf numFmtId="0" fontId="18" fillId="6" borderId="0" applyAlignment="1" pivotButton="0" quotePrefix="0" xfId="0">
      <alignment horizontal="left" vertical="top" wrapText="1"/>
    </xf>
    <xf numFmtId="9" fontId="32" fillId="6" borderId="0" applyAlignment="1" pivotButton="0" quotePrefix="0" xfId="4">
      <alignment horizontal="left" vertical="center" wrapText="1"/>
    </xf>
    <xf numFmtId="0" fontId="0" fillId="6" borderId="0" applyAlignment="1" pivotButton="0" quotePrefix="0" xfId="0">
      <alignment horizontal="center"/>
    </xf>
    <xf numFmtId="179" fontId="47" fillId="5" borderId="0" applyAlignment="1" pivotButton="0" quotePrefix="0" xfId="11">
      <alignment horizontal="left" wrapText="1"/>
    </xf>
    <xf numFmtId="0" fontId="58" fillId="16" borderId="0" applyAlignment="1" pivotButton="0" quotePrefix="0" xfId="0">
      <alignment horizontal="center" vertical="top" wrapText="1"/>
    </xf>
    <xf numFmtId="0" fontId="48" fillId="5" borderId="0" applyAlignment="1" pivotButton="0" quotePrefix="0" xfId="0">
      <alignment horizontal="left"/>
    </xf>
    <xf numFmtId="0" fontId="55" fillId="19" borderId="47" applyAlignment="1" pivotButton="0" quotePrefix="0" xfId="0">
      <alignment horizontal="center"/>
    </xf>
    <xf numFmtId="0" fontId="0" fillId="0" borderId="47" pivotButton="0" quotePrefix="0" xfId="0"/>
    <xf numFmtId="10" fontId="48" fillId="6" borderId="5" applyAlignment="1" pivotButton="0" quotePrefix="0" xfId="4">
      <alignment horizontal="center"/>
    </xf>
    <xf numFmtId="0" fontId="0" fillId="0" borderId="5" pivotButton="0" quotePrefix="0" xfId="0"/>
    <xf numFmtId="0" fontId="8" fillId="16" borderId="0" applyAlignment="1" pivotButton="0" quotePrefix="0" xfId="0">
      <alignment horizontal="center" vertical="center" wrapText="1" justifyLastLine="1"/>
    </xf>
    <xf numFmtId="0" fontId="48" fillId="5" borderId="1" applyAlignment="1" pivotButton="0" quotePrefix="0" xfId="0">
      <alignment horizontal="left"/>
    </xf>
    <xf numFmtId="0" fontId="53" fillId="10" borderId="1" applyAlignment="1" pivotButton="0" quotePrefix="0" xfId="0">
      <alignment horizontal="left" vertical="top" wrapText="1"/>
    </xf>
    <xf numFmtId="0" fontId="44" fillId="10" borderId="1" applyAlignment="1" pivotButton="0" quotePrefix="0" xfId="0">
      <alignment horizontal="left" vertical="top"/>
    </xf>
    <xf numFmtId="10" fontId="48" fillId="6" borderId="49" applyAlignment="1" pivotButton="0" quotePrefix="0" xfId="4">
      <alignment horizontal="center"/>
    </xf>
    <xf numFmtId="0" fontId="0" fillId="0" borderId="49" pivotButton="0" quotePrefix="0" xfId="0"/>
    <xf numFmtId="0" fontId="32" fillId="5" borderId="0" applyAlignment="1" pivotButton="0" quotePrefix="0" xfId="11">
      <alignment horizontal="justify" vertical="top" wrapText="1"/>
    </xf>
    <xf numFmtId="0" fontId="39" fillId="16" borderId="0" applyAlignment="1" pivotButton="0" quotePrefix="0" xfId="10">
      <alignment horizontal="center" vertical="center"/>
    </xf>
    <xf numFmtId="0" fontId="32" fillId="5" borderId="1" applyAlignment="1" pivotButton="0" quotePrefix="0" xfId="11">
      <alignment horizontal="justify" vertical="center" wrapText="1"/>
    </xf>
    <xf numFmtId="0" fontId="32" fillId="6" borderId="0" applyAlignment="1" pivotButton="0" quotePrefix="0" xfId="0">
      <alignment horizontal="left" vertical="top" wrapText="1"/>
    </xf>
    <xf numFmtId="0" fontId="32" fillId="6" borderId="0" applyAlignment="1" pivotButton="0" quotePrefix="0" xfId="11">
      <alignment horizontal="left" vertical="top" wrapText="1"/>
    </xf>
    <xf numFmtId="0" fontId="40" fillId="20" borderId="0" applyAlignment="1" pivotButton="0" quotePrefix="0" xfId="10">
      <alignment horizontal="center" vertical="center"/>
    </xf>
    <xf numFmtId="0" fontId="32" fillId="6" borderId="1" applyAlignment="1" pivotButton="0" quotePrefix="0" xfId="11">
      <alignment horizontal="justify" vertical="top" wrapText="1"/>
    </xf>
    <xf numFmtId="0" fontId="40" fillId="21" borderId="0" applyAlignment="1" pivotButton="0" quotePrefix="0" xfId="0">
      <alignment horizontal="center" vertical="center"/>
    </xf>
    <xf numFmtId="0" fontId="32" fillId="5" borderId="1" applyAlignment="1" pivotButton="0" quotePrefix="0" xfId="11">
      <alignment horizontal="justify" vertical="top" wrapText="1"/>
    </xf>
    <xf numFmtId="200" fontId="32" fillId="6" borderId="1" applyAlignment="1" pivotButton="0" quotePrefix="0" xfId="11">
      <alignment horizontal="justify" vertical="top" wrapText="1"/>
    </xf>
    <xf numFmtId="0" fontId="32" fillId="5" borderId="67" applyAlignment="1" pivotButton="0" quotePrefix="0" xfId="11">
      <alignment horizontal="justify" vertical="top" wrapText="1"/>
    </xf>
    <xf numFmtId="0" fontId="0" fillId="0" borderId="67" pivotButton="0" quotePrefix="0" xfId="0"/>
    <xf numFmtId="0" fontId="32" fillId="6" borderId="0" applyAlignment="1" pivotButton="0" quotePrefix="0" xfId="11">
      <alignment horizontal="justify" vertical="top" wrapText="1"/>
    </xf>
    <xf numFmtId="2" fontId="32" fillId="6" borderId="1" applyAlignment="1" pivotButton="0" quotePrefix="0" xfId="11">
      <alignment horizontal="justify" vertical="top" wrapText="1"/>
    </xf>
    <xf numFmtId="200" fontId="32" fillId="6" borderId="0" applyAlignment="1" pivotButton="0" quotePrefix="0" xfId="11">
      <alignment horizontal="justify" vertical="top" wrapText="1"/>
    </xf>
    <xf numFmtId="191" fontId="32" fillId="6" borderId="0" applyAlignment="1" pivotButton="0" quotePrefix="0" xfId="11">
      <alignment horizontal="left" vertical="top" wrapText="1"/>
    </xf>
    <xf numFmtId="0" fontId="32" fillId="5" borderId="67" applyAlignment="1" pivotButton="0" quotePrefix="0" xfId="11">
      <alignment horizontal="left" vertical="top" wrapText="1"/>
    </xf>
    <xf numFmtId="200" fontId="32" fillId="5" borderId="0" applyAlignment="1" pivotButton="0" quotePrefix="0" xfId="11">
      <alignment horizontal="justify" vertical="top" wrapText="1"/>
    </xf>
    <xf numFmtId="0" fontId="32" fillId="5" borderId="0" applyAlignment="1" pivotButton="0" quotePrefix="0" xfId="11">
      <alignment horizontal="left" vertical="top" wrapText="1"/>
    </xf>
    <xf numFmtId="0" fontId="32" fillId="5" borderId="1" applyAlignment="1" pivotButton="0" quotePrefix="0" xfId="11">
      <alignment horizontal="left" vertical="top" wrapText="1"/>
    </xf>
    <xf numFmtId="0" fontId="32" fillId="6" borderId="67" applyAlignment="1" pivotButton="0" quotePrefix="0" xfId="11">
      <alignment horizontal="justify" vertical="top" wrapText="1"/>
    </xf>
    <xf numFmtId="171" fontId="32" fillId="6" borderId="0" applyAlignment="1" pivotButton="0" quotePrefix="0" xfId="11">
      <alignment horizontal="justify" vertical="top" wrapText="1"/>
    </xf>
    <xf numFmtId="201" fontId="32" fillId="6" borderId="0" applyAlignment="1" pivotButton="0" quotePrefix="0" xfId="11">
      <alignment horizontal="justify" vertical="top" wrapText="1"/>
    </xf>
    <xf numFmtId="191" fontId="32" fillId="6" borderId="0" applyAlignment="1" pivotButton="0" quotePrefix="0" xfId="11">
      <alignment horizontal="justify" vertical="top" wrapText="1"/>
    </xf>
    <xf numFmtId="191" fontId="32" fillId="5" borderId="0" applyAlignment="1" pivotButton="0" quotePrefix="0" xfId="11">
      <alignment horizontal="justify" vertical="top" wrapText="1"/>
    </xf>
    <xf numFmtId="9" fontId="32" fillId="6" borderId="0" applyAlignment="1" pivotButton="0" quotePrefix="0" xfId="4">
      <alignment horizontal="justify" vertical="top" wrapText="1"/>
    </xf>
    <xf numFmtId="202" fontId="32" fillId="6" borderId="0" applyAlignment="1" pivotButton="0" quotePrefix="0" xfId="11">
      <alignment horizontal="justify" vertical="top" wrapText="1"/>
    </xf>
    <xf numFmtId="0" fontId="32" fillId="6" borderId="0" applyAlignment="1" pivotButton="0" quotePrefix="0" xfId="11">
      <alignment horizontal="justify" wrapText="1"/>
    </xf>
    <xf numFmtId="0" fontId="8" fillId="16" borderId="0" applyAlignment="1" pivotButton="0" quotePrefix="0" xfId="0">
      <alignment horizontal="center"/>
    </xf>
    <xf numFmtId="0" fontId="2" fillId="2" borderId="0" applyAlignment="1" pivotButton="0" quotePrefix="0" xfId="0">
      <alignment horizontal="center" vertical="center" justifyLastLine="1"/>
    </xf>
    <xf numFmtId="0" fontId="2" fillId="15" borderId="11" applyAlignment="1" pivotButton="0" quotePrefix="0" xfId="0">
      <alignment horizontal="left" vertical="center" justifyLastLine="1"/>
    </xf>
    <xf numFmtId="0" fontId="58" fillId="16" borderId="0" applyAlignment="1" pivotButton="0" quotePrefix="0" xfId="0">
      <alignment horizontal="center" vertical="center" justifyLastLine="1"/>
    </xf>
    <xf numFmtId="0" fontId="45" fillId="15" borderId="0" applyAlignment="1" pivotButton="0" quotePrefix="0" xfId="0">
      <alignment horizontal="center" vertical="center" justifyLastLine="1"/>
    </xf>
    <xf numFmtId="0" fontId="0" fillId="0" borderId="0" applyAlignment="1" pivotButton="0" quotePrefix="0" xfId="0">
      <alignment horizontal="right"/>
    </xf>
    <xf numFmtId="165" fontId="50" fillId="22" borderId="1" applyAlignment="1" pivotButton="0" quotePrefix="0" xfId="0">
      <alignment horizontal="right"/>
    </xf>
    <xf numFmtId="3" fontId="48" fillId="6" borderId="2" applyAlignment="1" pivotButton="0" quotePrefix="0" xfId="2">
      <alignment horizontal="right" vertical="center" justifyLastLine="1"/>
    </xf>
    <xf numFmtId="0" fontId="39" fillId="16" borderId="0" applyAlignment="1" pivotButton="0" quotePrefix="0" xfId="0">
      <alignment horizontal="center" justifyLastLine="1"/>
    </xf>
    <xf numFmtId="0" fontId="48" fillId="6" borderId="2" applyAlignment="1" pivotButton="0" quotePrefix="0" xfId="0">
      <alignment horizontal="right" vertical="center" wrapText="1" justifyLastLine="1"/>
    </xf>
    <xf numFmtId="0" fontId="48" fillId="6" borderId="2" applyAlignment="1" pivotButton="0" quotePrefix="0" xfId="0">
      <alignment horizontal="right" vertical="center" justifyLastLine="1"/>
    </xf>
    <xf numFmtId="169" fontId="49" fillId="6" borderId="40" applyAlignment="1" pivotButton="0" quotePrefix="0" xfId="3">
      <alignment horizontal="right" vertical="center" wrapText="1" justifyLastLine="1"/>
    </xf>
    <xf numFmtId="0" fontId="0" fillId="0" borderId="7" pivotButton="0" quotePrefix="0" xfId="0"/>
    <xf numFmtId="169" fontId="48" fillId="6" borderId="2" applyAlignment="1" pivotButton="0" quotePrefix="0" xfId="3">
      <alignment horizontal="right" vertical="center" justifyLastLine="1"/>
    </xf>
    <xf numFmtId="3" fontId="48" fillId="6" borderId="2" applyAlignment="1" pivotButton="0" quotePrefix="0" xfId="2">
      <alignment horizontal="right" vertical="center" wrapText="1" justifyLastLine="1"/>
    </xf>
    <xf numFmtId="0" fontId="45" fillId="4" borderId="0" applyAlignment="1" pivotButton="0" quotePrefix="0" xfId="0">
      <alignment horizontal="center" vertical="center" justifyLastLine="1"/>
    </xf>
    <xf numFmtId="180" fontId="49" fillId="6" borderId="2" applyAlignment="1" pivotButton="0" quotePrefix="0" xfId="0">
      <alignment horizontal="right" vertical="center" justifyLastLine="1"/>
    </xf>
    <xf numFmtId="0" fontId="39" fillId="16" borderId="0" applyAlignment="1" pivotButton="0" quotePrefix="0" xfId="0">
      <alignment horizontal="center" vertical="center"/>
    </xf>
    <xf numFmtId="0" fontId="8" fillId="16" borderId="0" applyAlignment="1" pivotButton="0" quotePrefix="1" xfId="0">
      <alignment horizontal="center" vertical="center"/>
    </xf>
    <xf numFmtId="3" fontId="32" fillId="0" borderId="0" pivotButton="0" quotePrefix="0" xfId="0"/>
    <xf numFmtId="165" fontId="32" fillId="0" borderId="0" pivotButton="0" quotePrefix="0" xfId="0"/>
    <xf numFmtId="0" fontId="8" fillId="0" borderId="0" applyAlignment="1" pivotButton="0" quotePrefix="1" xfId="0">
      <alignment horizontal="center" vertical="center"/>
    </xf>
    <xf numFmtId="0" fontId="32" fillId="0" borderId="0" pivotButton="0" quotePrefix="0" xfId="0"/>
    <xf numFmtId="0" fontId="8" fillId="2" borderId="0" applyAlignment="1" pivotButton="0" quotePrefix="1" xfId="0">
      <alignment horizontal="center" vertical="center"/>
    </xf>
    <xf numFmtId="0" fontId="8" fillId="2" borderId="0" applyAlignment="1" pivotButton="0" quotePrefix="0" xfId="0">
      <alignment horizontal="center" vertical="center"/>
    </xf>
    <xf numFmtId="0" fontId="4" fillId="0" borderId="0" pivotButton="0" quotePrefix="0" xfId="0"/>
    <xf numFmtId="165" fontId="50" fillId="0" borderId="1" applyAlignment="1" pivotButton="0" quotePrefix="0" xfId="0">
      <alignment horizontal="right"/>
    </xf>
    <xf numFmtId="3" fontId="48" fillId="6" borderId="0" applyAlignment="1" pivotButton="0" quotePrefix="0" xfId="2">
      <alignment horizontal="right" vertical="top" justifyLastLine="1"/>
    </xf>
    <xf numFmtId="180" fontId="49" fillId="6" borderId="0" applyAlignment="1" pivotButton="0" quotePrefix="0" xfId="0">
      <alignment horizontal="right" vertical="top" justifyLastLine="1"/>
    </xf>
    <xf numFmtId="169" fontId="48" fillId="6" borderId="0" applyAlignment="1" pivotButton="0" quotePrefix="0" xfId="3">
      <alignment horizontal="right" vertical="top" justifyLastLine="1"/>
    </xf>
    <xf numFmtId="0" fontId="48" fillId="6" borderId="0" applyAlignment="1" pivotButton="0" quotePrefix="0" xfId="0">
      <alignment horizontal="right" vertical="top" wrapText="1" justifyLastLine="1"/>
    </xf>
    <xf numFmtId="0" fontId="0" fillId="0" borderId="0" applyAlignment="1" pivotButton="0" quotePrefix="0" xfId="0">
      <alignment wrapText="1"/>
    </xf>
    <xf numFmtId="0" fontId="48" fillId="6" borderId="0" applyAlignment="1" pivotButton="0" quotePrefix="0" xfId="0">
      <alignment horizontal="right" vertical="top" justifyLastLine="1"/>
    </xf>
    <xf numFmtId="169" fontId="49" fillId="6" borderId="7" applyAlignment="1" pivotButton="0" quotePrefix="0" xfId="3">
      <alignment horizontal="right" vertical="top" wrapText="1" justifyLastLine="1"/>
    </xf>
    <xf numFmtId="1" fontId="49" fillId="6" borderId="0" applyAlignment="1" pivotButton="0" quotePrefix="0" xfId="3">
      <alignment horizontal="right" vertical="top" justifyLastLine="1"/>
    </xf>
    <xf numFmtId="3" fontId="48" fillId="0" borderId="0" applyAlignment="1" pivotButton="0" quotePrefix="0" xfId="2">
      <alignment horizontal="right" vertical="center" justifyLastLine="1"/>
    </xf>
    <xf numFmtId="0" fontId="48" fillId="0" borderId="15" applyAlignment="1" pivotButton="0" quotePrefix="0" xfId="0">
      <alignment horizontal="right" vertical="center" justifyLastLine="1"/>
    </xf>
    <xf numFmtId="0" fontId="0" fillId="0" borderId="14" pivotButton="0" quotePrefix="0" xfId="0"/>
    <xf numFmtId="0" fontId="48" fillId="0" borderId="2" applyAlignment="1" pivotButton="0" quotePrefix="0" xfId="0">
      <alignment horizontal="right" vertical="center" justifyLastLine="1"/>
    </xf>
    <xf numFmtId="0" fontId="39" fillId="2" borderId="0" applyAlignment="1" pivotButton="0" quotePrefix="0" xfId="0">
      <alignment horizontal="center" vertical="center" justifyLastLine="1"/>
    </xf>
    <xf numFmtId="0" fontId="48" fillId="6" borderId="2" applyAlignment="1" pivotButton="0" quotePrefix="0" xfId="0">
      <alignment horizontal="right" vertical="top" justifyLastLine="1"/>
    </xf>
    <xf numFmtId="169" fontId="48" fillId="0" borderId="0" applyAlignment="1" pivotButton="0" quotePrefix="0" xfId="3">
      <alignment horizontal="right" vertical="center" justifyLastLine="1"/>
    </xf>
    <xf numFmtId="180" fontId="49" fillId="0" borderId="15" applyAlignment="1" pivotButton="0" quotePrefix="0" xfId="0">
      <alignment horizontal="right" vertical="center" justifyLastLine="1"/>
    </xf>
    <xf numFmtId="169" fontId="48" fillId="0" borderId="15" applyAlignment="1" pivotButton="0" quotePrefix="0" xfId="3">
      <alignment horizontal="right" vertical="center" justifyLastLine="1"/>
    </xf>
    <xf numFmtId="169" fontId="48" fillId="6" borderId="15" applyAlignment="1" pivotButton="0" quotePrefix="0" xfId="3">
      <alignment horizontal="right" vertical="top" justifyLastLine="1"/>
    </xf>
    <xf numFmtId="3" fontId="48" fillId="0" borderId="2" applyAlignment="1" pivotButton="0" quotePrefix="0" xfId="2">
      <alignment horizontal="right" vertical="center" justifyLastLine="1"/>
    </xf>
    <xf numFmtId="3" fontId="48" fillId="0" borderId="15" applyAlignment="1" pivotButton="0" quotePrefix="0" xfId="2">
      <alignment horizontal="right" vertical="center" justifyLastLine="1"/>
    </xf>
    <xf numFmtId="180" fontId="49" fillId="0" borderId="2" applyAlignment="1" pivotButton="0" quotePrefix="0" xfId="0">
      <alignment horizontal="right" vertical="center" justifyLastLine="1"/>
    </xf>
    <xf numFmtId="169" fontId="48" fillId="0" borderId="2" applyAlignment="1" pivotButton="0" quotePrefix="0" xfId="3">
      <alignment horizontal="right" vertical="center" justifyLastLine="1"/>
    </xf>
    <xf numFmtId="3" fontId="48" fillId="6" borderId="15" applyAlignment="1" pivotButton="0" quotePrefix="0" xfId="2">
      <alignment horizontal="right" vertical="top" justifyLastLine="1"/>
    </xf>
    <xf numFmtId="0" fontId="48" fillId="0" borderId="0" applyAlignment="1" pivotButton="0" quotePrefix="0" xfId="0">
      <alignment horizontal="right" vertical="center" justifyLastLine="1"/>
    </xf>
    <xf numFmtId="0" fontId="48" fillId="6" borderId="15" applyAlignment="1" pivotButton="0" quotePrefix="0" xfId="0">
      <alignment horizontal="right" vertical="top" wrapText="1" justifyLastLine="1"/>
    </xf>
    <xf numFmtId="0" fontId="48" fillId="0" borderId="2" applyAlignment="1" pivotButton="0" quotePrefix="0" xfId="0">
      <alignment horizontal="right" vertical="center" wrapText="1" justifyLastLine="1"/>
    </xf>
    <xf numFmtId="0" fontId="49" fillId="6" borderId="2" applyAlignment="1" pivotButton="0" quotePrefix="0" xfId="3">
      <alignment horizontal="right" vertical="top" justifyLastLine="1"/>
    </xf>
    <xf numFmtId="0" fontId="48" fillId="0" borderId="15" applyAlignment="1" pivotButton="0" quotePrefix="0" xfId="0">
      <alignment horizontal="right" vertical="center" wrapText="1" justifyLastLine="1"/>
    </xf>
    <xf numFmtId="0" fontId="48" fillId="0" borderId="0" applyAlignment="1" pivotButton="0" quotePrefix="0" xfId="0">
      <alignment horizontal="right" vertical="center" wrapText="1" justifyLastLine="1"/>
    </xf>
    <xf numFmtId="169" fontId="49" fillId="0" borderId="75" applyAlignment="1" pivotButton="0" quotePrefix="0" xfId="3">
      <alignment horizontal="right" vertical="center" wrapText="1" justifyLastLine="1"/>
    </xf>
    <xf numFmtId="0" fontId="0" fillId="0" borderId="41" pivotButton="0" quotePrefix="0" xfId="0"/>
    <xf numFmtId="168" fontId="48" fillId="0" borderId="15" applyAlignment="1" pivotButton="0" quotePrefix="0" xfId="2">
      <alignment horizontal="right" vertical="center" justifyLastLine="1"/>
    </xf>
    <xf numFmtId="0" fontId="39" fillId="4" borderId="0" applyAlignment="1" pivotButton="0" quotePrefix="0" xfId="0">
      <alignment horizontal="center" vertical="center" justifyLastLine="1"/>
    </xf>
    <xf numFmtId="0" fontId="48" fillId="6" borderId="2" applyAlignment="1" pivotButton="0" quotePrefix="0" xfId="0">
      <alignment horizontal="right" vertical="top" wrapText="1" justifyLastLine="1"/>
    </xf>
    <xf numFmtId="0" fontId="46" fillId="4" borderId="0" applyAlignment="1" pivotButton="0" quotePrefix="0" xfId="0">
      <alignment horizontal="center" vertical="center" justifyLastLine="1"/>
    </xf>
    <xf numFmtId="0" fontId="48" fillId="6" borderId="15" applyAlignment="1" pivotButton="0" quotePrefix="0" xfId="0">
      <alignment horizontal="right" vertical="top" justifyLastLine="1"/>
    </xf>
    <xf numFmtId="180" fontId="49" fillId="6" borderId="2" applyAlignment="1" pivotButton="0" quotePrefix="0" xfId="0">
      <alignment horizontal="right" vertical="top" justifyLastLine="1"/>
    </xf>
    <xf numFmtId="169" fontId="49" fillId="0" borderId="40" applyAlignment="1" pivotButton="0" quotePrefix="0" xfId="3">
      <alignment horizontal="right" vertical="center" wrapText="1" justifyLastLine="1"/>
    </xf>
    <xf numFmtId="169" fontId="49" fillId="0" borderId="0" applyAlignment="1" pivotButton="0" quotePrefix="0" xfId="3">
      <alignment horizontal="right" vertical="center" wrapText="1" justifyLastLine="1"/>
    </xf>
    <xf numFmtId="180" fontId="49" fillId="0" borderId="0" applyAlignment="1" pivotButton="0" quotePrefix="0" xfId="0">
      <alignment horizontal="right" vertical="center" justifyLastLine="1"/>
    </xf>
    <xf numFmtId="3" fontId="48" fillId="6" borderId="2" applyAlignment="1" pivotButton="0" quotePrefix="0" xfId="2">
      <alignment horizontal="right" vertical="top" justifyLastLine="1"/>
    </xf>
    <xf numFmtId="169" fontId="49" fillId="6" borderId="75" applyAlignment="1" pivotButton="0" quotePrefix="0" xfId="3">
      <alignment horizontal="right" vertical="top" wrapText="1" justifyLastLine="1"/>
    </xf>
    <xf numFmtId="0" fontId="58" fillId="16" borderId="0" applyAlignment="1" pivotButton="0" quotePrefix="0" xfId="0">
      <alignment horizontal="center" vertical="center"/>
    </xf>
    <xf numFmtId="0" fontId="44" fillId="3" borderId="10" applyAlignment="1" pivotButton="0" quotePrefix="0" xfId="0">
      <alignment horizontal="left" vertical="center" wrapText="1"/>
    </xf>
    <xf numFmtId="0" fontId="0" fillId="0" borderId="9" pivotButton="0" quotePrefix="0" xfId="0"/>
    <xf numFmtId="0" fontId="0" fillId="0" borderId="17" pivotButton="0" quotePrefix="0" xfId="0"/>
    <xf numFmtId="0" fontId="41" fillId="6" borderId="15" applyAlignment="1" pivotButton="0" quotePrefix="0" xfId="0">
      <alignment vertical="center" wrapText="1"/>
    </xf>
    <xf numFmtId="3" fontId="41" fillId="5" borderId="15" applyAlignment="1" pivotButton="0" quotePrefix="0" xfId="0">
      <alignment horizontal="center" vertical="center" wrapText="1"/>
    </xf>
    <xf numFmtId="0" fontId="41" fillId="5" borderId="15" applyAlignment="1" pivotButton="0" quotePrefix="0" xfId="0">
      <alignment horizontal="center" vertical="center" wrapText="1"/>
    </xf>
    <xf numFmtId="167" fontId="41" fillId="5" borderId="15" applyAlignment="1" pivotButton="0" quotePrefix="0" xfId="3">
      <alignment horizontal="center" vertical="center" wrapText="1"/>
    </xf>
    <xf numFmtId="0" fontId="41" fillId="6" borderId="15" applyAlignment="1" pivotButton="0" quotePrefix="0" xfId="0">
      <alignment horizontal="left" vertical="center" wrapText="1"/>
    </xf>
    <xf numFmtId="167" fontId="41" fillId="6" borderId="15" applyAlignment="1" pivotButton="0" quotePrefix="0" xfId="0">
      <alignment vertical="center" wrapText="1"/>
    </xf>
    <xf numFmtId="180" fontId="41" fillId="5" borderId="15" applyAlignment="1" pivotButton="0" quotePrefix="0" xfId="3">
      <alignment horizontal="center" vertical="center" wrapText="1"/>
    </xf>
    <xf numFmtId="169" fontId="41" fillId="5" borderId="15" applyAlignment="1" pivotButton="0" quotePrefix="0" xfId="3">
      <alignment horizontal="center" vertical="center" wrapText="1"/>
    </xf>
    <xf numFmtId="0" fontId="41" fillId="6" borderId="22" applyAlignment="1" pivotButton="0" quotePrefix="0" xfId="0">
      <alignment vertical="center" wrapText="1"/>
    </xf>
    <xf numFmtId="0" fontId="0" fillId="0" borderId="4" pivotButton="0" quotePrefix="0" xfId="0"/>
    <xf numFmtId="0" fontId="39" fillId="16" borderId="76" applyAlignment="1" pivotButton="0" quotePrefix="0" xfId="0">
      <alignment horizontal="center" vertical="center" wrapText="1"/>
    </xf>
    <xf numFmtId="0" fontId="0" fillId="0" borderId="77" pivotButton="0" quotePrefix="0" xfId="0"/>
    <xf numFmtId="0" fontId="42" fillId="15" borderId="2" applyAlignment="1" pivotButton="0" quotePrefix="0" xfId="0">
      <alignment horizontal="left" vertical="center" wrapText="1"/>
    </xf>
    <xf numFmtId="0" fontId="13" fillId="4" borderId="0" pivotButton="0" quotePrefix="0" xfId="0"/>
    <xf numFmtId="0" fontId="42" fillId="15" borderId="11" applyAlignment="1" pivotButton="0" quotePrefix="0" xfId="0">
      <alignment horizontal="center" vertical="center" wrapText="1"/>
    </xf>
    <xf numFmtId="167" fontId="41" fillId="0" borderId="15" applyAlignment="1" pivotButton="0" quotePrefix="0" xfId="3">
      <alignment horizontal="center" vertical="center" wrapText="1"/>
    </xf>
    <xf numFmtId="167" fontId="43" fillId="3" borderId="10" applyAlignment="1" pivotButton="0" quotePrefix="0" xfId="3">
      <alignment horizontal="center" vertical="center" wrapText="1"/>
    </xf>
    <xf numFmtId="0" fontId="40" fillId="15" borderId="0" applyAlignment="1" pivotButton="0" quotePrefix="0" xfId="0">
      <alignment horizontal="center" vertical="center" wrapText="1"/>
    </xf>
    <xf numFmtId="0" fontId="41" fillId="0" borderId="15" applyAlignment="1" pivotButton="0" quotePrefix="0" xfId="0">
      <alignment horizontal="center" vertical="center" wrapText="1"/>
    </xf>
    <xf numFmtId="0" fontId="40" fillId="4" borderId="14" applyAlignment="1" pivotButton="0" quotePrefix="0" xfId="0">
      <alignment horizontal="center" vertical="top" wrapText="1"/>
    </xf>
    <xf numFmtId="1" fontId="41" fillId="5" borderId="15" applyAlignment="1" pivotButton="0" quotePrefix="0" xfId="0">
      <alignment horizontal="center" vertical="center" wrapText="1"/>
    </xf>
    <xf numFmtId="9" fontId="41" fillId="5" borderId="15" applyAlignment="1" pivotButton="0" quotePrefix="0" xfId="4">
      <alignment horizontal="center" vertical="center" wrapText="1"/>
    </xf>
    <xf numFmtId="0" fontId="40" fillId="15" borderId="2" applyAlignment="1" pivotButton="0" quotePrefix="0" xfId="0">
      <alignment horizontal="left" vertical="center" wrapText="1"/>
    </xf>
    <xf numFmtId="0" fontId="42" fillId="15" borderId="0" applyAlignment="1" pivotButton="0" quotePrefix="0" xfId="0">
      <alignment horizontal="center" vertical="center" wrapText="1"/>
    </xf>
    <xf numFmtId="167" fontId="41" fillId="6" borderId="22" applyAlignment="1" pivotButton="0" quotePrefix="0" xfId="0">
      <alignment vertical="center" wrapText="1"/>
    </xf>
    <xf numFmtId="3" fontId="41" fillId="5" borderId="15" applyAlignment="1" pivotButton="0" quotePrefix="0" xfId="3">
      <alignment horizontal="center" vertical="center" wrapText="1"/>
    </xf>
    <xf numFmtId="3" fontId="41" fillId="0" borderId="15" applyAlignment="1" pivotButton="0" quotePrefix="0" xfId="0">
      <alignment horizontal="center" vertical="center" wrapText="1"/>
    </xf>
    <xf numFmtId="167" fontId="43" fillId="3" borderId="10" applyAlignment="1" pivotButton="0" quotePrefix="0" xfId="0">
      <alignment vertical="center" wrapText="1"/>
    </xf>
    <xf numFmtId="167" fontId="41" fillId="0" borderId="22" applyAlignment="1" pivotButton="0" quotePrefix="0" xfId="3">
      <alignment horizontal="center" vertical="center" wrapText="1"/>
    </xf>
    <xf numFmtId="180" fontId="41" fillId="0" borderId="15" applyAlignment="1" pivotButton="0" quotePrefix="0" xfId="3">
      <alignment horizontal="center" vertical="center" wrapText="1"/>
    </xf>
    <xf numFmtId="2" fontId="41" fillId="5" borderId="15" applyAlignment="1" pivotButton="0" quotePrefix="0" xfId="4">
      <alignment horizontal="center" vertical="center" wrapText="1"/>
    </xf>
    <xf numFmtId="0" fontId="41" fillId="0" borderId="15" applyAlignment="1" pivotButton="0" quotePrefix="0" xfId="0">
      <alignment horizontal="left" vertical="center" wrapText="1"/>
    </xf>
    <xf numFmtId="167" fontId="41" fillId="5" borderId="22" applyAlignment="1" pivotButton="0" quotePrefix="0" xfId="3">
      <alignment horizontal="center" vertical="center" wrapText="1"/>
    </xf>
    <xf numFmtId="1" fontId="4" fillId="5" borderId="0" applyAlignment="1" pivotButton="0" quotePrefix="0" xfId="0">
      <alignment horizontal="center" vertical="top"/>
    </xf>
    <xf numFmtId="3" fontId="7" fillId="3" borderId="78" applyAlignment="1" pivotButton="0" quotePrefix="0" xfId="0">
      <alignment horizontal="center" vertical="top" wrapText="1"/>
    </xf>
    <xf numFmtId="1" fontId="7" fillId="3" borderId="78" applyAlignment="1" pivotButton="0" quotePrefix="0" xfId="0">
      <alignment horizontal="center" vertical="top"/>
    </xf>
    <xf numFmtId="3" fontId="7" fillId="3" borderId="78" applyAlignment="1" pivotButton="0" quotePrefix="0" xfId="0">
      <alignment horizontal="center" vertical="top"/>
    </xf>
    <xf numFmtId="3" fontId="4" fillId="5" borderId="0" applyAlignment="1" pivotButton="0" quotePrefix="0" xfId="0">
      <alignment horizontal="center" vertical="top"/>
    </xf>
    <xf numFmtId="0" fontId="8" fillId="16" borderId="0" applyAlignment="1" pivotButton="0" quotePrefix="0" xfId="0">
      <alignment horizontal="center" vertical="center"/>
    </xf>
    <xf numFmtId="0" fontId="8" fillId="4" borderId="0" applyAlignment="1" pivotButton="0" quotePrefix="0" xfId="0">
      <alignment horizontal="center"/>
    </xf>
    <xf numFmtId="0" fontId="20" fillId="2" borderId="0" applyAlignment="1" pivotButton="0" quotePrefix="0" xfId="6">
      <alignment horizontal="center" vertical="top"/>
    </xf>
    <xf numFmtId="166" fontId="4" fillId="0" borderId="0" applyAlignment="1" pivotButton="0" quotePrefix="0" xfId="3">
      <alignment horizontal="center"/>
    </xf>
    <xf numFmtId="170" fontId="4" fillId="0" borderId="0" applyAlignment="1" pivotButton="0" quotePrefix="0" xfId="3">
      <alignment horizontal="center"/>
    </xf>
    <xf numFmtId="203" fontId="24" fillId="0" borderId="0" applyAlignment="1" pivotButton="0" quotePrefix="0" xfId="0">
      <alignment horizontal="left" vertical="top" wrapText="1"/>
    </xf>
    <xf numFmtId="173" fontId="9" fillId="0" borderId="0" applyAlignment="1" pivotButton="0" quotePrefix="0" xfId="0">
      <alignment horizontal="left" vertical="top" wrapText="1"/>
    </xf>
    <xf numFmtId="203" fontId="9" fillId="0" borderId="0" applyAlignment="1" pivotButton="0" quotePrefix="0" xfId="0">
      <alignment horizontal="left" vertical="top" wrapText="1"/>
    </xf>
    <xf numFmtId="170" fontId="4" fillId="0" borderId="0" applyAlignment="1" pivotButton="0" quotePrefix="0" xfId="3">
      <alignment horizontal="center" vertical="center"/>
    </xf>
    <xf numFmtId="166" fontId="4" fillId="0" borderId="0" applyAlignment="1" pivotButton="0" quotePrefix="0" xfId="3">
      <alignment horizontal="center" vertical="center"/>
    </xf>
    <xf numFmtId="0" fontId="8" fillId="2"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2" fillId="2" borderId="0" applyAlignment="1" pivotButton="0" quotePrefix="0" xfId="0">
      <alignment horizontal="center" vertical="top" wrapText="1"/>
    </xf>
    <xf numFmtId="0" fontId="39" fillId="16" borderId="1" applyAlignment="1" pivotButton="0" quotePrefix="0" xfId="0">
      <alignment horizontal="center" vertical="center"/>
    </xf>
    <xf numFmtId="169" fontId="32" fillId="5" borderId="11" applyAlignment="1" pivotButton="0" quotePrefix="0" xfId="3">
      <alignment horizontal="right"/>
    </xf>
    <xf numFmtId="0" fontId="40" fillId="16" borderId="46" applyAlignment="1" pivotButton="0" quotePrefix="0" xfId="0">
      <alignment horizontal="center" vertical="center" wrapText="1"/>
    </xf>
    <xf numFmtId="193" fontId="32" fillId="0" borderId="0" pivotButton="0" quotePrefix="0" xfId="3"/>
    <xf numFmtId="0" fontId="0" fillId="0" borderId="46" pivotButton="0" quotePrefix="0" xfId="0"/>
    <xf numFmtId="0" fontId="32" fillId="5" borderId="0" applyAlignment="1" pivotButton="0" quotePrefix="0" xfId="0">
      <alignment horizontal="left" wrapText="1"/>
    </xf>
    <xf numFmtId="0" fontId="39" fillId="15" borderId="1" applyAlignment="1" pivotButton="0" quotePrefix="0" xfId="0">
      <alignment horizontal="right"/>
    </xf>
    <xf numFmtId="0" fontId="40" fillId="16" borderId="0" applyAlignment="1" pivotButton="0" quotePrefix="0" xfId="0">
      <alignment horizontal="center" vertical="center" wrapText="1"/>
    </xf>
    <xf numFmtId="169" fontId="32" fillId="0" borderId="1" applyAlignment="1" pivotButton="0" quotePrefix="0" xfId="3">
      <alignment horizontal="right"/>
    </xf>
    <xf numFmtId="0" fontId="21" fillId="16" borderId="0" applyAlignment="1" pivotButton="0" quotePrefix="0" xfId="0">
      <alignment horizontal="center" vertical="center"/>
    </xf>
    <xf numFmtId="0" fontId="32" fillId="3" borderId="11" applyAlignment="1" pivotButton="0" quotePrefix="0" xfId="0">
      <alignment horizontal="left"/>
    </xf>
    <xf numFmtId="169" fontId="32" fillId="3" borderId="9" applyAlignment="1" pivotButton="0" quotePrefix="0" xfId="3">
      <alignment horizontal="right"/>
    </xf>
    <xf numFmtId="170" fontId="50" fillId="3" borderId="9" applyAlignment="1" pivotButton="0" quotePrefix="0" xfId="0">
      <alignment horizontal="center"/>
    </xf>
    <xf numFmtId="170" fontId="47" fillId="0" borderId="11" applyAlignment="1" pivotButton="0" quotePrefix="0" xfId="0">
      <alignment horizontal="center"/>
    </xf>
    <xf numFmtId="0" fontId="21" fillId="17" borderId="1" applyAlignment="1" pivotButton="0" quotePrefix="0" xfId="0">
      <alignment horizontal="center"/>
    </xf>
    <xf numFmtId="0" fontId="5" fillId="0" borderId="9" applyAlignment="1" pivotButton="0" quotePrefix="0" xfId="0">
      <alignment horizontal="center"/>
    </xf>
    <xf numFmtId="170" fontId="47" fillId="0" borderId="1" applyAlignment="1" pivotButton="0" quotePrefix="0" xfId="0">
      <alignment horizontal="center"/>
    </xf>
    <xf numFmtId="170" fontId="47" fillId="0" borderId="0" applyAlignment="1" pivotButton="0" quotePrefix="0" xfId="0">
      <alignment horizontal="center"/>
    </xf>
    <xf numFmtId="170" fontId="50" fillId="3" borderId="9" applyAlignment="1" pivotButton="0" quotePrefix="0" xfId="0">
      <alignment horizontal="center" vertical="center"/>
    </xf>
    <xf numFmtId="170" fontId="50" fillId="0" borderId="9" applyAlignment="1" pivotButton="0" quotePrefix="0" xfId="0">
      <alignment horizontal="center"/>
    </xf>
    <xf numFmtId="10" fontId="32" fillId="5" borderId="0" applyAlignment="1" pivotButton="0" quotePrefix="0" xfId="4">
      <alignment horizontal="right" vertical="top"/>
    </xf>
    <xf numFmtId="10" fontId="34" fillId="3" borderId="9" applyAlignment="1" pivotButton="0" quotePrefix="0" xfId="4">
      <alignment horizontal="right"/>
    </xf>
    <xf numFmtId="169" fontId="32" fillId="0" borderId="0" applyAlignment="1" pivotButton="0" quotePrefix="0" xfId="3">
      <alignment horizontal="right"/>
    </xf>
    <xf numFmtId="0" fontId="40" fillId="12" borderId="55" applyAlignment="1" pivotButton="0" quotePrefix="0" xfId="0">
      <alignment horizontal="center" vertical="center" wrapText="1"/>
    </xf>
    <xf numFmtId="0" fontId="0" fillId="0" borderId="23" pivotButton="0" quotePrefix="0" xfId="0"/>
    <xf numFmtId="0" fontId="0" fillId="0" borderId="55" pivotButton="0" quotePrefix="0" xfId="0"/>
    <xf numFmtId="10" fontId="32" fillId="3" borderId="0" applyAlignment="1" pivotButton="0" quotePrefix="0" xfId="4">
      <alignment horizontal="right"/>
    </xf>
    <xf numFmtId="0" fontId="40" fillId="12" borderId="69" applyAlignment="1" pivotButton="0" quotePrefix="0" xfId="0">
      <alignment horizontal="center" vertical="center" wrapText="1"/>
    </xf>
    <xf numFmtId="0" fontId="0" fillId="0" borderId="53" pivotButton="0" quotePrefix="0" xfId="0"/>
    <xf numFmtId="0" fontId="0" fillId="0" borderId="54" pivotButton="0" quotePrefix="0" xfId="0"/>
    <xf numFmtId="193" fontId="68" fillId="6" borderId="9" applyAlignment="1" pivotButton="0" quotePrefix="0" xfId="0">
      <alignment horizontal="center" vertical="center" wrapText="1"/>
    </xf>
    <xf numFmtId="0" fontId="39" fillId="15" borderId="0" applyAlignment="1" pivotButton="0" quotePrefix="0" xfId="0">
      <alignment horizontal="center"/>
    </xf>
    <xf numFmtId="0" fontId="34" fillId="3" borderId="1" applyAlignment="1" pivotButton="0" quotePrefix="0" xfId="0">
      <alignment horizontal="left"/>
    </xf>
    <xf numFmtId="169" fontId="32" fillId="0" borderId="9" applyAlignment="1" pivotButton="0" quotePrefix="0" xfId="3">
      <alignment horizontal="right"/>
    </xf>
    <xf numFmtId="10" fontId="32" fillId="5" borderId="1" applyAlignment="1" pivotButton="0" quotePrefix="0" xfId="4">
      <alignment horizontal="right" vertical="top"/>
    </xf>
    <xf numFmtId="10" fontId="34" fillId="3" borderId="1" applyAlignment="1" pivotButton="0" quotePrefix="0" xfId="4">
      <alignment horizontal="right"/>
    </xf>
    <xf numFmtId="0" fontId="39" fillId="16" borderId="0" applyAlignment="1" pivotButton="0" quotePrefix="0" xfId="0">
      <alignment horizontal="center"/>
    </xf>
    <xf numFmtId="10" fontId="39" fillId="15" borderId="0" applyAlignment="1" pivotButton="0" quotePrefix="0" xfId="4">
      <alignment horizontal="right"/>
    </xf>
    <xf numFmtId="169" fontId="0" fillId="5" borderId="0" pivotButton="0" quotePrefix="0" xfId="0"/>
    <xf numFmtId="167" fontId="0" fillId="0" borderId="0" pivotButton="0" quotePrefix="0" xfId="0"/>
    <xf numFmtId="170" fontId="0" fillId="0" borderId="0" pivotButton="0" quotePrefix="0" xfId="0"/>
    <xf numFmtId="169" fontId="0" fillId="6" borderId="0" applyAlignment="1" pivotButton="0" quotePrefix="0" xfId="0">
      <alignment horizontal="right"/>
    </xf>
    <xf numFmtId="179" fontId="59" fillId="10" borderId="0" applyAlignment="1" pivotButton="0" quotePrefix="0" xfId="0">
      <alignment horizontal="right"/>
    </xf>
    <xf numFmtId="193" fontId="59" fillId="6" borderId="0" applyAlignment="1" pivotButton="0" quotePrefix="0" xfId="0">
      <alignment horizontal="center"/>
    </xf>
    <xf numFmtId="164" fontId="59" fillId="6" borderId="0" applyAlignment="1" pivotButton="0" quotePrefix="0" xfId="0">
      <alignment horizontal="center"/>
    </xf>
    <xf numFmtId="193" fontId="59" fillId="6" borderId="1" applyAlignment="1" pivotButton="0" quotePrefix="0" xfId="0">
      <alignment horizontal="center"/>
    </xf>
    <xf numFmtId="164" fontId="59" fillId="6" borderId="1" applyAlignment="1" pivotButton="0" quotePrefix="0" xfId="0">
      <alignment horizontal="center"/>
    </xf>
    <xf numFmtId="179" fontId="47" fillId="5" borderId="0" applyAlignment="1" pivotButton="0" quotePrefix="0" xfId="11">
      <alignment horizontal="left" wrapText="1"/>
    </xf>
    <xf numFmtId="179" fontId="47" fillId="6" borderId="0" applyAlignment="1" pivotButton="0" quotePrefix="0" xfId="11">
      <alignment horizontal="left" wrapText="1"/>
    </xf>
    <xf numFmtId="196" fontId="47" fillId="6" borderId="0" applyAlignment="1" pivotButton="0" quotePrefix="0" xfId="11">
      <alignment horizontal="left" wrapText="1"/>
    </xf>
    <xf numFmtId="191" fontId="32" fillId="6" borderId="0" applyAlignment="1" pivotButton="0" quotePrefix="0" xfId="0">
      <alignment horizontal="left" vertical="center" wrapText="1"/>
    </xf>
    <xf numFmtId="195" fontId="32" fillId="6" borderId="0" applyAlignment="1" pivotButton="0" quotePrefix="0" xfId="0">
      <alignment horizontal="left" vertical="center"/>
    </xf>
    <xf numFmtId="191" fontId="34" fillId="6" borderId="9" applyAlignment="1" pivotButton="0" quotePrefix="0" xfId="0">
      <alignment horizontal="left" vertical="center" wrapText="1"/>
    </xf>
    <xf numFmtId="195" fontId="34" fillId="6" borderId="9" applyAlignment="1" pivotButton="0" quotePrefix="0" xfId="0">
      <alignment horizontal="left" vertical="center"/>
    </xf>
    <xf numFmtId="191" fontId="32" fillId="6" borderId="0" applyAlignment="1" pivotButton="0" quotePrefix="0" xfId="11">
      <alignment horizontal="left" vertical="center" wrapText="1"/>
    </xf>
    <xf numFmtId="169" fontId="32" fillId="6" borderId="0" applyAlignment="1" pivotButton="0" quotePrefix="0" xfId="11">
      <alignment horizontal="center" wrapText="1"/>
    </xf>
    <xf numFmtId="169" fontId="0" fillId="6" borderId="0" applyAlignment="1" pivotButton="0" quotePrefix="0" xfId="0">
      <alignment horizontal="center" wrapText="1"/>
    </xf>
    <xf numFmtId="169" fontId="31" fillId="19" borderId="0" applyAlignment="1" pivotButton="0" quotePrefix="0" xfId="11">
      <alignment horizontal="center" wrapText="1"/>
    </xf>
    <xf numFmtId="169" fontId="32" fillId="6" borderId="1" applyAlignment="1" pivotButton="0" quotePrefix="0" xfId="0">
      <alignment horizontal="center" wrapText="1"/>
    </xf>
    <xf numFmtId="169" fontId="0" fillId="6" borderId="1" applyAlignment="1" pivotButton="0" quotePrefix="0" xfId="0">
      <alignment horizontal="center" wrapText="1"/>
    </xf>
    <xf numFmtId="169" fontId="32" fillId="5" borderId="0" applyAlignment="1" pivotButton="0" quotePrefix="0" xfId="0">
      <alignment horizontal="center" wrapText="1"/>
    </xf>
    <xf numFmtId="169" fontId="0" fillId="5" borderId="0" applyAlignment="1" pivotButton="0" quotePrefix="0" xfId="0">
      <alignment horizontal="center" wrapText="1"/>
    </xf>
    <xf numFmtId="169" fontId="32" fillId="5" borderId="1" applyAlignment="1" pivotButton="0" quotePrefix="0" xfId="11">
      <alignment horizontal="center" wrapText="1"/>
    </xf>
    <xf numFmtId="169" fontId="0" fillId="5" borderId="1" applyAlignment="1" pivotButton="0" quotePrefix="0" xfId="0">
      <alignment horizontal="center" wrapText="1"/>
    </xf>
    <xf numFmtId="191" fontId="32" fillId="6" borderId="0" applyAlignment="1" pivotButton="0" quotePrefix="0" xfId="0">
      <alignment horizontal="left" wrapText="1"/>
    </xf>
    <xf numFmtId="195" fontId="32" fillId="6" borderId="0" applyAlignment="1" pivotButton="0" quotePrefix="0" xfId="0">
      <alignment horizontal="left"/>
    </xf>
    <xf numFmtId="179" fontId="53" fillId="5" borderId="0" applyAlignment="1" pivotButton="0" quotePrefix="0" xfId="0">
      <alignment horizontal="center"/>
    </xf>
    <xf numFmtId="193" fontId="53" fillId="5" borderId="0" applyAlignment="1" pivotButton="0" quotePrefix="0" xfId="0">
      <alignment horizontal="center"/>
    </xf>
    <xf numFmtId="164" fontId="48" fillId="5" borderId="0" applyAlignment="1" pivotButton="0" quotePrefix="0" xfId="0">
      <alignment horizontal="center"/>
    </xf>
    <xf numFmtId="191" fontId="34" fillId="6" borderId="11" applyAlignment="1" pivotButton="0" quotePrefix="0" xfId="0">
      <alignment horizontal="left" wrapText="1"/>
    </xf>
    <xf numFmtId="195" fontId="34" fillId="6" borderId="11" applyAlignment="1" pivotButton="0" quotePrefix="0" xfId="0">
      <alignment horizontal="left"/>
    </xf>
    <xf numFmtId="179" fontId="53" fillId="5" borderId="1" applyAlignment="1" pivotButton="0" quotePrefix="0" xfId="0">
      <alignment horizontal="center"/>
    </xf>
    <xf numFmtId="193" fontId="53" fillId="5" borderId="1" applyAlignment="1" pivotButton="0" quotePrefix="0" xfId="0">
      <alignment horizontal="center"/>
    </xf>
    <xf numFmtId="164" fontId="48" fillId="5" borderId="1" applyAlignment="1" pivotButton="0" quotePrefix="0" xfId="0">
      <alignment horizontal="center"/>
    </xf>
    <xf numFmtId="191" fontId="32" fillId="6" borderId="0" applyAlignment="1" pivotButton="0" quotePrefix="0" xfId="11">
      <alignment horizontal="left" wrapText="1"/>
    </xf>
    <xf numFmtId="171" fontId="32" fillId="6" borderId="0" applyAlignment="1" pivotButton="0" quotePrefix="0" xfId="4">
      <alignment horizontal="left" wrapText="1"/>
    </xf>
    <xf numFmtId="187" fontId="13" fillId="13" borderId="0" applyAlignment="1" pivotButton="0" quotePrefix="0" xfId="0">
      <alignment horizontal="center"/>
    </xf>
    <xf numFmtId="171" fontId="13" fillId="13" borderId="0" applyAlignment="1" pivotButton="0" quotePrefix="0" xfId="4">
      <alignment horizontal="center"/>
    </xf>
    <xf numFmtId="187" fontId="13" fillId="18" borderId="0" applyAlignment="1" pivotButton="0" quotePrefix="0" xfId="0">
      <alignment horizontal="center"/>
    </xf>
    <xf numFmtId="171" fontId="13" fillId="18" borderId="0" applyAlignment="1" pivotButton="0" quotePrefix="0" xfId="4">
      <alignment horizontal="center"/>
    </xf>
    <xf numFmtId="187" fontId="13" fillId="13" borderId="1" applyAlignment="1" pivotButton="0" quotePrefix="0" xfId="0">
      <alignment horizontal="center"/>
    </xf>
    <xf numFmtId="171" fontId="13" fillId="13" borderId="1" applyAlignment="1" pivotButton="0" quotePrefix="0" xfId="4">
      <alignment horizontal="center"/>
    </xf>
    <xf numFmtId="191" fontId="32" fillId="6" borderId="0" applyAlignment="1" pivotButton="0" quotePrefix="0" xfId="0">
      <alignment horizontal="left" vertical="top" wrapText="1"/>
    </xf>
    <xf numFmtId="192" fontId="32" fillId="6" borderId="0" applyAlignment="1" pivotButton="0" quotePrefix="0" xfId="0">
      <alignment horizontal="left" vertical="top" wrapText="1"/>
    </xf>
    <xf numFmtId="191" fontId="34" fillId="6" borderId="11" applyAlignment="1" pivotButton="0" quotePrefix="0" xfId="0">
      <alignment horizontal="left" vertical="top" wrapText="1"/>
    </xf>
    <xf numFmtId="192" fontId="34" fillId="6" borderId="11" applyAlignment="1" pivotButton="0" quotePrefix="0" xfId="0">
      <alignment horizontal="left" vertical="top" wrapText="1"/>
    </xf>
    <xf numFmtId="179" fontId="32" fillId="5" borderId="0" applyAlignment="1" pivotButton="0" quotePrefix="0" xfId="0">
      <alignment horizontal="justify" vertical="top"/>
    </xf>
    <xf numFmtId="191" fontId="32" fillId="6" borderId="0" applyAlignment="1" pivotButton="0" quotePrefix="0" xfId="11">
      <alignment horizontal="justify" vertical="top" wrapText="1"/>
    </xf>
    <xf numFmtId="191" fontId="32" fillId="5" borderId="0" applyAlignment="1" pivotButton="0" quotePrefix="0" xfId="11">
      <alignment horizontal="justify" vertical="top" wrapText="1"/>
    </xf>
    <xf numFmtId="191" fontId="32" fillId="6" borderId="0" applyAlignment="1" pivotButton="0" quotePrefix="0" xfId="11">
      <alignment horizontal="left" vertical="top" wrapText="1"/>
    </xf>
    <xf numFmtId="202" fontId="32" fillId="6" borderId="0" applyAlignment="1" pivotButton="0" quotePrefix="0" xfId="11">
      <alignment horizontal="justify" vertical="top" wrapText="1"/>
    </xf>
    <xf numFmtId="171" fontId="32" fillId="6" borderId="0" applyAlignment="1" pivotButton="0" quotePrefix="0" xfId="11">
      <alignment horizontal="justify" vertical="top" wrapText="1"/>
    </xf>
    <xf numFmtId="201" fontId="32" fillId="6" borderId="0" applyAlignment="1" pivotButton="0" quotePrefix="0" xfId="11">
      <alignment horizontal="justify" vertical="top" wrapText="1"/>
    </xf>
    <xf numFmtId="200" fontId="32" fillId="6" borderId="0" applyAlignment="1" pivotButton="0" quotePrefix="0" xfId="11">
      <alignment horizontal="justify" vertical="top" wrapText="1"/>
    </xf>
    <xf numFmtId="200" fontId="32" fillId="5" borderId="0" applyAlignment="1" pivotButton="0" quotePrefix="0" xfId="11">
      <alignment horizontal="justify" vertical="top" wrapText="1"/>
    </xf>
    <xf numFmtId="200" fontId="32" fillId="6" borderId="1" applyAlignment="1" pivotButton="0" quotePrefix="0" xfId="11">
      <alignment horizontal="justify" vertical="top" wrapText="1"/>
    </xf>
    <xf numFmtId="165" fontId="17" fillId="0" borderId="0" applyAlignment="1" pivotButton="0" quotePrefix="0" xfId="3">
      <alignment horizontal="left"/>
    </xf>
    <xf numFmtId="166" fontId="17" fillId="0" borderId="0" applyAlignment="1" pivotButton="0" quotePrefix="0" xfId="3">
      <alignment horizontal="left"/>
    </xf>
    <xf numFmtId="165" fontId="16" fillId="3" borderId="9" applyAlignment="1" pivotButton="0" quotePrefix="0" xfId="3">
      <alignment horizontal="left"/>
    </xf>
    <xf numFmtId="166" fontId="19" fillId="3" borderId="9" applyAlignment="1" pivotButton="0" quotePrefix="0" xfId="3">
      <alignment horizontal="left"/>
    </xf>
    <xf numFmtId="167" fontId="17" fillId="0" borderId="0" applyAlignment="1" pivotButton="0" quotePrefix="0" xfId="3">
      <alignment horizontal="right"/>
    </xf>
    <xf numFmtId="197" fontId="17" fillId="0" borderId="0" applyAlignment="1" pivotButton="0" quotePrefix="0" xfId="3">
      <alignment horizontal="right"/>
    </xf>
    <xf numFmtId="167" fontId="16" fillId="3" borderId="11" applyAlignment="1" pivotButton="0" quotePrefix="0" xfId="0">
      <alignment horizontal="right" vertical="top"/>
    </xf>
    <xf numFmtId="165" fontId="16" fillId="3" borderId="1" applyAlignment="1" pivotButton="0" quotePrefix="0" xfId="3">
      <alignment horizontal="left"/>
    </xf>
    <xf numFmtId="197" fontId="19" fillId="3" borderId="1" applyAlignment="1" pivotButton="0" quotePrefix="0" xfId="3">
      <alignment horizontal="right"/>
    </xf>
    <xf numFmtId="170" fontId="17" fillId="0" borderId="0" applyAlignment="1" pivotButton="0" quotePrefix="0" xfId="3">
      <alignment horizontal="right"/>
    </xf>
    <xf numFmtId="166" fontId="19" fillId="3" borderId="1" applyAlignment="1" pivotButton="0" quotePrefix="0" xfId="3">
      <alignment horizontal="left"/>
    </xf>
    <xf numFmtId="169" fontId="32" fillId="0" borderId="1" applyAlignment="1" pivotButton="0" quotePrefix="0" xfId="0">
      <alignment horizontal="center" vertical="center"/>
    </xf>
    <xf numFmtId="179" fontId="32" fillId="0" borderId="1" applyAlignment="1" pivotButton="0" quotePrefix="0" xfId="0">
      <alignment horizontal="center"/>
    </xf>
    <xf numFmtId="165" fontId="32" fillId="0" borderId="1" applyAlignment="1" pivotButton="0" quotePrefix="0" xfId="3">
      <alignment horizontal="center"/>
    </xf>
    <xf numFmtId="169" fontId="4" fillId="0" borderId="1" applyAlignment="1" pivotButton="0" quotePrefix="0" xfId="0">
      <alignment horizontal="center" vertical="center"/>
    </xf>
    <xf numFmtId="179" fontId="4" fillId="0" borderId="1" applyAlignment="1" pivotButton="0" quotePrefix="0" xfId="0">
      <alignment horizontal="center"/>
    </xf>
    <xf numFmtId="165" fontId="4" fillId="0" borderId="1" applyAlignment="1" pivotButton="0" quotePrefix="0" xfId="3">
      <alignment horizontal="center"/>
    </xf>
    <xf numFmtId="180" fontId="49" fillId="6" borderId="2" applyAlignment="1" pivotButton="0" quotePrefix="0" xfId="0">
      <alignment vertical="center" justifyLastLine="1"/>
    </xf>
    <xf numFmtId="180" fontId="49" fillId="5" borderId="2" applyAlignment="1" pivotButton="0" quotePrefix="0" xfId="0">
      <alignment horizontal="right" vertical="center" justifyLastLine="1"/>
    </xf>
    <xf numFmtId="180" fontId="49" fillId="6" borderId="2" applyAlignment="1" pivotButton="0" quotePrefix="0" xfId="0">
      <alignment horizontal="right" vertical="center" justifyLastLine="1"/>
    </xf>
    <xf numFmtId="165" fontId="49" fillId="5" borderId="2" applyAlignment="1" pivotButton="0" quotePrefix="0" xfId="3">
      <alignment horizontal="right" vertical="center"/>
    </xf>
    <xf numFmtId="169" fontId="48" fillId="6" borderId="2" applyAlignment="1" pivotButton="0" quotePrefix="0" xfId="3">
      <alignment vertical="center" justifyLastLine="1"/>
    </xf>
    <xf numFmtId="169" fontId="48" fillId="5" borderId="2" applyAlignment="1" pivotButton="0" quotePrefix="0" xfId="3">
      <alignment horizontal="right" vertical="center" justifyLastLine="1"/>
    </xf>
    <xf numFmtId="169" fontId="48" fillId="6" borderId="2" applyAlignment="1" pivotButton="0" quotePrefix="0" xfId="3">
      <alignment horizontal="right" vertical="center" justifyLastLine="1"/>
    </xf>
    <xf numFmtId="165" fontId="41" fillId="5" borderId="2" applyAlignment="1" pivotButton="0" quotePrefix="0" xfId="3">
      <alignment horizontal="right" vertical="center" wrapText="1"/>
    </xf>
    <xf numFmtId="169" fontId="49" fillId="6" borderId="40" applyAlignment="1" pivotButton="0" quotePrefix="0" xfId="3">
      <alignment vertical="center" wrapText="1" justifyLastLine="1"/>
    </xf>
    <xf numFmtId="169" fontId="49" fillId="5" borderId="40" applyAlignment="1" pivotButton="0" quotePrefix="0" xfId="3">
      <alignment horizontal="right" vertical="center" wrapText="1" justifyLastLine="1"/>
    </xf>
    <xf numFmtId="169" fontId="49" fillId="5" borderId="2" applyAlignment="1" pivotButton="0" quotePrefix="0" xfId="3">
      <alignment horizontal="right" vertical="center" wrapText="1" justifyLastLine="1"/>
    </xf>
    <xf numFmtId="169" fontId="49" fillId="6" borderId="40" applyAlignment="1" pivotButton="0" quotePrefix="0" xfId="3">
      <alignment horizontal="right" vertical="center" wrapText="1" justifyLastLine="1"/>
    </xf>
    <xf numFmtId="170" fontId="50" fillId="3" borderId="34" applyAlignment="1" pivotButton="0" quotePrefix="0" xfId="3">
      <alignment horizontal="right" vertical="center"/>
    </xf>
    <xf numFmtId="170" fontId="44" fillId="3" borderId="6" applyAlignment="1" pivotButton="0" quotePrefix="0" xfId="3">
      <alignment horizontal="right" vertical="center"/>
    </xf>
    <xf numFmtId="170" fontId="44" fillId="3" borderId="11" applyAlignment="1" pivotButton="0" quotePrefix="0" xfId="3">
      <alignment horizontal="right" vertical="center"/>
    </xf>
    <xf numFmtId="186" fontId="44" fillId="5" borderId="37" applyAlignment="1" pivotButton="0" quotePrefix="0" xfId="4">
      <alignment horizontal="right" vertical="center"/>
    </xf>
    <xf numFmtId="186" fontId="44" fillId="5" borderId="2" applyAlignment="1" pivotButton="0" quotePrefix="0" xfId="4">
      <alignment horizontal="right" vertical="center"/>
    </xf>
    <xf numFmtId="186" fontId="51" fillId="6" borderId="6" applyAlignment="1" pivotButton="0" quotePrefix="0" xfId="4">
      <alignment horizontal="right" vertical="center"/>
    </xf>
    <xf numFmtId="170" fontId="52" fillId="5" borderId="14" applyAlignment="1" pivotButton="0" quotePrefix="0" xfId="3">
      <alignment horizontal="right" vertical="center"/>
    </xf>
    <xf numFmtId="170" fontId="52" fillId="5" borderId="2" applyAlignment="1" pivotButton="0" quotePrefix="0" xfId="3">
      <alignment horizontal="right" vertical="center"/>
    </xf>
    <xf numFmtId="170" fontId="52" fillId="6" borderId="0" applyAlignment="1" pivotButton="0" quotePrefix="0" xfId="3">
      <alignment horizontal="right" vertical="center"/>
    </xf>
    <xf numFmtId="186" fontId="44" fillId="5" borderId="14" applyAlignment="1" pivotButton="0" quotePrefix="0" xfId="4">
      <alignment horizontal="right" vertical="center"/>
    </xf>
    <xf numFmtId="186" fontId="44" fillId="6" borderId="0" applyAlignment="1" pivotButton="0" quotePrefix="0" xfId="4">
      <alignment horizontal="right" vertical="center"/>
    </xf>
    <xf numFmtId="170" fontId="44" fillId="5" borderId="14" applyAlignment="1" pivotButton="0" quotePrefix="0" xfId="3">
      <alignment horizontal="right" vertical="center"/>
    </xf>
    <xf numFmtId="170" fontId="44" fillId="5" borderId="2" applyAlignment="1" pivotButton="0" quotePrefix="0" xfId="3">
      <alignment horizontal="right" vertical="center"/>
    </xf>
    <xf numFmtId="170" fontId="44" fillId="6" borderId="0" applyAlignment="1" pivotButton="0" quotePrefix="0" xfId="3">
      <alignment horizontal="right" vertical="center"/>
    </xf>
    <xf numFmtId="180" fontId="48" fillId="6" borderId="2" applyAlignment="1" pivotButton="0" quotePrefix="0" xfId="0">
      <alignment horizontal="right" vertical="center"/>
    </xf>
    <xf numFmtId="180" fontId="48" fillId="6" borderId="0" applyAlignment="1" pivotButton="0" quotePrefix="0" xfId="0">
      <alignment horizontal="right" vertical="center"/>
    </xf>
    <xf numFmtId="170" fontId="52" fillId="6" borderId="14" applyAlignment="1" pivotButton="0" quotePrefix="0" xfId="3">
      <alignment horizontal="right" vertical="center"/>
    </xf>
    <xf numFmtId="170" fontId="52" fillId="6" borderId="2" applyAlignment="1" pivotButton="0" quotePrefix="0" xfId="3">
      <alignment horizontal="right" vertical="center"/>
    </xf>
    <xf numFmtId="170" fontId="44" fillId="3" borderId="38" applyAlignment="1" pivotButton="0" quotePrefix="0" xfId="0">
      <alignment horizontal="right" vertical="center"/>
    </xf>
    <xf numFmtId="170" fontId="44" fillId="3" borderId="9" applyAlignment="1" pivotButton="0" quotePrefix="0" xfId="0">
      <alignment horizontal="right" vertical="center"/>
    </xf>
    <xf numFmtId="170" fontId="44" fillId="3" borderId="24" applyAlignment="1" pivotButton="0" quotePrefix="0" xfId="0">
      <alignment horizontal="right" vertical="center"/>
    </xf>
    <xf numFmtId="186" fontId="43" fillId="5" borderId="14" applyAlignment="1" pivotButton="0" quotePrefix="0" xfId="4">
      <alignment horizontal="right" vertical="center"/>
    </xf>
    <xf numFmtId="186" fontId="43" fillId="5" borderId="2" applyAlignment="1" pivotButton="0" quotePrefix="0" xfId="4">
      <alignment horizontal="right" vertical="center"/>
    </xf>
    <xf numFmtId="186" fontId="43" fillId="3" borderId="0" applyAlignment="1" pivotButton="0" quotePrefix="0" xfId="4">
      <alignment horizontal="right" vertical="center"/>
    </xf>
    <xf numFmtId="186" fontId="43" fillId="6" borderId="0" applyAlignment="1" pivotButton="0" quotePrefix="0" xfId="4">
      <alignment horizontal="right" vertical="center"/>
    </xf>
    <xf numFmtId="186" fontId="53" fillId="5" borderId="14" applyAlignment="1" pivotButton="0" quotePrefix="0" xfId="4">
      <alignment horizontal="right" vertical="center"/>
    </xf>
    <xf numFmtId="186" fontId="53" fillId="5" borderId="2" applyAlignment="1" pivotButton="0" quotePrefix="0" xfId="4">
      <alignment horizontal="right" vertical="center"/>
    </xf>
    <xf numFmtId="186" fontId="53" fillId="6" borderId="0" applyAlignment="1" pivotButton="0" quotePrefix="0" xfId="4">
      <alignment horizontal="right" vertical="center"/>
    </xf>
    <xf numFmtId="186" fontId="52" fillId="5" borderId="14" applyAlignment="1" pivotButton="0" quotePrefix="0" xfId="4">
      <alignment horizontal="right" vertical="center"/>
    </xf>
    <xf numFmtId="186" fontId="52" fillId="5" borderId="2" applyAlignment="1" pivotButton="0" quotePrefix="0" xfId="4">
      <alignment horizontal="right" vertical="center"/>
    </xf>
    <xf numFmtId="186" fontId="52" fillId="3" borderId="0" applyAlignment="1" pivotButton="0" quotePrefix="0" xfId="4">
      <alignment horizontal="right" vertical="center"/>
    </xf>
    <xf numFmtId="186" fontId="53" fillId="6" borderId="14" applyAlignment="1" pivotButton="0" quotePrefix="0" xfId="4">
      <alignment horizontal="right" vertical="center"/>
    </xf>
    <xf numFmtId="186" fontId="53" fillId="6" borderId="2" applyAlignment="1" pivotButton="0" quotePrefix="0" xfId="4">
      <alignment horizontal="right" vertical="center"/>
    </xf>
    <xf numFmtId="186" fontId="50" fillId="3" borderId="37" applyAlignment="1" pivotButton="0" quotePrefix="0" xfId="3">
      <alignment horizontal="right" vertical="center"/>
    </xf>
    <xf numFmtId="186" fontId="50" fillId="3" borderId="36" applyAlignment="1" pivotButton="0" quotePrefix="0" xfId="3">
      <alignment horizontal="right" vertical="center"/>
    </xf>
    <xf numFmtId="186" fontId="50" fillId="3" borderId="17" applyAlignment="1" pivotButton="0" quotePrefix="0" xfId="3">
      <alignment horizontal="right" vertical="center"/>
    </xf>
    <xf numFmtId="186" fontId="50" fillId="3" borderId="11" applyAlignment="1" pivotButton="0" quotePrefix="0" xfId="3">
      <alignment horizontal="right" vertical="center"/>
    </xf>
    <xf numFmtId="186" fontId="50" fillId="3" borderId="24" applyAlignment="1" pivotButton="0" quotePrefix="0" xfId="3">
      <alignment vertical="center"/>
    </xf>
    <xf numFmtId="170" fontId="50" fillId="8" borderId="38" applyAlignment="1" pivotButton="0" quotePrefix="0" xfId="3">
      <alignment horizontal="right" vertical="center"/>
    </xf>
    <xf numFmtId="170" fontId="50" fillId="8" borderId="17" applyAlignment="1" pivotButton="0" quotePrefix="0" xfId="3">
      <alignment horizontal="right" vertical="center"/>
    </xf>
    <xf numFmtId="170" fontId="50" fillId="8" borderId="9" applyAlignment="1" pivotButton="0" quotePrefix="0" xfId="3">
      <alignment horizontal="right" vertical="center"/>
    </xf>
    <xf numFmtId="170" fontId="50" fillId="8" borderId="24" applyAlignment="1" pivotButton="0" quotePrefix="0" xfId="3">
      <alignment vertical="center"/>
    </xf>
    <xf numFmtId="170" fontId="0" fillId="5" borderId="0" pivotButton="0" quotePrefix="0" xfId="0"/>
    <xf numFmtId="194" fontId="32" fillId="6" borderId="1" pivotButton="0" quotePrefix="0" xfId="0"/>
    <xf numFmtId="165" fontId="47" fillId="22" borderId="0" pivotButton="0" quotePrefix="0" xfId="0"/>
    <xf numFmtId="165" fontId="47" fillId="22" borderId="1" pivotButton="0" quotePrefix="0" xfId="0"/>
    <xf numFmtId="165" fontId="50" fillId="22" borderId="1" applyAlignment="1" pivotButton="0" quotePrefix="0" xfId="0">
      <alignment horizontal="right"/>
    </xf>
    <xf numFmtId="165" fontId="50" fillId="6" borderId="11" pivotButton="0" quotePrefix="0" xfId="0"/>
    <xf numFmtId="174" fontId="5" fillId="3" borderId="11" applyAlignment="1" applyProtection="1" pivotButton="0" quotePrefix="0" xfId="0">
      <alignment horizontal="left"/>
      <protection locked="0" hidden="0"/>
    </xf>
    <xf numFmtId="165" fontId="34" fillId="3" borderId="11" pivotButton="0" quotePrefix="0" xfId="0"/>
    <xf numFmtId="170" fontId="34" fillId="3" borderId="1" pivotButton="0" quotePrefix="0" xfId="0"/>
    <xf numFmtId="167" fontId="81" fillId="5" borderId="0" applyAlignment="1" pivotButton="0" quotePrefix="0" xfId="0">
      <alignment horizontal="center"/>
    </xf>
    <xf numFmtId="198" fontId="81" fillId="5" borderId="0" applyAlignment="1" pivotButton="0" quotePrefix="0" xfId="0">
      <alignment horizontal="center"/>
    </xf>
    <xf numFmtId="198" fontId="0" fillId="10" borderId="0" pivotButton="0" quotePrefix="0" xfId="0"/>
    <xf numFmtId="198" fontId="0" fillId="5" borderId="0" applyAlignment="1" pivotButton="0" quotePrefix="0" xfId="0">
      <alignment horizontal="center"/>
    </xf>
    <xf numFmtId="167" fontId="0" fillId="5" borderId="0" applyAlignment="1" pivotButton="0" quotePrefix="0" xfId="0">
      <alignment horizontal="center"/>
    </xf>
    <xf numFmtId="171" fontId="0" fillId="5" borderId="0" applyAlignment="1" pivotButton="0" quotePrefix="0" xfId="0">
      <alignment horizontal="center"/>
    </xf>
    <xf numFmtId="199" fontId="0" fillId="5" borderId="0" applyAlignment="1" pivotButton="0" quotePrefix="0" xfId="0">
      <alignment horizontal="center"/>
    </xf>
    <xf numFmtId="198" fontId="0" fillId="0" borderId="0" pivotButton="0" quotePrefix="0" xfId="0"/>
    <xf numFmtId="165" fontId="32" fillId="0" borderId="0" pivotButton="0" quotePrefix="0" xfId="0"/>
    <xf numFmtId="165" fontId="19" fillId="6" borderId="1" applyAlignment="1" pivotButton="0" quotePrefix="0" xfId="0">
      <alignment horizontal="center"/>
    </xf>
    <xf numFmtId="165" fontId="17" fillId="6" borderId="0" applyAlignment="1" pivotButton="0" quotePrefix="0" xfId="0">
      <alignment vertical="center"/>
    </xf>
    <xf numFmtId="167" fontId="17" fillId="10" borderId="0" applyAlignment="1" pivotButton="0" quotePrefix="0" xfId="0">
      <alignment vertical="center"/>
    </xf>
    <xf numFmtId="170" fontId="17" fillId="6" borderId="0" applyAlignment="1" pivotButton="0" quotePrefix="0" xfId="0">
      <alignment vertical="center"/>
    </xf>
    <xf numFmtId="167" fontId="4" fillId="10" borderId="0" applyAlignment="1" pivotButton="0" quotePrefix="0" xfId="0">
      <alignment vertical="center"/>
    </xf>
    <xf numFmtId="170" fontId="4" fillId="6" borderId="0" applyAlignment="1" pivotButton="0" quotePrefix="0" xfId="0">
      <alignment vertical="center"/>
    </xf>
    <xf numFmtId="165" fontId="4" fillId="6" borderId="0" applyAlignment="1" pivotButton="0" quotePrefix="0" xfId="0">
      <alignment vertical="center"/>
    </xf>
    <xf numFmtId="170" fontId="4" fillId="5" borderId="0" applyAlignment="1" pivotButton="0" quotePrefix="0" xfId="0">
      <alignment vertical="center"/>
    </xf>
    <xf numFmtId="165" fontId="4" fillId="6" borderId="11" applyAlignment="1" pivotButton="0" quotePrefix="0" xfId="0">
      <alignment vertical="center"/>
    </xf>
    <xf numFmtId="198" fontId="4" fillId="10" borderId="0" applyAlignment="1" pivotButton="0" quotePrefix="0" xfId="2">
      <alignment vertical="center"/>
    </xf>
    <xf numFmtId="182" fontId="4" fillId="6" borderId="0" applyAlignment="1" pivotButton="0" quotePrefix="0" xfId="2">
      <alignment vertical="center"/>
    </xf>
    <xf numFmtId="198" fontId="4" fillId="10" borderId="1" applyAlignment="1" pivotButton="0" quotePrefix="0" xfId="2">
      <alignment vertical="center"/>
    </xf>
    <xf numFmtId="183" fontId="4" fillId="6" borderId="11" applyAlignment="1" pivotButton="0" quotePrefix="0" xfId="2">
      <alignment vertical="center"/>
    </xf>
    <xf numFmtId="183" fontId="4" fillId="6" borderId="0" applyAlignment="1" pivotButton="0" quotePrefix="0" xfId="2">
      <alignment vertical="center"/>
    </xf>
    <xf numFmtId="183" fontId="4" fillId="6" borderId="1" applyAlignment="1" pivotButton="0" quotePrefix="0" xfId="2">
      <alignment vertical="center"/>
    </xf>
    <xf numFmtId="165" fontId="4" fillId="6" borderId="1" applyAlignment="1" pivotButton="0" quotePrefix="0" xfId="3">
      <alignment vertical="center"/>
    </xf>
    <xf numFmtId="165" fontId="17" fillId="6" borderId="1" applyAlignment="1" pivotButton="0" quotePrefix="0" xfId="0">
      <alignment vertical="center"/>
    </xf>
    <xf numFmtId="170" fontId="23" fillId="0" borderId="0" applyAlignment="1" pivotButton="0" quotePrefix="0" xfId="0">
      <alignment vertical="center"/>
    </xf>
    <xf numFmtId="171" fontId="4" fillId="10" borderId="0" applyAlignment="1" pivotButton="0" quotePrefix="0" xfId="0">
      <alignment vertical="center"/>
    </xf>
    <xf numFmtId="170" fontId="4" fillId="6" borderId="0" applyAlignment="1" pivotButton="0" quotePrefix="0" xfId="0">
      <alignment horizontal="center" vertical="center"/>
    </xf>
    <xf numFmtId="165" fontId="19" fillId="6" borderId="0" applyAlignment="1" pivotButton="0" quotePrefix="0" xfId="0">
      <alignment vertical="center"/>
    </xf>
    <xf numFmtId="165" fontId="19" fillId="6" borderId="1" applyAlignment="1" pivotButton="0" quotePrefix="0" xfId="0">
      <alignment vertical="center"/>
    </xf>
    <xf numFmtId="166" fontId="23" fillId="0" borderId="0" applyAlignment="1" pivotButton="0" quotePrefix="0" xfId="3">
      <alignment vertical="center"/>
    </xf>
    <xf numFmtId="199" fontId="4" fillId="10" borderId="0" applyAlignment="1" pivotButton="0" quotePrefix="0" xfId="0">
      <alignment vertical="center"/>
    </xf>
    <xf numFmtId="184" fontId="4" fillId="6" borderId="0" applyAlignment="1" pivotButton="0" quotePrefix="0" xfId="0">
      <alignment vertical="center"/>
    </xf>
    <xf numFmtId="184" fontId="4" fillId="6" borderId="1" applyAlignment="1" pivotButton="0" quotePrefix="0" xfId="0">
      <alignment vertical="center"/>
    </xf>
    <xf numFmtId="171" fontId="4" fillId="6" borderId="0" applyAlignment="1" pivotButton="0" quotePrefix="0" xfId="0">
      <alignment vertical="center"/>
    </xf>
    <xf numFmtId="171" fontId="4" fillId="10" borderId="1" applyAlignment="1" pivotButton="0" quotePrefix="0" xfId="0">
      <alignment vertical="center"/>
    </xf>
    <xf numFmtId="165" fontId="4" fillId="6" borderId="1" applyAlignment="1" pivotButton="0" quotePrefix="0" xfId="0">
      <alignment vertical="center"/>
    </xf>
    <xf numFmtId="171" fontId="4" fillId="6" borderId="0" applyAlignment="1" pivotButton="0" quotePrefix="0" xfId="4">
      <alignment vertical="center"/>
    </xf>
    <xf numFmtId="165" fontId="7" fillId="6" borderId="1" applyAlignment="1" pivotButton="0" quotePrefix="0" xfId="0">
      <alignment vertical="center"/>
    </xf>
    <xf numFmtId="165" fontId="7" fillId="6" borderId="0" applyAlignment="1" pivotButton="0" quotePrefix="0" xfId="0">
      <alignment vertical="center"/>
    </xf>
    <xf numFmtId="174" fontId="7" fillId="6" borderId="0" applyAlignment="1" applyProtection="1" pivotButton="0" quotePrefix="0" xfId="0">
      <alignment horizontal="left"/>
      <protection locked="0" hidden="0"/>
    </xf>
    <xf numFmtId="165" fontId="19" fillId="6" borderId="0" pivotButton="0" quotePrefix="0" xfId="0"/>
    <xf numFmtId="170" fontId="17" fillId="6" borderId="0" applyAlignment="1" pivotButton="0" quotePrefix="0" xfId="3">
      <alignment vertical="center"/>
    </xf>
    <xf numFmtId="166" fontId="17" fillId="6" borderId="0" applyAlignment="1" pivotButton="0" quotePrefix="0" xfId="3">
      <alignment vertical="center"/>
    </xf>
    <xf numFmtId="165" fontId="19" fillId="5" borderId="11" applyAlignment="1" pivotButton="0" quotePrefix="0" xfId="0">
      <alignment horizontal="center"/>
    </xf>
    <xf numFmtId="165" fontId="17" fillId="5" borderId="0" applyAlignment="1" pivotButton="0" quotePrefix="0" xfId="0">
      <alignment horizontal="center"/>
    </xf>
    <xf numFmtId="165" fontId="17" fillId="5" borderId="0" applyAlignment="1" pivotButton="0" quotePrefix="0" xfId="0">
      <alignment vertical="center"/>
    </xf>
    <xf numFmtId="165" fontId="4" fillId="5" borderId="1" pivotButton="0" quotePrefix="0" xfId="0"/>
    <xf numFmtId="169" fontId="32" fillId="0" borderId="0" pivotButton="0" quotePrefix="0" xfId="0"/>
    <xf numFmtId="165" fontId="4" fillId="6" borderId="0" pivotButton="0" quotePrefix="0" xfId="0"/>
    <xf numFmtId="169" fontId="4" fillId="0" borderId="0" pivotButton="0" quotePrefix="0" xfId="0"/>
    <xf numFmtId="167" fontId="4" fillId="0" borderId="0" pivotButton="0" quotePrefix="0" xfId="0"/>
    <xf numFmtId="165" fontId="32" fillId="6" borderId="0" pivotButton="0" quotePrefix="0" xfId="0"/>
    <xf numFmtId="165" fontId="32" fillId="6" borderId="0" applyAlignment="1" pivotButton="0" quotePrefix="0" xfId="0">
      <alignment vertical="center"/>
    </xf>
    <xf numFmtId="169" fontId="7" fillId="0" borderId="0" pivotButton="0" quotePrefix="0" xfId="0"/>
    <xf numFmtId="167" fontId="7" fillId="0" borderId="0" pivotButton="0" quotePrefix="0" xfId="0"/>
    <xf numFmtId="164" fontId="23" fillId="0" borderId="0" applyAlignment="1" pivotButton="0" quotePrefix="0" xfId="0">
      <alignment horizontal="center"/>
    </xf>
    <xf numFmtId="182" fontId="4" fillId="6" borderId="1" applyAlignment="1" pivotButton="0" quotePrefix="0" xfId="2">
      <alignment vertical="center"/>
    </xf>
    <xf numFmtId="171" fontId="4" fillId="6" borderId="1" applyAlignment="1" pivotButton="0" quotePrefix="0" xfId="0">
      <alignment vertical="center"/>
    </xf>
    <xf numFmtId="165" fontId="7" fillId="6" borderId="9" applyAlignment="1" pivotButton="0" quotePrefix="0" xfId="0">
      <alignment vertical="center"/>
    </xf>
    <xf numFmtId="169" fontId="23" fillId="0" borderId="0" applyAlignment="1" pivotButton="0" quotePrefix="0" xfId="0">
      <alignment vertical="center"/>
    </xf>
    <xf numFmtId="170" fontId="32" fillId="6" borderId="0" pivotButton="0" quotePrefix="0" xfId="0"/>
    <xf numFmtId="165" fontId="7" fillId="6" borderId="0" pivotButton="0" quotePrefix="0" xfId="0"/>
    <xf numFmtId="166" fontId="17" fillId="6" borderId="1" applyAlignment="1" pivotButton="0" quotePrefix="0" xfId="3">
      <alignment vertical="center"/>
    </xf>
    <xf numFmtId="185" fontId="4" fillId="6" borderId="0" applyAlignment="1" pivotButton="0" quotePrefix="0" xfId="0">
      <alignment horizontal="left"/>
    </xf>
    <xf numFmtId="185" fontId="7" fillId="6" borderId="0" applyAlignment="1" pivotButton="0" quotePrefix="0" xfId="0">
      <alignment horizontal="left"/>
    </xf>
    <xf numFmtId="170" fontId="24" fillId="6" borderId="1" applyAlignment="1" pivotButton="0" quotePrefix="0" xfId="0">
      <alignment vertical="center"/>
    </xf>
    <xf numFmtId="165" fontId="17" fillId="6" borderId="1" applyAlignment="1" pivotButton="0" quotePrefix="0" xfId="0">
      <alignment horizontal="right" vertical="center"/>
    </xf>
    <xf numFmtId="165" fontId="17" fillId="6" borderId="11" applyAlignment="1" pivotButton="0" quotePrefix="0" xfId="3">
      <alignment horizontal="right" vertical="center"/>
    </xf>
    <xf numFmtId="165" fontId="17" fillId="6" borderId="1" applyAlignment="1" pivotButton="0" quotePrefix="0" xfId="3">
      <alignment horizontal="right" vertical="center"/>
    </xf>
    <xf numFmtId="170" fontId="24" fillId="6" borderId="9" applyAlignment="1" pivotButton="0" quotePrefix="0" xfId="0">
      <alignment vertical="center"/>
    </xf>
    <xf numFmtId="165" fontId="4" fillId="6" borderId="9" applyAlignment="1" pivotButton="0" quotePrefix="0" xfId="0">
      <alignment vertical="center"/>
    </xf>
    <xf numFmtId="165" fontId="24" fillId="6" borderId="11" applyAlignment="1" pivotButton="0" quotePrefix="0" xfId="0">
      <alignment vertical="center"/>
    </xf>
    <xf numFmtId="165" fontId="38" fillId="6" borderId="11" applyAlignment="1" pivotButton="0" quotePrefix="0" xfId="0">
      <alignment horizontal="right" vertical="center"/>
    </xf>
    <xf numFmtId="165" fontId="24" fillId="6" borderId="0" applyAlignment="1" pivotButton="0" quotePrefix="0" xfId="0">
      <alignment vertical="center"/>
    </xf>
    <xf numFmtId="165" fontId="38" fillId="6" borderId="0" applyAlignment="1" pivotButton="0" quotePrefix="0" xfId="0">
      <alignment horizontal="right" vertical="center"/>
    </xf>
    <xf numFmtId="165" fontId="24" fillId="6" borderId="1" applyAlignment="1" pivotButton="0" quotePrefix="0" xfId="0">
      <alignment vertical="center"/>
    </xf>
    <xf numFmtId="165" fontId="38" fillId="6" borderId="1" applyAlignment="1" pivotButton="0" quotePrefix="0" xfId="0">
      <alignment horizontal="right" vertical="center"/>
    </xf>
    <xf numFmtId="165" fontId="17" fillId="6" borderId="9" applyAlignment="1" pivotButton="0" quotePrefix="0" xfId="3">
      <alignment horizontal="right" vertical="center"/>
    </xf>
    <xf numFmtId="165" fontId="17" fillId="6" borderId="11" applyAlignment="1" pivotButton="0" quotePrefix="0" xfId="0">
      <alignment vertical="center"/>
    </xf>
    <xf numFmtId="168" fontId="32" fillId="6" borderId="0" pivotButton="0" quotePrefix="0" xfId="2"/>
    <xf numFmtId="185" fontId="24" fillId="6" borderId="1" applyAlignment="1" pivotButton="0" quotePrefix="0" xfId="0">
      <alignment horizontal="left"/>
    </xf>
    <xf numFmtId="169" fontId="4" fillId="6" borderId="0" pivotButton="0" quotePrefix="0" xfId="0"/>
    <xf numFmtId="167" fontId="4" fillId="6" borderId="0" pivotButton="0" quotePrefix="0" xfId="0"/>
    <xf numFmtId="169" fontId="7" fillId="3" borderId="0" pivotButton="0" quotePrefix="0" xfId="0"/>
    <xf numFmtId="167" fontId="7" fillId="3" borderId="0" pivotButton="0" quotePrefix="0" xfId="0"/>
    <xf numFmtId="164" fontId="23" fillId="6" borderId="1" applyAlignment="1" pivotButton="0" quotePrefix="0" xfId="0">
      <alignment horizontal="center"/>
    </xf>
    <xf numFmtId="188" fontId="1" fillId="6" borderId="0" pivotButton="0" quotePrefix="0" xfId="8"/>
    <xf numFmtId="188" fontId="1" fillId="6" borderId="0" applyAlignment="1" pivotButton="0" quotePrefix="0" xfId="8">
      <alignment wrapText="1"/>
    </xf>
    <xf numFmtId="188" fontId="44" fillId="6" borderId="1" applyAlignment="1" pivotButton="0" quotePrefix="0" xfId="8">
      <alignment horizontal="center" wrapText="1"/>
    </xf>
    <xf numFmtId="188" fontId="44" fillId="5" borderId="9" applyAlignment="1" pivotButton="0" quotePrefix="0" xfId="8">
      <alignment horizontal="right" vertical="center"/>
    </xf>
    <xf numFmtId="189" fontId="44" fillId="5" borderId="9" applyAlignment="1" pivotButton="0" quotePrefix="0" xfId="8">
      <alignment horizontal="right" vertical="center" wrapText="1"/>
    </xf>
    <xf numFmtId="193" fontId="1" fillId="6" borderId="0" pivotButton="0" quotePrefix="0" xfId="9"/>
    <xf numFmtId="188" fontId="1" fillId="6" borderId="0" pivotButton="0" quotePrefix="0" xfId="9"/>
    <xf numFmtId="167" fontId="1" fillId="6" borderId="0" pivotButton="0" quotePrefix="0" xfId="9"/>
    <xf numFmtId="167" fontId="1" fillId="6" borderId="0" applyAlignment="1" pivotButton="0" quotePrefix="0" xfId="8">
      <alignment horizontal="right" vertical="center"/>
    </xf>
    <xf numFmtId="188" fontId="1" fillId="6" borderId="1" pivotButton="0" quotePrefix="0" xfId="9"/>
    <xf numFmtId="167" fontId="1" fillId="6" borderId="1" pivotButton="0" quotePrefix="0" xfId="9"/>
    <xf numFmtId="189" fontId="5" fillId="6" borderId="0" applyAlignment="1" pivotButton="0" quotePrefix="0" xfId="8">
      <alignment wrapText="1"/>
    </xf>
    <xf numFmtId="167" fontId="5" fillId="6" borderId="0" applyAlignment="1" pivotButton="0" quotePrefix="0" xfId="8">
      <alignment horizontal="right"/>
    </xf>
    <xf numFmtId="188" fontId="1" fillId="6" borderId="1" pivotButton="0" quotePrefix="0" xfId="8"/>
    <xf numFmtId="189" fontId="5" fillId="6" borderId="1" applyAlignment="1" pivotButton="0" quotePrefix="0" xfId="8">
      <alignment wrapText="1"/>
    </xf>
    <xf numFmtId="167" fontId="5" fillId="6" borderId="1" applyAlignment="1" pivotButton="0" quotePrefix="0" xfId="8">
      <alignment horizontal="right"/>
    </xf>
    <xf numFmtId="180" fontId="49" fillId="6" borderId="0" applyAlignment="1" pivotButton="0" quotePrefix="0" xfId="0">
      <alignment horizontal="right" vertical="top" justifyLastLine="1"/>
    </xf>
    <xf numFmtId="180" fontId="49" fillId="6" borderId="2" applyAlignment="1" pivotButton="0" quotePrefix="0" xfId="0">
      <alignment horizontal="right" vertical="top" justifyLastLine="1"/>
    </xf>
    <xf numFmtId="180" fontId="49" fillId="6" borderId="15" applyAlignment="1" pivotButton="0" quotePrefix="0" xfId="0">
      <alignment horizontal="right" vertical="top" justifyLastLine="1"/>
    </xf>
    <xf numFmtId="169" fontId="49" fillId="6" borderId="15" applyAlignment="1" pivotButton="0" quotePrefix="0" xfId="0">
      <alignment horizontal="right" vertical="top"/>
    </xf>
    <xf numFmtId="169" fontId="48" fillId="6" borderId="0" applyAlignment="1" pivotButton="0" quotePrefix="0" xfId="3">
      <alignment horizontal="right" vertical="top" justifyLastLine="1"/>
    </xf>
    <xf numFmtId="169" fontId="48" fillId="6" borderId="2" applyAlignment="1" pivotButton="0" quotePrefix="0" xfId="3">
      <alignment horizontal="right" vertical="top" justifyLastLine="1"/>
    </xf>
    <xf numFmtId="169" fontId="48" fillId="6" borderId="15" applyAlignment="1" pivotButton="0" quotePrefix="0" xfId="3">
      <alignment horizontal="right" vertical="top" justifyLastLine="1"/>
    </xf>
    <xf numFmtId="165" fontId="41" fillId="6" borderId="15" applyAlignment="1" pivotButton="0" quotePrefix="0" xfId="3">
      <alignment horizontal="right" vertical="top" wrapText="1"/>
    </xf>
    <xf numFmtId="169" fontId="49" fillId="6" borderId="41" applyAlignment="1" pivotButton="0" quotePrefix="0" xfId="3">
      <alignment horizontal="right" vertical="top" wrapText="1" justifyLastLine="1"/>
    </xf>
    <xf numFmtId="169" fontId="49" fillId="6" borderId="7" applyAlignment="1" pivotButton="0" quotePrefix="0" xfId="3">
      <alignment horizontal="right" vertical="top" wrapText="1" justifyLastLine="1"/>
    </xf>
    <xf numFmtId="170" fontId="50" fillId="3" borderId="65" applyAlignment="1" pivotButton="0" quotePrefix="0" xfId="3">
      <alignment horizontal="right" vertical="top"/>
    </xf>
    <xf numFmtId="170" fontId="44" fillId="3" borderId="37" applyAlignment="1" pivotButton="0" quotePrefix="0" xfId="3">
      <alignment horizontal="right" vertical="top"/>
    </xf>
    <xf numFmtId="170" fontId="44" fillId="3" borderId="6" applyAlignment="1" pivotButton="0" quotePrefix="0" xfId="3">
      <alignment horizontal="right" vertical="top"/>
    </xf>
    <xf numFmtId="190" fontId="48" fillId="6" borderId="37" applyAlignment="1" pivotButton="0" quotePrefix="0" xfId="4">
      <alignment horizontal="right" vertical="top"/>
    </xf>
    <xf numFmtId="186" fontId="51" fillId="6" borderId="6" applyAlignment="1" pivotButton="0" quotePrefix="0" xfId="4">
      <alignment horizontal="right" vertical="top"/>
    </xf>
    <xf numFmtId="190" fontId="41" fillId="6" borderId="14" applyAlignment="1" pivotButton="0" quotePrefix="0" xfId="4">
      <alignment horizontal="right" vertical="top"/>
    </xf>
    <xf numFmtId="186" fontId="43" fillId="6" borderId="0" applyAlignment="1" pivotButton="0" quotePrefix="0" xfId="4">
      <alignment horizontal="right" vertical="top"/>
    </xf>
    <xf numFmtId="190" fontId="52" fillId="6" borderId="14" applyAlignment="1" pivotButton="0" quotePrefix="0" xfId="3">
      <alignment horizontal="right" vertical="top"/>
    </xf>
    <xf numFmtId="170" fontId="52" fillId="6" borderId="0" applyAlignment="1" pivotButton="0" quotePrefix="0" xfId="3">
      <alignment horizontal="right" vertical="top"/>
    </xf>
    <xf numFmtId="190" fontId="52" fillId="3" borderId="38" applyAlignment="1" pivotButton="0" quotePrefix="0" xfId="0">
      <alignment horizontal="right" vertical="top" wrapText="1"/>
    </xf>
    <xf numFmtId="170" fontId="44" fillId="3" borderId="38" applyAlignment="1" pivotButton="0" quotePrefix="0" xfId="0">
      <alignment horizontal="right" vertical="top"/>
    </xf>
    <xf numFmtId="170" fontId="44" fillId="3" borderId="24" applyAlignment="1" pivotButton="0" quotePrefix="0" xfId="0">
      <alignment horizontal="right" vertical="top"/>
    </xf>
    <xf numFmtId="186" fontId="48" fillId="15" borderId="37" applyAlignment="1" pivotButton="0" quotePrefix="0" xfId="0">
      <alignment horizontal="right" vertical="top"/>
    </xf>
    <xf numFmtId="186" fontId="55" fillId="0" borderId="0" applyAlignment="1" pivotButton="0" quotePrefix="0" xfId="0">
      <alignment horizontal="right" vertical="top"/>
    </xf>
    <xf numFmtId="186" fontId="43" fillId="3" borderId="0" applyAlignment="1" pivotButton="0" quotePrefix="0" xfId="4">
      <alignment horizontal="right" vertical="top"/>
    </xf>
    <xf numFmtId="190" fontId="49" fillId="6" borderId="14" applyAlignment="1" pivotButton="0" quotePrefix="0" xfId="4">
      <alignment horizontal="right" vertical="top"/>
    </xf>
    <xf numFmtId="186" fontId="52" fillId="3" borderId="0" applyAlignment="1" pivotButton="0" quotePrefix="0" xfId="4">
      <alignment horizontal="right" vertical="top"/>
    </xf>
    <xf numFmtId="190" fontId="50" fillId="3" borderId="37" applyAlignment="1" pivotButton="0" quotePrefix="0" xfId="3">
      <alignment horizontal="right"/>
    </xf>
    <xf numFmtId="190" fontId="50" fillId="3" borderId="37" pivotButton="0" quotePrefix="0" xfId="3"/>
    <xf numFmtId="186" fontId="50" fillId="3" borderId="6" pivotButton="0" quotePrefix="0" xfId="3"/>
    <xf numFmtId="170" fontId="50" fillId="8" borderId="38" applyAlignment="1" pivotButton="0" quotePrefix="0" xfId="3">
      <alignment horizontal="right"/>
    </xf>
    <xf numFmtId="170" fontId="50" fillId="8" borderId="66" pivotButton="0" quotePrefix="0" xfId="3"/>
    <xf numFmtId="170" fontId="50" fillId="8" borderId="39" pivotButton="0" quotePrefix="0" xfId="3"/>
    <xf numFmtId="170" fontId="50" fillId="8" borderId="64" pivotButton="0" quotePrefix="0" xfId="3"/>
    <xf numFmtId="194" fontId="32" fillId="0" borderId="1" pivotButton="0" quotePrefix="0" xfId="0"/>
    <xf numFmtId="165" fontId="47" fillId="0" borderId="0" pivotButton="0" quotePrefix="0" xfId="0"/>
    <xf numFmtId="165" fontId="47" fillId="0" borderId="1" pivotButton="0" quotePrefix="0" xfId="0"/>
    <xf numFmtId="165" fontId="50" fillId="0" borderId="1" applyAlignment="1" pivotButton="0" quotePrefix="0" xfId="0">
      <alignment horizontal="right"/>
    </xf>
    <xf numFmtId="165" fontId="50" fillId="0" borderId="11" pivotButton="0" quotePrefix="0" xfId="0"/>
    <xf numFmtId="166" fontId="0" fillId="0" borderId="0" pivotButton="0" quotePrefix="0" xfId="0"/>
    <xf numFmtId="169" fontId="5" fillId="0" borderId="11" pivotButton="0" quotePrefix="0" xfId="0"/>
    <xf numFmtId="167" fontId="5" fillId="0" borderId="36" pivotButton="0" quotePrefix="0" xfId="0"/>
    <xf numFmtId="169" fontId="5" fillId="0" borderId="1" pivotButton="0" quotePrefix="0" xfId="0"/>
    <xf numFmtId="167" fontId="5" fillId="0" borderId="4" pivotButton="0" quotePrefix="0" xfId="0"/>
    <xf numFmtId="167" fontId="48" fillId="5" borderId="9" applyAlignment="1" pivotButton="0" quotePrefix="0" xfId="0">
      <alignment horizontal="center"/>
    </xf>
    <xf numFmtId="164" fontId="53" fillId="10" borderId="1" applyAlignment="1" pivotButton="0" quotePrefix="0" xfId="0">
      <alignment horizontal="center"/>
    </xf>
    <xf numFmtId="180" fontId="49" fillId="0" borderId="15" applyAlignment="1" pivotButton="0" quotePrefix="0" xfId="0">
      <alignment horizontal="right" vertical="center" justifyLastLine="1"/>
    </xf>
    <xf numFmtId="180" fontId="49" fillId="0" borderId="2" applyAlignment="1" pivotButton="0" quotePrefix="0" xfId="0">
      <alignment horizontal="right" vertical="center" justifyLastLine="1"/>
    </xf>
    <xf numFmtId="180" fontId="49" fillId="0" borderId="0" applyAlignment="1" pivotButton="0" quotePrefix="0" xfId="0">
      <alignment horizontal="right" vertical="center" justifyLastLine="1"/>
    </xf>
    <xf numFmtId="165" fontId="49" fillId="0" borderId="2" applyAlignment="1" pivotButton="0" quotePrefix="0" xfId="3">
      <alignment horizontal="right" vertical="center"/>
    </xf>
    <xf numFmtId="169" fontId="48" fillId="0" borderId="15" applyAlignment="1" pivotButton="0" quotePrefix="0" xfId="3">
      <alignment horizontal="right" vertical="center" justifyLastLine="1"/>
    </xf>
    <xf numFmtId="169" fontId="48" fillId="0" borderId="2" applyAlignment="1" pivotButton="0" quotePrefix="0" xfId="3">
      <alignment horizontal="right" vertical="center" justifyLastLine="1"/>
    </xf>
    <xf numFmtId="169" fontId="48" fillId="0" borderId="0" applyAlignment="1" pivotButton="0" quotePrefix="0" xfId="3">
      <alignment horizontal="right" vertical="center" justifyLastLine="1"/>
    </xf>
    <xf numFmtId="168" fontId="48" fillId="0" borderId="15" applyAlignment="1" pivotButton="0" quotePrefix="0" xfId="2">
      <alignment horizontal="right" vertical="center" justifyLastLine="1"/>
    </xf>
    <xf numFmtId="165" fontId="41" fillId="0" borderId="2" applyAlignment="1" pivotButton="0" quotePrefix="0" xfId="3">
      <alignment horizontal="right" vertical="center" wrapText="1"/>
    </xf>
    <xf numFmtId="169" fontId="49" fillId="6" borderId="75" applyAlignment="1" pivotButton="0" quotePrefix="0" xfId="3">
      <alignment horizontal="right" vertical="top" wrapText="1" justifyLastLine="1"/>
    </xf>
    <xf numFmtId="169" fontId="49" fillId="0" borderId="75" applyAlignment="1" pivotButton="0" quotePrefix="0" xfId="3">
      <alignment horizontal="right" vertical="center" wrapText="1" justifyLastLine="1"/>
    </xf>
    <xf numFmtId="169" fontId="49" fillId="0" borderId="40" applyAlignment="1" pivotButton="0" quotePrefix="0" xfId="3">
      <alignment horizontal="right" vertical="center" wrapText="1" justifyLastLine="1"/>
    </xf>
    <xf numFmtId="169" fontId="49" fillId="0" borderId="0" applyAlignment="1" pivotButton="0" quotePrefix="0" xfId="3">
      <alignment horizontal="right" vertical="center" wrapText="1" justifyLastLine="1"/>
    </xf>
    <xf numFmtId="170" fontId="44" fillId="3" borderId="9" applyAlignment="1" pivotButton="0" quotePrefix="0" xfId="3">
      <alignment horizontal="right" vertical="center"/>
    </xf>
    <xf numFmtId="170" fontId="44" fillId="3" borderId="37" applyAlignment="1" pivotButton="0" quotePrefix="0" xfId="3">
      <alignment horizontal="right" vertical="center"/>
    </xf>
    <xf numFmtId="170" fontId="44" fillId="3" borderId="0" applyAlignment="1" pivotButton="0" quotePrefix="0" xfId="3">
      <alignment horizontal="right" vertical="center"/>
    </xf>
    <xf numFmtId="186" fontId="44" fillId="0" borderId="6" applyAlignment="1" pivotButton="0" quotePrefix="0" xfId="4">
      <alignment horizontal="right" vertical="center"/>
    </xf>
    <xf numFmtId="186" fontId="44" fillId="0" borderId="0" applyAlignment="1" pivotButton="0" quotePrefix="0" xfId="4">
      <alignment horizontal="right" vertical="center"/>
    </xf>
    <xf numFmtId="186" fontId="44" fillId="0" borderId="37" applyAlignment="1" pivotButton="0" quotePrefix="0" xfId="4">
      <alignment horizontal="right" vertical="center"/>
    </xf>
    <xf numFmtId="186" fontId="51" fillId="0" borderId="0" applyAlignment="1" pivotButton="0" quotePrefix="0" xfId="4">
      <alignment horizontal="right" vertical="center"/>
    </xf>
    <xf numFmtId="170" fontId="44" fillId="0" borderId="0" applyAlignment="1" pivotButton="0" quotePrefix="0" xfId="3">
      <alignment horizontal="right" vertical="center"/>
    </xf>
    <xf numFmtId="170" fontId="52" fillId="0" borderId="0" applyAlignment="1" pivotButton="0" quotePrefix="0" xfId="3">
      <alignment horizontal="right" vertical="center"/>
    </xf>
    <xf numFmtId="170" fontId="52" fillId="0" borderId="14" applyAlignment="1" pivotButton="0" quotePrefix="0" xfId="3">
      <alignment horizontal="right" vertical="center"/>
    </xf>
    <xf numFmtId="186" fontId="43" fillId="0" borderId="0" applyAlignment="1" pivotButton="0" quotePrefix="0" xfId="4">
      <alignment horizontal="right" vertical="center"/>
    </xf>
    <xf numFmtId="186" fontId="44" fillId="0" borderId="14" applyAlignment="1" pivotButton="0" quotePrefix="0" xfId="4">
      <alignment horizontal="right" vertical="center"/>
    </xf>
    <xf numFmtId="170" fontId="44" fillId="0" borderId="14" applyAlignment="1" pivotButton="0" quotePrefix="0" xfId="3">
      <alignment horizontal="right" vertical="center"/>
    </xf>
    <xf numFmtId="180" fontId="48" fillId="0" borderId="2" applyAlignment="1" pivotButton="0" quotePrefix="0" xfId="0">
      <alignment horizontal="right" vertical="center"/>
    </xf>
    <xf numFmtId="180" fontId="53" fillId="0" borderId="0" applyAlignment="1" pivotButton="0" quotePrefix="0" xfId="0">
      <alignment horizontal="right" vertical="center"/>
    </xf>
    <xf numFmtId="170" fontId="44" fillId="3" borderId="0" applyAlignment="1" pivotButton="0" quotePrefix="0" xfId="0">
      <alignment horizontal="right" vertical="center"/>
    </xf>
    <xf numFmtId="186" fontId="55" fillId="0" borderId="0" applyAlignment="1" pivotButton="0" quotePrefix="0" xfId="0">
      <alignment horizontal="right" vertical="center"/>
    </xf>
    <xf numFmtId="186" fontId="55" fillId="0" borderId="14" applyAlignment="1" pivotButton="0" quotePrefix="0" xfId="0">
      <alignment horizontal="right" vertical="center"/>
    </xf>
    <xf numFmtId="186" fontId="43" fillId="3" borderId="14" applyAlignment="1" pivotButton="0" quotePrefix="0" xfId="4">
      <alignment horizontal="right" vertical="center"/>
    </xf>
    <xf numFmtId="186" fontId="43" fillId="0" borderId="14" applyAlignment="1" pivotButton="0" quotePrefix="0" xfId="4">
      <alignment horizontal="right" vertical="center"/>
    </xf>
    <xf numFmtId="186" fontId="53" fillId="0" borderId="0" applyAlignment="1" pivotButton="0" quotePrefix="0" xfId="4">
      <alignment horizontal="right" vertical="center"/>
    </xf>
    <xf numFmtId="186" fontId="53" fillId="0" borderId="14" applyAlignment="1" pivotButton="0" quotePrefix="0" xfId="4">
      <alignment horizontal="right" vertical="center"/>
    </xf>
    <xf numFmtId="168" fontId="56" fillId="0" borderId="2" applyAlignment="1" pivotButton="0" quotePrefix="0" xfId="2">
      <alignment horizontal="right" vertical="center"/>
    </xf>
    <xf numFmtId="168" fontId="56" fillId="0" borderId="0" applyAlignment="1" pivotButton="0" quotePrefix="0" xfId="2">
      <alignment horizontal="right" vertical="center"/>
    </xf>
    <xf numFmtId="186" fontId="52" fillId="3" borderId="14" applyAlignment="1" pivotButton="0" quotePrefix="0" xfId="4">
      <alignment horizontal="right" vertical="center"/>
    </xf>
    <xf numFmtId="186" fontId="53" fillId="0" borderId="1" applyAlignment="1" pivotButton="0" quotePrefix="0" xfId="4">
      <alignment horizontal="right" vertical="center"/>
    </xf>
    <xf numFmtId="186" fontId="50" fillId="3" borderId="6" applyAlignment="1" pivotButton="0" quotePrefix="0" xfId="3">
      <alignment vertical="center"/>
    </xf>
    <xf numFmtId="186" fontId="50" fillId="3" borderId="1" applyAlignment="1" pivotButton="0" quotePrefix="0" xfId="3">
      <alignment vertical="center"/>
    </xf>
    <xf numFmtId="186" fontId="50" fillId="3" borderId="38" applyAlignment="1" pivotButton="0" quotePrefix="0" xfId="3">
      <alignment vertical="center"/>
    </xf>
    <xf numFmtId="186" fontId="50" fillId="3" borderId="0" applyAlignment="1" pivotButton="0" quotePrefix="0" xfId="3">
      <alignment vertical="center"/>
    </xf>
    <xf numFmtId="170" fontId="50" fillId="8" borderId="1" applyAlignment="1" pivotButton="0" quotePrefix="0" xfId="3">
      <alignment vertical="center"/>
    </xf>
    <xf numFmtId="170" fontId="50" fillId="8" borderId="38" applyAlignment="1" pivotButton="0" quotePrefix="0" xfId="3">
      <alignment vertical="center"/>
    </xf>
    <xf numFmtId="170" fontId="50" fillId="8" borderId="0" applyAlignment="1" pivotButton="0" quotePrefix="0" xfId="3">
      <alignment vertical="center"/>
    </xf>
    <xf numFmtId="166" fontId="0" fillId="0" borderId="0" pivotButton="0" quotePrefix="0" xfId="3"/>
    <xf numFmtId="181" fontId="0" fillId="0" borderId="0" pivotButton="0" quotePrefix="0" xfId="3"/>
    <xf numFmtId="167" fontId="0" fillId="0" borderId="0" pivotButton="0" quotePrefix="0" xfId="4"/>
    <xf numFmtId="171" fontId="0" fillId="0" borderId="0" pivotButton="0" quotePrefix="0" xfId="4"/>
    <xf numFmtId="169" fontId="0" fillId="5" borderId="14" pivotButton="0" quotePrefix="0" xfId="0"/>
    <xf numFmtId="165" fontId="32" fillId="0" borderId="0" applyAlignment="1" pivotButton="0" quotePrefix="0" xfId="1">
      <alignment horizontal="left" vertical="top"/>
    </xf>
    <xf numFmtId="164" fontId="32" fillId="0" borderId="0" applyAlignment="1" pivotButton="0" quotePrefix="0" xfId="1">
      <alignment horizontal="left" vertical="top"/>
    </xf>
    <xf numFmtId="169" fontId="0" fillId="5" borderId="4" pivotButton="0" quotePrefix="0" xfId="0"/>
    <xf numFmtId="169" fontId="0" fillId="0" borderId="14" pivotButton="0" quotePrefix="0" xfId="3"/>
    <xf numFmtId="167" fontId="0" fillId="0" borderId="4" pivotButton="0" quotePrefix="0" xfId="3"/>
    <xf numFmtId="181" fontId="0" fillId="0" borderId="0" pivotButton="0" quotePrefix="0" xfId="0"/>
    <xf numFmtId="167" fontId="41" fillId="6" borderId="15" applyAlignment="1" pivotButton="0" quotePrefix="0" xfId="0">
      <alignment vertical="center" wrapText="1"/>
    </xf>
    <xf numFmtId="169" fontId="41" fillId="5" borderId="15" applyAlignment="1" pivotButton="0" quotePrefix="0" xfId="3">
      <alignment horizontal="center" vertical="center" wrapText="1"/>
    </xf>
    <xf numFmtId="167" fontId="41" fillId="5" borderId="15" applyAlignment="1" pivotButton="0" quotePrefix="0" xfId="3">
      <alignment horizontal="center" vertical="center" wrapText="1"/>
    </xf>
    <xf numFmtId="167" fontId="41" fillId="0" borderId="15" applyAlignment="1" pivotButton="0" quotePrefix="0" xfId="3">
      <alignment horizontal="center" vertical="center" wrapText="1"/>
    </xf>
    <xf numFmtId="180" fontId="41" fillId="5" borderId="15" applyAlignment="1" pivotButton="0" quotePrefix="0" xfId="3">
      <alignment horizontal="center" vertical="center" wrapText="1"/>
    </xf>
    <xf numFmtId="180" fontId="41" fillId="0" borderId="15" applyAlignment="1" pivotButton="0" quotePrefix="0" xfId="3">
      <alignment horizontal="center" vertical="center" wrapText="1"/>
    </xf>
    <xf numFmtId="167" fontId="41" fillId="6" borderId="22" applyAlignment="1" pivotButton="0" quotePrefix="0" xfId="0">
      <alignment vertical="center" wrapText="1"/>
    </xf>
    <xf numFmtId="167" fontId="41" fillId="5" borderId="22" applyAlignment="1" pivotButton="0" quotePrefix="0" xfId="3">
      <alignment horizontal="center" vertical="center" wrapText="1"/>
    </xf>
    <xf numFmtId="167" fontId="41" fillId="0" borderId="22" applyAlignment="1" pivotButton="0" quotePrefix="0" xfId="3">
      <alignment horizontal="center" vertical="center" wrapText="1"/>
    </xf>
    <xf numFmtId="167" fontId="43" fillId="3" borderId="10" applyAlignment="1" pivotButton="0" quotePrefix="0" xfId="0">
      <alignment vertical="center" wrapText="1"/>
    </xf>
    <xf numFmtId="167" fontId="43" fillId="3" borderId="10" applyAlignment="1" pivotButton="0" quotePrefix="0" xfId="3">
      <alignment horizontal="center" vertical="center" wrapText="1"/>
    </xf>
    <xf numFmtId="180" fontId="41" fillId="5" borderId="16" applyAlignment="1" pivotButton="0" quotePrefix="0" xfId="0">
      <alignment horizontal="center" vertical="center" wrapText="1"/>
    </xf>
    <xf numFmtId="180" fontId="41" fillId="0" borderId="16" applyAlignment="1" pivotButton="0" quotePrefix="0" xfId="0">
      <alignment horizontal="center" vertical="center" wrapText="1"/>
    </xf>
    <xf numFmtId="164" fontId="43" fillId="3" borderId="8" applyAlignment="1" pivotButton="0" quotePrefix="0" xfId="0">
      <alignment horizontal="center" vertical="center" wrapText="1"/>
    </xf>
    <xf numFmtId="164" fontId="43" fillId="3" borderId="17" applyAlignment="1" pivotButton="0" quotePrefix="0" xfId="0">
      <alignment horizontal="center" vertical="center" wrapText="1"/>
    </xf>
    <xf numFmtId="164" fontId="10" fillId="0" borderId="0" applyAlignment="1" pivotButton="0" quotePrefix="1" xfId="0">
      <alignment horizontal="center" vertical="top" wrapText="1"/>
    </xf>
    <xf numFmtId="164" fontId="10" fillId="0" borderId="0" applyAlignment="1" pivotButton="0" quotePrefix="0" xfId="0">
      <alignment horizontal="center" vertical="top" wrapText="1"/>
    </xf>
    <xf numFmtId="164" fontId="0" fillId="0" borderId="0" pivotButton="0" quotePrefix="0" xfId="0"/>
    <xf numFmtId="180" fontId="4" fillId="5" borderId="0" applyAlignment="1" pivotButton="0" quotePrefix="0" xfId="0">
      <alignment horizontal="center" vertical="top"/>
    </xf>
    <xf numFmtId="180" fontId="17" fillId="5" borderId="0" applyAlignment="1" pivotButton="0" quotePrefix="0" xfId="0">
      <alignment vertical="top"/>
    </xf>
    <xf numFmtId="169" fontId="4" fillId="5" borderId="0" applyAlignment="1" pivotButton="0" quotePrefix="0" xfId="0">
      <alignment horizontal="center" vertical="top" wrapText="1" shrinkToFit="1"/>
    </xf>
    <xf numFmtId="167" fontId="4" fillId="5" borderId="0" applyAlignment="1" pivotButton="0" quotePrefix="0" xfId="0">
      <alignment horizontal="center" vertical="center" shrinkToFit="1"/>
    </xf>
    <xf numFmtId="180" fontId="4" fillId="5" borderId="0" applyAlignment="1" pivotButton="0" quotePrefix="0" xfId="0">
      <alignment vertical="top"/>
    </xf>
    <xf numFmtId="169" fontId="4" fillId="5" borderId="0" applyAlignment="1" pivotButton="0" quotePrefix="0" xfId="0">
      <alignment vertical="top" wrapText="1" shrinkToFit="1"/>
    </xf>
    <xf numFmtId="180" fontId="17" fillId="5" borderId="0" applyAlignment="1" pivotButton="0" quotePrefix="0" xfId="0">
      <alignment horizontal="center" vertical="top"/>
    </xf>
    <xf numFmtId="180" fontId="4" fillId="5" borderId="0" applyAlignment="1" pivotButton="0" quotePrefix="0" xfId="0">
      <alignment horizontal="center" vertical="center"/>
    </xf>
    <xf numFmtId="180" fontId="17" fillId="5" borderId="0" applyAlignment="1" pivotButton="0" quotePrefix="0" xfId="0">
      <alignment horizontal="center" vertical="center"/>
    </xf>
    <xf numFmtId="167" fontId="4" fillId="5" borderId="0" applyAlignment="1" pivotButton="0" quotePrefix="0" xfId="0">
      <alignment horizontal="center" vertical="center" wrapText="1" shrinkToFit="1"/>
    </xf>
    <xf numFmtId="180" fontId="7" fillId="3" borderId="11" applyAlignment="1" pivotButton="0" quotePrefix="0" xfId="0">
      <alignment horizontal="center" vertical="center"/>
    </xf>
    <xf numFmtId="167" fontId="4" fillId="3" borderId="11" applyAlignment="1" pivotButton="0" quotePrefix="0" xfId="0">
      <alignment horizontal="center" vertical="center" wrapText="1" shrinkToFit="1"/>
    </xf>
    <xf numFmtId="167" fontId="4" fillId="3" borderId="11" applyAlignment="1" pivotButton="0" quotePrefix="0" xfId="0">
      <alignment horizontal="center" vertical="center" shrinkToFit="1"/>
    </xf>
    <xf numFmtId="196" fontId="6" fillId="19" borderId="0" applyAlignment="1" applyProtection="1" pivotButton="0" quotePrefix="0" xfId="0">
      <alignment horizontal="centerContinuous"/>
      <protection locked="0" hidden="0"/>
    </xf>
    <xf numFmtId="165" fontId="4" fillId="0" borderId="0" pivotButton="0" quotePrefix="0" xfId="3"/>
    <xf numFmtId="166" fontId="4" fillId="0" borderId="0" pivotButton="0" quotePrefix="0" xfId="3"/>
    <xf numFmtId="170" fontId="4" fillId="0" borderId="0" pivotButton="0" quotePrefix="0" xfId="3"/>
    <xf numFmtId="165" fontId="4" fillId="6" borderId="0" applyProtection="1" pivotButton="0" quotePrefix="0" xfId="3">
      <protection locked="0" hidden="0"/>
    </xf>
    <xf numFmtId="167" fontId="4" fillId="0" borderId="0" applyProtection="1" pivotButton="0" quotePrefix="0" xfId="0">
      <protection locked="0" hidden="0"/>
    </xf>
    <xf numFmtId="165" fontId="23" fillId="0" borderId="0" pivotButton="0" quotePrefix="0" xfId="0"/>
    <xf numFmtId="167" fontId="24" fillId="0" borderId="0" applyProtection="1" pivotButton="0" quotePrefix="0" xfId="0">
      <protection locked="0" hidden="0"/>
    </xf>
    <xf numFmtId="165" fontId="7" fillId="0" borderId="0" pivotButton="0" quotePrefix="0" xfId="3"/>
    <xf numFmtId="166" fontId="7" fillId="0" borderId="0" pivotButton="0" quotePrefix="0" xfId="3"/>
    <xf numFmtId="165" fontId="3" fillId="0" borderId="0" pivotButton="0" quotePrefix="0" xfId="0"/>
    <xf numFmtId="165" fontId="4" fillId="0" borderId="0" pivotButton="0" quotePrefix="0" xfId="0"/>
    <xf numFmtId="165" fontId="7" fillId="3" borderId="9" pivotButton="0" quotePrefix="0" xfId="3"/>
    <xf numFmtId="166" fontId="7" fillId="3" borderId="9" pivotButton="0" quotePrefix="0" xfId="3"/>
    <xf numFmtId="167" fontId="7" fillId="3" borderId="9" pivotButton="0" quotePrefix="0" xfId="0"/>
    <xf numFmtId="170" fontId="7" fillId="3" borderId="9" pivotButton="0" quotePrefix="0" xfId="3"/>
    <xf numFmtId="165" fontId="4" fillId="19" borderId="0" pivotButton="0" quotePrefix="0" xfId="3"/>
    <xf numFmtId="166" fontId="4" fillId="19" borderId="0" pivotButton="0" quotePrefix="0" xfId="3"/>
    <xf numFmtId="167" fontId="4" fillId="19" borderId="0" pivotButton="0" quotePrefix="0" xfId="0"/>
    <xf numFmtId="165" fontId="4" fillId="4" borderId="0" pivotButton="0" quotePrefix="0" xfId="3"/>
    <xf numFmtId="167" fontId="4" fillId="4" borderId="0" pivotButton="0" quotePrefix="0" xfId="0"/>
    <xf numFmtId="168" fontId="4" fillId="0" borderId="0" pivotButton="0" quotePrefix="0" xfId="2"/>
    <xf numFmtId="168" fontId="4" fillId="0" borderId="0" pivotButton="0" quotePrefix="0" xfId="3"/>
    <xf numFmtId="168" fontId="4" fillId="19" borderId="0" pivotButton="0" quotePrefix="0" xfId="2"/>
    <xf numFmtId="168" fontId="4" fillId="4" borderId="0" pivotButton="0" quotePrefix="0" xfId="2"/>
    <xf numFmtId="167" fontId="24" fillId="4" borderId="0" applyProtection="1" pivotButton="0" quotePrefix="0" xfId="0">
      <protection locked="0" hidden="0"/>
    </xf>
    <xf numFmtId="169" fontId="4" fillId="0" borderId="0" pivotButton="0" quotePrefix="0" xfId="3"/>
    <xf numFmtId="165" fontId="14" fillId="0" borderId="0" pivotButton="0" quotePrefix="0" xfId="0"/>
    <xf numFmtId="169" fontId="4" fillId="0" borderId="0" pivotButton="0" quotePrefix="0" xfId="2"/>
    <xf numFmtId="169" fontId="24" fillId="0" borderId="0" pivotButton="0" quotePrefix="0" xfId="3"/>
    <xf numFmtId="167" fontId="23" fillId="0" borderId="0" pivotButton="0" quotePrefix="0" xfId="0"/>
    <xf numFmtId="165" fontId="7" fillId="3" borderId="9" applyAlignment="1" pivotButton="0" quotePrefix="0" xfId="3">
      <alignment horizontal="right"/>
    </xf>
    <xf numFmtId="165" fontId="7" fillId="0" borderId="0" applyAlignment="1" pivotButton="0" quotePrefix="0" xfId="3">
      <alignment horizontal="right"/>
    </xf>
    <xf numFmtId="169" fontId="26" fillId="0" borderId="0" pivotButton="0" quotePrefix="0" xfId="3"/>
    <xf numFmtId="167" fontId="3" fillId="0" borderId="0" pivotButton="0" quotePrefix="0" xfId="0"/>
    <xf numFmtId="165" fontId="7" fillId="0" borderId="9" pivotButton="0" quotePrefix="0" xfId="3"/>
    <xf numFmtId="167" fontId="7" fillId="0" borderId="9" pivotButton="0" quotePrefix="0" xfId="0"/>
    <xf numFmtId="165" fontId="3" fillId="0" borderId="9" pivotButton="0" quotePrefix="0" xfId="0"/>
    <xf numFmtId="171" fontId="23" fillId="0" borderId="0" pivotButton="0" quotePrefix="0" xfId="4"/>
    <xf numFmtId="171" fontId="23" fillId="0" borderId="13" pivotButton="0" quotePrefix="0" xfId="4"/>
    <xf numFmtId="171" fontId="23" fillId="0" borderId="0" applyAlignment="1" pivotButton="0" quotePrefix="0" xfId="0">
      <alignment horizontal="center"/>
    </xf>
    <xf numFmtId="171" fontId="23" fillId="0" borderId="0" pivotButton="0" quotePrefix="0" xfId="0"/>
    <xf numFmtId="171" fontId="4" fillId="0" borderId="13" applyAlignment="1" pivotButton="0" quotePrefix="0" xfId="4">
      <alignment horizontal="center" vertical="center"/>
    </xf>
    <xf numFmtId="166" fontId="4" fillId="0" borderId="19" pivotButton="0" quotePrefix="0" xfId="3"/>
    <xf numFmtId="165" fontId="9" fillId="5" borderId="2" pivotButton="0" quotePrefix="0" xfId="3"/>
    <xf numFmtId="167" fontId="4" fillId="0" borderId="0" applyAlignment="1" pivotButton="0" quotePrefix="0" xfId="3">
      <alignment horizontal="center"/>
    </xf>
    <xf numFmtId="165" fontId="9" fillId="0" borderId="2" pivotButton="0" quotePrefix="0" xfId="3"/>
    <xf numFmtId="167" fontId="9" fillId="0" borderId="15" applyAlignment="1" pivotButton="0" quotePrefix="0" xfId="3">
      <alignment horizontal="center"/>
    </xf>
    <xf numFmtId="165" fontId="9" fillId="0" borderId="0" pivotButton="0" quotePrefix="0" xfId="3"/>
    <xf numFmtId="166" fontId="9" fillId="0" borderId="0" pivotButton="0" quotePrefix="0" xfId="3"/>
    <xf numFmtId="166" fontId="4" fillId="0" borderId="12" applyAlignment="1" pivotButton="0" quotePrefix="0" xfId="3">
      <alignment horizontal="right" vertical="center"/>
    </xf>
    <xf numFmtId="172" fontId="4" fillId="0" borderId="13" applyAlignment="1" pivotButton="0" quotePrefix="0" xfId="0">
      <alignment horizontal="right" vertical="center"/>
    </xf>
    <xf numFmtId="169" fontId="7" fillId="3" borderId="8" pivotButton="0" quotePrefix="0" xfId="0"/>
    <xf numFmtId="167" fontId="7" fillId="3" borderId="9" applyAlignment="1" pivotButton="0" quotePrefix="0" xfId="0">
      <alignment horizontal="center"/>
    </xf>
    <xf numFmtId="169" fontId="7" fillId="3" borderId="8" applyAlignment="1" pivotButton="0" quotePrefix="0" xfId="0">
      <alignment horizontal="center"/>
    </xf>
    <xf numFmtId="169" fontId="7" fillId="0" borderId="9" pivotButton="0" quotePrefix="0" xfId="0"/>
    <xf numFmtId="172" fontId="4" fillId="0" borderId="32" applyAlignment="1" pivotButton="0" quotePrefix="0" xfId="0">
      <alignment horizontal="right" vertical="center"/>
    </xf>
    <xf numFmtId="169" fontId="23" fillId="0" borderId="12" applyAlignment="1" pivotButton="0" quotePrefix="0" xfId="0">
      <alignment horizontal="right" vertical="center"/>
    </xf>
    <xf numFmtId="169" fontId="23" fillId="0" borderId="31" applyAlignment="1" pivotButton="0" quotePrefix="0" xfId="0">
      <alignment horizontal="right" vertical="center"/>
    </xf>
    <xf numFmtId="169" fontId="23" fillId="0" borderId="0" applyAlignment="1" pivotButton="0" quotePrefix="0" xfId="0">
      <alignment horizontal="right" vertical="center"/>
    </xf>
    <xf numFmtId="171" fontId="23" fillId="0" borderId="0" applyAlignment="1" pivotButton="0" quotePrefix="0" xfId="4">
      <alignment horizontal="right" vertical="center"/>
    </xf>
    <xf numFmtId="166" fontId="4" fillId="0" borderId="0" applyAlignment="1" pivotButton="0" quotePrefix="0" xfId="3">
      <alignment horizontal="center"/>
    </xf>
    <xf numFmtId="170" fontId="4" fillId="0" borderId="0" applyAlignment="1" pivotButton="0" quotePrefix="0" xfId="3">
      <alignment horizontal="center"/>
    </xf>
    <xf numFmtId="165" fontId="4" fillId="0" borderId="0" applyAlignment="1" pivotButton="0" quotePrefix="0" xfId="3">
      <alignment horizontal="center" vertical="center"/>
    </xf>
    <xf numFmtId="169" fontId="4" fillId="0" borderId="15" applyAlignment="1" pivotButton="0" quotePrefix="0" xfId="3">
      <alignment horizontal="center" vertical="center"/>
    </xf>
    <xf numFmtId="173" fontId="9" fillId="0" borderId="0" applyAlignment="1" pivotButton="0" quotePrefix="0" xfId="0">
      <alignment horizontal="left" vertical="top" wrapText="1"/>
    </xf>
    <xf numFmtId="170" fontId="9" fillId="0" borderId="0" applyAlignment="1" pivotButton="0" quotePrefix="0" xfId="3">
      <alignment horizontal="center" vertical="center"/>
    </xf>
    <xf numFmtId="167" fontId="9" fillId="0" borderId="15" applyAlignment="1" pivotButton="0" quotePrefix="0" xfId="3">
      <alignment horizontal="center" vertical="center"/>
    </xf>
    <xf numFmtId="170" fontId="4" fillId="0" borderId="0" applyAlignment="1" pivotButton="0" quotePrefix="0" xfId="3">
      <alignment horizontal="center" vertical="center"/>
    </xf>
    <xf numFmtId="167" fontId="4" fillId="0" borderId="15" applyAlignment="1" pivotButton="0" quotePrefix="0" xfId="3">
      <alignment horizontal="center" vertical="center"/>
    </xf>
    <xf numFmtId="170" fontId="4" fillId="0" borderId="0" applyAlignment="1" pivotButton="0" quotePrefix="0" xfId="0">
      <alignment horizontal="center" vertical="center"/>
    </xf>
    <xf numFmtId="203" fontId="9" fillId="0" borderId="0" applyAlignment="1" pivotButton="0" quotePrefix="0" xfId="0">
      <alignment horizontal="left" vertical="top" wrapText="1"/>
    </xf>
    <xf numFmtId="166" fontId="4" fillId="0" borderId="0" applyAlignment="1" pivotButton="0" quotePrefix="0" xfId="3">
      <alignment horizontal="center" vertical="center"/>
    </xf>
    <xf numFmtId="165" fontId="4" fillId="5" borderId="0" applyAlignment="1" pivotButton="0" quotePrefix="0" xfId="3">
      <alignment horizontal="center" vertical="center"/>
    </xf>
    <xf numFmtId="170" fontId="9" fillId="5" borderId="0" applyAlignment="1" pivotButton="0" quotePrefix="0" xfId="3">
      <alignment horizontal="center" vertical="center"/>
    </xf>
    <xf numFmtId="166" fontId="4" fillId="5" borderId="0" applyAlignment="1" pivotButton="0" quotePrefix="0" xfId="3">
      <alignment horizontal="center" vertical="center"/>
    </xf>
    <xf numFmtId="165" fontId="4" fillId="0" borderId="15" applyAlignment="1" pivotButton="0" quotePrefix="0" xfId="3">
      <alignment horizontal="center" vertical="center"/>
    </xf>
    <xf numFmtId="203" fontId="24" fillId="0" borderId="0" applyAlignment="1" pivotButton="0" quotePrefix="0" xfId="0">
      <alignment horizontal="left" vertical="top" wrapText="1"/>
    </xf>
    <xf numFmtId="170" fontId="9" fillId="0" borderId="15" applyAlignment="1" pivotButton="0" quotePrefix="0" xfId="3">
      <alignment horizontal="center" vertical="center"/>
    </xf>
    <xf numFmtId="166" fontId="4" fillId="0" borderId="15" applyAlignment="1" pivotButton="0" quotePrefix="0" xfId="3">
      <alignment horizontal="center" vertical="center"/>
    </xf>
    <xf numFmtId="167" fontId="17" fillId="3" borderId="11" applyAlignment="1" pivotButton="0" quotePrefix="0" xfId="3">
      <alignment horizontal="center" vertical="center"/>
    </xf>
    <xf numFmtId="165" fontId="19" fillId="3" borderId="11" applyAlignment="1" pivotButton="0" quotePrefix="0" xfId="3">
      <alignment horizontal="center" vertical="center"/>
    </xf>
    <xf numFmtId="165" fontId="19" fillId="3" borderId="19" applyAlignment="1" pivotButton="0" quotePrefix="0" xfId="3">
      <alignment horizontal="center" vertical="center"/>
    </xf>
    <xf numFmtId="173" fontId="17" fillId="3" borderId="11" applyAlignment="1" pivotButton="0" quotePrefix="0" xfId="0">
      <alignment horizontal="center" vertical="center"/>
    </xf>
    <xf numFmtId="170" fontId="17" fillId="3" borderId="1" pivotButton="0" quotePrefix="0" xfId="0"/>
    <xf numFmtId="165" fontId="17" fillId="3" borderId="1" pivotButton="0" quotePrefix="0" xfId="3"/>
    <xf numFmtId="170" fontId="19" fillId="3" borderId="1" applyAlignment="1" pivotButton="0" quotePrefix="0" xfId="0">
      <alignment horizontal="center"/>
    </xf>
    <xf numFmtId="170" fontId="19" fillId="3" borderId="22" applyAlignment="1" pivotButton="0" quotePrefix="0" xfId="3">
      <alignment horizontal="center" vertical="center"/>
    </xf>
    <xf numFmtId="169" fontId="9" fillId="0" borderId="0" pivotButton="0" quotePrefix="0" xfId="0"/>
    <xf numFmtId="167" fontId="4" fillId="0" borderId="0" applyProtection="1" pivotButton="0" quotePrefix="0" xfId="3">
      <protection locked="0" hidden="0"/>
    </xf>
    <xf numFmtId="169" fontId="9" fillId="0" borderId="0" applyAlignment="1" pivotButton="0" quotePrefix="0" xfId="0">
      <alignment horizontal="right"/>
    </xf>
    <xf numFmtId="169" fontId="19" fillId="3" borderId="9" pivotButton="0" quotePrefix="0" xfId="0"/>
    <xf numFmtId="166" fontId="7" fillId="3" borderId="9" applyProtection="1" pivotButton="0" quotePrefix="0" xfId="3">
      <protection locked="0" hidden="0"/>
    </xf>
    <xf numFmtId="169" fontId="17" fillId="0" borderId="0" pivotButton="0" quotePrefix="0" xfId="0"/>
    <xf numFmtId="167" fontId="7" fillId="3" borderId="9" applyProtection="1" pivotButton="0" quotePrefix="0" xfId="3">
      <protection locked="0" hidden="0"/>
    </xf>
    <xf numFmtId="167" fontId="17" fillId="4" borderId="0" pivotButton="0" quotePrefix="0" xfId="0"/>
    <xf numFmtId="166" fontId="4" fillId="4" borderId="0" applyProtection="1" pivotButton="0" quotePrefix="0" xfId="3">
      <protection locked="0" hidden="0"/>
    </xf>
    <xf numFmtId="167" fontId="4" fillId="0" borderId="0" pivotButton="0" quotePrefix="0" xfId="3"/>
    <xf numFmtId="171" fontId="19" fillId="0" borderId="0" applyAlignment="1" pivotButton="0" quotePrefix="0" xfId="4">
      <alignment horizontal="center"/>
    </xf>
    <xf numFmtId="169" fontId="19" fillId="0" borderId="0" pivotButton="0" quotePrefix="0" xfId="3"/>
    <xf numFmtId="167" fontId="7" fillId="0" borderId="0" applyProtection="1" pivotButton="0" quotePrefix="0" xfId="3">
      <protection locked="0" hidden="0"/>
    </xf>
    <xf numFmtId="180" fontId="17" fillId="6" borderId="0" applyAlignment="1" pivotButton="0" quotePrefix="0" xfId="0">
      <alignment horizontal="center"/>
    </xf>
    <xf numFmtId="167" fontId="17" fillId="6" borderId="0" applyAlignment="1" pivotButton="0" quotePrefix="0" xfId="3">
      <alignment horizontal="center"/>
    </xf>
    <xf numFmtId="170" fontId="17" fillId="6" borderId="0" applyAlignment="1" pivotButton="0" quotePrefix="0" xfId="3">
      <alignment horizontal="center"/>
    </xf>
    <xf numFmtId="169" fontId="0" fillId="0" borderId="0" pivotButton="0" quotePrefix="0" xfId="0"/>
    <xf numFmtId="180" fontId="17" fillId="0" borderId="0" applyAlignment="1" pivotButton="0" quotePrefix="0" xfId="0">
      <alignment horizontal="center"/>
    </xf>
    <xf numFmtId="169" fontId="17" fillId="0" borderId="0" applyAlignment="1" pivotButton="0" quotePrefix="0" xfId="3">
      <alignment horizontal="center"/>
    </xf>
    <xf numFmtId="170" fontId="17" fillId="0" borderId="0" applyAlignment="1" pivotButton="0" quotePrefix="0" xfId="3">
      <alignment horizontal="center"/>
    </xf>
    <xf numFmtId="165" fontId="7" fillId="3" borderId="9" applyAlignment="1" pivotButton="0" quotePrefix="0" xfId="4">
      <alignment horizontal="right" vertical="center"/>
    </xf>
    <xf numFmtId="169" fontId="4" fillId="6" borderId="0" applyAlignment="1" pivotButton="0" quotePrefix="0" xfId="3">
      <alignment horizontal="right" vertical="center"/>
    </xf>
    <xf numFmtId="169" fontId="7" fillId="3" borderId="9" applyAlignment="1" pivotButton="0" quotePrefix="0" xfId="4">
      <alignment horizontal="right" vertical="center"/>
    </xf>
    <xf numFmtId="169" fontId="16" fillId="3" borderId="9" applyAlignment="1" pivotButton="0" quotePrefix="0" xfId="0">
      <alignment horizontal="right" vertical="center" wrapText="1"/>
    </xf>
    <xf numFmtId="165" fontId="16" fillId="0" borderId="9" applyAlignment="1" pivotButton="0" quotePrefix="0" xfId="0">
      <alignment horizontal="right" vertical="center" wrapText="1"/>
    </xf>
    <xf numFmtId="169" fontId="16" fillId="3" borderId="9" applyAlignment="1" pivotButton="0" quotePrefix="0" xfId="0">
      <alignment horizontal="right"/>
    </xf>
    <xf numFmtId="165" fontId="19" fillId="3" borderId="1" applyAlignment="1" pivotButton="0" quotePrefix="0" xfId="0">
      <alignment horizontal="center" vertical="center"/>
    </xf>
    <xf numFmtId="170" fontId="19" fillId="3" borderId="1" applyAlignment="1" pivotButton="0" quotePrefix="0" xfId="0">
      <alignment horizontal="right" vertical="center"/>
    </xf>
    <xf numFmtId="178" fontId="16" fillId="0" borderId="9" applyAlignment="1" applyProtection="1" pivotButton="0" quotePrefix="0" xfId="0">
      <alignment horizontal="left"/>
      <protection locked="0" hidden="0"/>
    </xf>
    <xf numFmtId="175" fontId="17" fillId="0" borderId="0" applyAlignment="1" pivotButton="0" quotePrefix="0" xfId="0">
      <alignment horizontal="left"/>
    </xf>
    <xf numFmtId="165" fontId="17" fillId="0" borderId="0" pivotButton="0" quotePrefix="0" xfId="0"/>
    <xf numFmtId="170" fontId="17" fillId="0" borderId="0" pivotButton="0" quotePrefix="0" xfId="0"/>
    <xf numFmtId="176" fontId="4" fillId="0" borderId="0" applyAlignment="1" applyProtection="1" pivotButton="0" quotePrefix="0" xfId="0">
      <alignment horizontal="left"/>
      <protection locked="0" hidden="0"/>
    </xf>
    <xf numFmtId="176" fontId="17" fillId="0" borderId="0" applyAlignment="1" applyProtection="1" pivotButton="0" quotePrefix="0" xfId="0">
      <alignment horizontal="left"/>
      <protection locked="0" hidden="0"/>
    </xf>
    <xf numFmtId="177" fontId="17" fillId="0" borderId="0" applyAlignment="1" pivotButton="0" quotePrefix="0" xfId="0">
      <alignment horizontal="left"/>
    </xf>
    <xf numFmtId="165" fontId="17" fillId="0" borderId="11" pivotButton="0" quotePrefix="0" xfId="0"/>
    <xf numFmtId="165" fontId="17" fillId="0" borderId="0" applyProtection="1" pivotButton="0" quotePrefix="0" xfId="3">
      <protection locked="0" hidden="0"/>
    </xf>
    <xf numFmtId="165" fontId="19" fillId="0" borderId="11" pivotButton="0" quotePrefix="0" xfId="0"/>
    <xf numFmtId="170" fontId="19" fillId="0" borderId="11" pivotButton="0" quotePrefix="0" xfId="0"/>
    <xf numFmtId="174" fontId="16" fillId="3" borderId="9" applyAlignment="1" applyProtection="1" pivotButton="0" quotePrefix="0" xfId="0">
      <alignment horizontal="left"/>
      <protection locked="0" hidden="0"/>
    </xf>
    <xf numFmtId="174" fontId="19" fillId="3" borderId="9" applyAlignment="1" applyProtection="1" pivotButton="0" quotePrefix="0" xfId="0">
      <alignment horizontal="left"/>
      <protection locked="0" hidden="0"/>
    </xf>
    <xf numFmtId="165" fontId="19" fillId="3" borderId="9" pivotButton="0" quotePrefix="0" xfId="0"/>
    <xf numFmtId="170" fontId="19" fillId="3" borderId="9" pivotButton="0" quotePrefix="0" xfId="0"/>
    <xf numFmtId="165" fontId="9" fillId="0" borderId="0" pivotButton="0" quotePrefix="0" xfId="0"/>
    <xf numFmtId="174" fontId="16" fillId="3" borderId="11" applyAlignment="1" applyProtection="1" pivotButton="0" quotePrefix="0" xfId="0">
      <alignment horizontal="left"/>
      <protection locked="0" hidden="0"/>
    </xf>
    <xf numFmtId="165" fontId="7" fillId="3" borderId="11" pivotButton="0" quotePrefix="0" xfId="0"/>
    <xf numFmtId="170" fontId="7" fillId="3" borderId="1" pivotButton="0" quotePrefix="0" xfId="0"/>
    <xf numFmtId="193" fontId="32" fillId="0" borderId="0" pivotButton="0" quotePrefix="0" xfId="3"/>
    <xf numFmtId="168" fontId="47" fillId="0" borderId="1" pivotButton="0" quotePrefix="0" xfId="0"/>
    <xf numFmtId="170" fontId="47" fillId="0" borderId="1" pivotButton="0" quotePrefix="0" xfId="0"/>
    <xf numFmtId="165" fontId="47" fillId="0" borderId="1" applyAlignment="1" pivotButton="0" quotePrefix="0" xfId="0">
      <alignment horizontal="right"/>
    </xf>
    <xf numFmtId="171" fontId="47" fillId="0" borderId="1" applyAlignment="1" pivotButton="0" quotePrefix="0" xfId="0">
      <alignment horizontal="right"/>
    </xf>
    <xf numFmtId="164" fontId="68" fillId="5" borderId="9" applyAlignment="1" pivotButton="0" quotePrefix="0" xfId="0">
      <alignment horizontal="center" vertical="center" wrapText="1"/>
    </xf>
    <xf numFmtId="193" fontId="68" fillId="6" borderId="9" applyAlignment="1" pivotButton="0" quotePrefix="0" xfId="0">
      <alignment horizontal="center" vertical="center" wrapText="1"/>
    </xf>
    <xf numFmtId="193" fontId="68" fillId="0" borderId="0" applyAlignment="1" pivotButton="0" quotePrefix="0" xfId="0">
      <alignment horizontal="center" vertical="center" wrapText="1"/>
    </xf>
    <xf numFmtId="164" fontId="68" fillId="0" borderId="0" applyAlignment="1" pivotButton="0" quotePrefix="0" xfId="0">
      <alignment horizontal="center" vertical="center" wrapText="1"/>
    </xf>
    <xf numFmtId="193" fontId="32" fillId="0" borderId="0" applyAlignment="1" pivotButton="0" quotePrefix="0" xfId="3">
      <alignment horizontal="left"/>
    </xf>
    <xf numFmtId="193" fontId="32" fillId="6" borderId="0" pivotButton="0" quotePrefix="0" xfId="3"/>
    <xf numFmtId="193" fontId="32" fillId="5" borderId="0" pivotButton="0" quotePrefix="0" xfId="3"/>
    <xf numFmtId="167" fontId="32" fillId="0" borderId="0" applyAlignment="1" pivotButton="0" quotePrefix="0" xfId="3">
      <alignment horizontal="center"/>
    </xf>
    <xf numFmtId="169" fontId="32" fillId="5" borderId="11" applyAlignment="1" pivotButton="0" quotePrefix="0" xfId="3">
      <alignment horizontal="right"/>
    </xf>
    <xf numFmtId="193" fontId="48" fillId="0" borderId="0" applyAlignment="1" pivotButton="0" quotePrefix="0" xfId="3">
      <alignment horizontal="right"/>
    </xf>
    <xf numFmtId="167" fontId="32" fillId="5" borderId="0" applyAlignment="1" pivotButton="0" quotePrefix="0" xfId="3">
      <alignment horizontal="center"/>
    </xf>
    <xf numFmtId="169" fontId="32" fillId="0" borderId="0" applyAlignment="1" pivotButton="0" quotePrefix="0" xfId="3">
      <alignment horizontal="right"/>
    </xf>
    <xf numFmtId="169" fontId="32" fillId="0" borderId="1" applyAlignment="1" pivotButton="0" quotePrefix="0" xfId="3">
      <alignment horizontal="right"/>
    </xf>
    <xf numFmtId="167" fontId="32" fillId="3" borderId="9" applyAlignment="1" pivotButton="0" quotePrefix="0" xfId="0">
      <alignment horizontal="center"/>
    </xf>
    <xf numFmtId="169" fontId="32" fillId="3" borderId="9" applyAlignment="1" pivotButton="0" quotePrefix="0" xfId="3">
      <alignment horizontal="right"/>
    </xf>
    <xf numFmtId="164" fontId="32" fillId="0" borderId="0" pivotButton="0" quotePrefix="0" xfId="0"/>
    <xf numFmtId="167" fontId="32" fillId="0" borderId="0" applyAlignment="1" pivotButton="0" quotePrefix="0" xfId="0">
      <alignment horizontal="center"/>
    </xf>
    <xf numFmtId="169" fontId="32" fillId="0" borderId="9" applyAlignment="1" pivotButton="0" quotePrefix="0" xfId="3">
      <alignment horizontal="right"/>
    </xf>
    <xf numFmtId="193" fontId="68" fillId="0" borderId="47" applyAlignment="1" pivotButton="0" quotePrefix="0" xfId="0">
      <alignment horizontal="right" vertical="center" wrapText="1"/>
    </xf>
    <xf numFmtId="167" fontId="68" fillId="0" borderId="47" applyAlignment="1" pivotButton="0" quotePrefix="0" xfId="3">
      <alignment horizontal="right" vertical="center" wrapText="1"/>
    </xf>
    <xf numFmtId="167" fontId="32" fillId="0" borderId="0" pivotButton="0" quotePrefix="0" xfId="0"/>
    <xf numFmtId="193" fontId="68" fillId="0" borderId="48" applyAlignment="1" pivotButton="0" quotePrefix="0" xfId="0">
      <alignment horizontal="right" vertical="center" wrapText="1"/>
    </xf>
    <xf numFmtId="167" fontId="68" fillId="0" borderId="48" applyAlignment="1" pivotButton="0" quotePrefix="0" xfId="3">
      <alignment horizontal="right" vertical="center" wrapText="1"/>
    </xf>
    <xf numFmtId="193" fontId="68" fillId="0" borderId="49" applyAlignment="1" pivotButton="0" quotePrefix="0" xfId="0">
      <alignment horizontal="right" vertical="center" wrapText="1"/>
    </xf>
    <xf numFmtId="167" fontId="68" fillId="0" borderId="49" applyAlignment="1" pivotButton="0" quotePrefix="0" xfId="3">
      <alignment horizontal="right" vertical="center" wrapText="1"/>
    </xf>
    <xf numFmtId="193" fontId="68" fillId="11" borderId="9" applyAlignment="1" pivotButton="0" quotePrefix="0" xfId="0">
      <alignment horizontal="right" vertical="center" wrapText="1"/>
    </xf>
    <xf numFmtId="167" fontId="68" fillId="3" borderId="9" applyAlignment="1" pivotButton="0" quotePrefix="0" xfId="3">
      <alignment horizontal="right" vertical="center" wrapText="1"/>
    </xf>
    <xf numFmtId="164" fontId="48" fillId="0" borderId="0" applyAlignment="1" pivotButton="0" quotePrefix="0" xfId="0">
      <alignment horizontal="right" vertical="center" wrapText="1"/>
    </xf>
    <xf numFmtId="164" fontId="68" fillId="0" borderId="9" applyAlignment="1" pivotButton="0" quotePrefix="0" xfId="3">
      <alignment horizontal="right" vertical="center" wrapText="1"/>
    </xf>
    <xf numFmtId="164" fontId="68" fillId="0" borderId="43" applyAlignment="1" pivotButton="0" quotePrefix="0" xfId="3">
      <alignment horizontal="right" vertical="center" wrapText="1"/>
    </xf>
    <xf numFmtId="164" fontId="68" fillId="0" borderId="49" applyAlignment="1" pivotButton="0" quotePrefix="0" xfId="3">
      <alignment horizontal="right" vertical="center" wrapText="1"/>
    </xf>
    <xf numFmtId="193" fontId="67" fillId="11" borderId="43" applyAlignment="1" pivotButton="0" quotePrefix="0" xfId="0">
      <alignment horizontal="right" vertical="center" wrapText="1"/>
    </xf>
    <xf numFmtId="164" fontId="67" fillId="3" borderId="43" applyAlignment="1" pivotButton="0" quotePrefix="0" xfId="3">
      <alignment horizontal="right" vertical="center" wrapText="1"/>
    </xf>
    <xf numFmtId="193" fontId="67" fillId="11" borderId="49" applyAlignment="1" pivotButton="0" quotePrefix="0" xfId="0">
      <alignment horizontal="right" vertical="center" wrapText="1"/>
    </xf>
    <xf numFmtId="193" fontId="67" fillId="3" borderId="49" applyAlignment="1" pivotButton="0" quotePrefix="0" xfId="0">
      <alignment horizontal="right" vertical="center" wrapText="1"/>
    </xf>
    <xf numFmtId="167" fontId="67" fillId="3" borderId="49" applyAlignment="1" pivotButton="0" quotePrefix="0" xfId="3">
      <alignment horizontal="right" vertical="center" wrapText="1"/>
    </xf>
    <xf numFmtId="193" fontId="48" fillId="0" borderId="57" applyAlignment="1" pivotButton="0" quotePrefix="0" xfId="0">
      <alignment horizontal="center" vertical="center" wrapText="1"/>
    </xf>
    <xf numFmtId="193" fontId="48" fillId="0" borderId="58" applyAlignment="1" pivotButton="0" quotePrefix="0" xfId="0">
      <alignment horizontal="center" vertical="center" wrapText="1"/>
    </xf>
    <xf numFmtId="193" fontId="48" fillId="11" borderId="43" applyAlignment="1" pivotButton="0" quotePrefix="0" xfId="0">
      <alignment horizontal="center" vertical="center" wrapText="1"/>
    </xf>
    <xf numFmtId="193" fontId="48" fillId="11" borderId="44" applyAlignment="1" pivotButton="0" quotePrefix="0" xfId="0">
      <alignment horizontal="center" vertical="center" wrapText="1"/>
    </xf>
    <xf numFmtId="193" fontId="44" fillId="11" borderId="49" applyAlignment="1" pivotButton="0" quotePrefix="0" xfId="0">
      <alignment horizontal="center" vertical="center" wrapText="1"/>
    </xf>
    <xf numFmtId="193" fontId="44" fillId="11" borderId="60" applyAlignment="1" pivotButton="0" quotePrefix="0" xfId="0">
      <alignment horizontal="center" vertical="center" wrapText="1"/>
    </xf>
    <xf numFmtId="193" fontId="44" fillId="11" borderId="0" applyAlignment="1" pivotButton="0" quotePrefix="0" xfId="0">
      <alignment horizontal="center" vertical="center" wrapText="1"/>
    </xf>
    <xf numFmtId="165" fontId="50" fillId="3" borderId="1" applyAlignment="1" pivotButton="0" quotePrefix="0" xfId="0">
      <alignment horizontal="center" vertical="center"/>
    </xf>
    <xf numFmtId="170" fontId="50" fillId="3" borderId="9" applyAlignment="1" pivotButton="0" quotePrefix="0" xfId="0">
      <alignment horizontal="center" vertical="center"/>
    </xf>
    <xf numFmtId="178" fontId="5" fillId="0" borderId="9" applyAlignment="1" applyProtection="1" pivotButton="0" quotePrefix="0" xfId="0">
      <alignment horizontal="left"/>
      <protection locked="0" hidden="0"/>
    </xf>
    <xf numFmtId="175" fontId="47" fillId="0" borderId="0" applyAlignment="1" pivotButton="0" quotePrefix="0" xfId="0">
      <alignment horizontal="left"/>
    </xf>
    <xf numFmtId="170" fontId="47" fillId="0" borderId="11" applyAlignment="1" pivotButton="0" quotePrefix="0" xfId="0">
      <alignment horizontal="center"/>
    </xf>
    <xf numFmtId="176" fontId="32" fillId="0" borderId="0" applyAlignment="1" pivotButton="0" quotePrefix="0" xfId="0">
      <alignment horizontal="left"/>
    </xf>
    <xf numFmtId="176" fontId="47" fillId="0" borderId="0" applyAlignment="1" applyProtection="1" pivotButton="0" quotePrefix="0" xfId="0">
      <alignment horizontal="left"/>
      <protection locked="0" hidden="0"/>
    </xf>
    <xf numFmtId="170" fontId="47" fillId="0" borderId="0" applyAlignment="1" pivotButton="0" quotePrefix="0" xfId="0">
      <alignment horizontal="center"/>
    </xf>
    <xf numFmtId="177" fontId="47" fillId="0" borderId="0" applyAlignment="1" pivotButton="0" quotePrefix="0" xfId="0">
      <alignment horizontal="left"/>
    </xf>
    <xf numFmtId="170" fontId="47" fillId="0" borderId="1" applyAlignment="1" pivotButton="0" quotePrefix="0" xfId="0">
      <alignment horizontal="center"/>
    </xf>
    <xf numFmtId="170" fontId="50" fillId="0" borderId="9" applyAlignment="1" pivotButton="0" quotePrefix="0" xfId="0">
      <alignment horizontal="center"/>
    </xf>
    <xf numFmtId="174" fontId="5" fillId="3" borderId="9" applyAlignment="1" applyProtection="1" pivotButton="0" quotePrefix="0" xfId="0">
      <alignment horizontal="left"/>
      <protection locked="0" hidden="0"/>
    </xf>
    <xf numFmtId="174" fontId="50" fillId="3" borderId="9" applyAlignment="1" applyProtection="1" pivotButton="0" quotePrefix="0" xfId="0">
      <alignment horizontal="left"/>
      <protection locked="0" hidden="0"/>
    </xf>
    <xf numFmtId="165" fontId="50" fillId="3" borderId="9" pivotButton="0" quotePrefix="0" xfId="0"/>
    <xf numFmtId="170" fontId="50" fillId="3" borderId="9" applyAlignment="1" pivotButton="0" quotePrefix="0" xfId="0">
      <alignment horizontal="center"/>
    </xf>
    <xf numFmtId="0" fontId="82" fillId="25" borderId="0" applyAlignment="1" pivotButton="0" quotePrefix="0" xfId="0">
      <alignment horizontal="center" vertical="center"/>
    </xf>
    <xf numFmtId="0" fontId="83" fillId="26" borderId="0" applyAlignment="1" pivotButton="0" quotePrefix="0" xfId="0">
      <alignment horizontal="center" vertical="center"/>
    </xf>
    <xf numFmtId="0" fontId="84" fillId="27" borderId="0" applyAlignment="1" pivotButton="0" quotePrefix="0" xfId="0">
      <alignment horizontal="center" vertical="center" wrapText="1"/>
    </xf>
    <xf numFmtId="0" fontId="85" fillId="25" borderId="82" applyAlignment="1" pivotButton="0" quotePrefix="0" xfId="0">
      <alignment horizontal="center" vertical="center"/>
    </xf>
    <xf numFmtId="0" fontId="87" fillId="28" borderId="82" applyAlignment="1" pivotButton="0" quotePrefix="0" xfId="0">
      <alignment vertical="center"/>
    </xf>
    <xf numFmtId="0" fontId="86" fillId="0" borderId="82" applyAlignment="1" pivotButton="0" quotePrefix="0" xfId="0">
      <alignment vertical="center"/>
    </xf>
    <xf numFmtId="0" fontId="87" fillId="28" borderId="82" applyAlignment="1" pivotButton="0" quotePrefix="0" xfId="0">
      <alignment vertical="center" wrapText="1"/>
    </xf>
    <xf numFmtId="0" fontId="87" fillId="29" borderId="82" applyAlignment="1" pivotButton="0" quotePrefix="0" xfId="0">
      <alignment vertical="center"/>
    </xf>
    <xf numFmtId="0" fontId="87" fillId="29" borderId="82" applyAlignment="1" pivotButton="0" quotePrefix="0" xfId="0">
      <alignment vertical="center" wrapText="1"/>
    </xf>
  </cellXfs>
  <cellStyles count="15">
    <cellStyle name="Normal" xfId="0" builtinId="0"/>
    <cellStyle name="Normal 22 2" xfId="1"/>
    <cellStyle name="Comma" xfId="2" builtinId="3"/>
    <cellStyle name="Currency" xfId="3" builtinId="4"/>
    <cellStyle name="Percent" xfId="4" builtinId="5"/>
    <cellStyle name="Subtitle" xfId="5"/>
    <cellStyle name="TableTitle" xfId="6"/>
    <cellStyle name="TableHeading" xfId="7"/>
    <cellStyle name="Normal 3" xfId="8"/>
    <cellStyle name="Normal 2" xfId="9"/>
    <cellStyle name="tblHeader" xfId="10"/>
    <cellStyle name="tblText" xfId="11"/>
    <cellStyle name="Percent 2 2" xfId="12"/>
    <cellStyle name="Normal 4" xfId="13"/>
    <cellStyle name="Instructions" xfId="14"/>
  </cellStyles>
  <dxfs count="12">
    <dxf>
      <font>
        <b val="1"/>
        <condense val="0"/>
        <color indexed="10"/>
        <extend val="0"/>
      </font>
      <fill>
        <patternFill>
          <bgColor indexed="43"/>
        </patternFill>
      </fill>
    </dxf>
    <dxf>
      <font>
        <b val="1"/>
        <condense val="0"/>
        <color indexed="10"/>
        <extend val="0"/>
      </font>
      <fill>
        <patternFill>
          <bgColor indexed="43"/>
        </patternFill>
      </fill>
    </dxf>
    <dxf>
      <font>
        <b val="1"/>
        <color rgb="FFFF0000"/>
      </font>
      <fill>
        <patternFill>
          <bgColor rgb="FFFFFF99"/>
        </patternFill>
      </fill>
    </dxf>
    <dxf>
      <font>
        <b val="1"/>
        <condense val="0"/>
        <color indexed="10"/>
        <extend val="0"/>
      </font>
      <fill>
        <patternFill>
          <bgColor indexed="43"/>
        </patternFill>
      </fill>
    </dxf>
    <dxf>
      <font>
        <b val="1"/>
        <condense val="0"/>
        <color indexed="10"/>
        <extend val="0"/>
      </font>
      <fill>
        <patternFill>
          <bgColor indexed="43"/>
        </patternFill>
      </fill>
    </dxf>
    <dxf>
      <font>
        <b val="1"/>
        <color rgb="FFFF0000"/>
      </font>
      <fill>
        <patternFill>
          <bgColor rgb="FFFFFF99"/>
        </patternFill>
      </fill>
    </dxf>
    <dxf>
      <font>
        <b val="1"/>
        <condense val="0"/>
        <color indexed="10"/>
        <extend val="0"/>
      </font>
      <fill>
        <patternFill>
          <bgColor indexed="43"/>
        </patternFill>
      </fill>
    </dxf>
    <dxf>
      <font>
        <b val="1"/>
        <condense val="0"/>
        <color indexed="10"/>
        <extend val="0"/>
      </font>
      <fill>
        <patternFill>
          <bgColor indexed="43"/>
        </patternFill>
      </fill>
    </dxf>
    <dxf>
      <font>
        <b val="1"/>
        <color rgb="FFFF0000"/>
      </font>
      <fill>
        <patternFill>
          <bgColor rgb="FFFFFF99"/>
        </patternFill>
      </fill>
    </dxf>
    <dxf>
      <font>
        <b val="1"/>
        <condense val="0"/>
        <color indexed="10"/>
        <extend val="0"/>
      </font>
      <fill>
        <patternFill>
          <bgColor indexed="43"/>
        </patternFill>
      </fill>
    </dxf>
    <dxf>
      <font>
        <name val="Calibri"/>
        <color rgb="002D6A4F"/>
        <sz val="9"/>
      </font>
      <fill>
        <patternFill patternType="solid">
          <fgColor rgb="00D6EAD7"/>
        </patternFill>
      </fill>
    </dxf>
    <dxf>
      <font>
        <name val="Calibri"/>
        <color rgb="001A3A5C"/>
        <sz val="9"/>
      </font>
      <fill>
        <patternFill patternType="solid">
          <fgColor rgb="00DDEE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externalLink" Target="/xl/externalLinks/externalLink1.xml" Id="rId26" /><Relationship Type="http://schemas.openxmlformats.org/officeDocument/2006/relationships/externalLink" Target="/xl/externalLinks/externalLink2.xml" Id="rId27" /><Relationship Type="http://schemas.openxmlformats.org/officeDocument/2006/relationships/externalLink" Target="/xl/externalLinks/externalLink3.xml" Id="rId28" /><Relationship Type="http://schemas.openxmlformats.org/officeDocument/2006/relationships/externalLink" Target="/xl/externalLinks/externalLink4.xml" Id="rId29" /><Relationship Type="http://schemas.openxmlformats.org/officeDocument/2006/relationships/externalLink" Target="/xl/externalLinks/externalLink5.xml" Id="rId30" /><Relationship Type="http://schemas.openxmlformats.org/officeDocument/2006/relationships/externalLink" Target="/xl/externalLinks/externalLink6.xml" Id="rId31" /><Relationship Type="http://schemas.openxmlformats.org/officeDocument/2006/relationships/externalLink" Target="/xl/externalLinks/externalLink7.xml" Id="rId32" /><Relationship Type="http://schemas.openxmlformats.org/officeDocument/2006/relationships/externalLink" Target="/xl/externalLinks/externalLink8.xml" Id="rId33" /><Relationship Type="http://schemas.openxmlformats.org/officeDocument/2006/relationships/externalLink" Target="/xl/externalLinks/externalLink9.xml" Id="rId34" /><Relationship Type="http://schemas.openxmlformats.org/officeDocument/2006/relationships/externalLink" Target="/xl/externalLinks/externalLink10.xml" Id="rId35" /><Relationship Type="http://schemas.openxmlformats.org/officeDocument/2006/relationships/externalLink" Target="/xl/externalLinks/externalLink11.xml" Id="rId36" /><Relationship Type="http://schemas.openxmlformats.org/officeDocument/2006/relationships/externalLink" Target="/xl/externalLinks/externalLink12.xml" Id="rId37" /><Relationship Type="http://schemas.openxmlformats.org/officeDocument/2006/relationships/externalLink" Target="/xl/externalLinks/externalLink13.xml" Id="rId38" /><Relationship Type="http://schemas.openxmlformats.org/officeDocument/2006/relationships/externalLink" Target="/xl/externalLinks/externalLink14.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Auto-Calc</author>
  </authors>
  <commentList>
    <comment ref="C8" authorId="0" shapeId="0">
      <text>
        <t>Source: MVS Sec.99 p.7 (Jan 2025). Drives LAM auto-lookup in C19.</t>
      </text>
    </comment>
    <comment ref="C14" authorId="0" shapeId="0">
      <text>
        <t>Formula: INDEX/MATCH from TABLE A (406) or TABLE F (407). Key = Class~Quality. Source: MVS Sec.14 (Feb 2024).</t>
      </text>
    </comment>
    <comment ref="C15" authorId="0" shapeId="0">
      <text>
        <t>Formula: INDEX/MATCH from TABLE D. Uses floor coverage band (not interpolated). Source: MVS Sec.14 p.37 (Feb 2024).</t>
      </text>
    </comment>
    <comment ref="H15" authorId="0" shapeId="0">
      <text>
        <t>Input: sprinkler tier used with building area (C10) to auto-calc C15.</t>
      </text>
    </comment>
    <comment ref="C18" authorId="0" shapeId="0">
      <text>
        <t>Formula: Looks up EASTERN region row (row 81) from TABLE C using class. Source: MVS Sec.99 p.3 (Jan 2025).</t>
      </text>
    </comment>
    <comment ref="C19" authorId="0" shapeId="0">
      <text>
        <t>Formula: INDEX/MATCH from TABLE C2 using city (C8) and class. Source: MVS Sec.99 p.7 (Jan 2025).</t>
      </text>
    </comment>
    <comment ref="C22" authorId="0" shapeId="0">
      <text>
        <t>Formula: VLOOKUP (approximate match) from TABLE G using eave height (G22). Source: MVS Sec.14 p.39 (Feb 2024).</t>
      </text>
    </comment>
    <comment ref="G22" authorId="0" shapeId="0">
      <text>
        <t>Input: Enter average eave height in feet. Used to auto-calculate story height multiplier (C22). Base height = 14 ft; common values: 14, 16, 18, 20, 24, 30, 40 ft.</t>
      </text>
    </comment>
    <comment ref="A114" authorId="0" shapeId="0">
      <text>
        <t>NOTE: Values are space-heater configuration. B Average / C Average / C Good ordering may differ from prior editions — verify against physical MVS Sec.14 p.23 if unusual. D-class and additional S-class entries not yet extracted.</t>
      </text>
    </comment>
  </commentList>
</comments>
</file>

<file path=xl/externalLinks/_rels/externalLink1.xml.rels><Relationships xmlns="http://schemas.openxmlformats.org/package/2006/relationships"><Relationship Type="http://schemas.openxmlformats.org/officeDocument/2006/relationships/externalLinkPath" Target="file:///\\darkhelmet\cvc-darkhelmet\CB%20Files\CB%202008\08-0690_Cortez\ARC%20Merrill%20Lynch%20MHP%200606.xls" TargetMode="External" Id="rId1" /></Relationships>
</file>

<file path=xl/externalLinks/_rels/externalLink2.xml.rels><Relationships xmlns="http://schemas.openxmlformats.org/package/2006/relationships"><Relationship Type="http://schemas.openxmlformats.org/officeDocument/2006/relationships/externalLinkPath" Target="file:///\\vader\CVC-Vader\AppraisalFinalCopies\2012\14059\Valuation\Copy%20of%20Excess_Rent.xls" TargetMode="External" Id="rId1" /></Relationships>
</file>

<file path=xl/externalLinks/_rels/externalLink3.xml.rels><Relationships xmlns="http://schemas.openxmlformats.org/package/2006/relationships"><Relationship Type="http://schemas.microsoft.com/office/2006/relationships/xlExternalLinkPath/xlPathMissing" Target="0118000415%204900%20Florence%20Street1" TargetMode="External" Id="rId1" /></Relationships>
</file>

<file path=xl/externalLinks/_rels/externalLink4.xml.rels><Relationships xmlns="http://schemas.openxmlformats.org/package/2006/relationships"><Relationship Type="http://schemas.openxmlformats.org/officeDocument/2006/relationships/externalLinkPath" Target="file:///\\gcfilesrv\ASR$\Users\kknipling\Box%20Sync\BBGAppraisalFiles\2018\0118002788%20-%20%20Denver%20CO%2080229,%20Denver\Working%20Documents\4195%20Centennial%20Boulevard\Elite%20Vision%20Improved%20Sales%20Revised.xlsx" TargetMode="External" Id="rId1" /></Relationships>
</file>

<file path=xl/externalLinks/_rels/externalLink5.xml.rels><Relationships xmlns="http://schemas.openxmlformats.org/package/2006/relationships"><Relationship Type="http://schemas.openxmlformats.org/officeDocument/2006/relationships/externalLinkPath" Target="file:///\\gcfilesrv\ASR$\Users\scraig\Desktop\More%20Stuff\Templates\Income%20Approach,%20Owner-User.xlsx" TargetMode="External" Id="rId1" /></Relationships>
</file>

<file path=xl/externalLinks/_rels/externalLink6.xml.rels><Relationships xmlns="http://schemas.openxmlformats.org/package/2006/relationships"><Relationship Type="http://schemas.openxmlformats.org/officeDocument/2006/relationships/externalLinkPath" Target="file:///C:\Users\scraig\Desktop\More%20Stuff\Templates\Income%20Approach,%20Owner-User.xlsx" TargetMode="External" Id="rId1" /></Relationships>
</file>

<file path=xl/externalLinks/_rels/externalLink7.xml.rels><Relationships xmlns="http://schemas.openxmlformats.org/package/2006/relationships"><Relationship Type="http://schemas.openxmlformats.org/officeDocument/2006/relationships/externalLinkPath" Target="file:///D:\Appraisals\BBGAppraisals-2021\BBGDenver\Researchers\Templates\Eval%20Template\Newest%20Eval%20and%20Restricted%20Template\Commercial-Base-Excel%20-%20v3.2.4%20(2).xlsm" TargetMode="External" Id="rId1" /></Relationships>
</file>

<file path=xl/externalLinks/_rels/externalLink8.xml.rels><Relationships xmlns="http://schemas.openxmlformats.org/package/2006/relationships"><Relationship Type="http://schemas.openxmlformats.org/officeDocument/2006/relationships/externalLinkPath" Target="file:///\\gcfilesrv\ASR$\01_Commercial\06_2021%20Review_Valuation_Appeals\2021%20-%20BAA%20Appeal\JDB\2021BAA6146%20-%20LYONS%20REAL%20ESTATE%20HOLDINGS%20LLC\R0088278.xlsx" TargetMode="External" Id="rId1" /></Relationships>
</file>

<file path=xl/externalLinks/_rels/externalLink9.xml.rels><Relationships xmlns="http://schemas.openxmlformats.org/package/2006/relationships"><Relationship Type="http://schemas.openxmlformats.org/officeDocument/2006/relationships/externalLinkPath" Target="file:///\\gcfilesrv\ASR$\Users\kknipling\Box%20Sync\BBGAppraisalFiles\2018\0118002788%20-%20%20Denver%20CO%2080229,%20Denver\Working%20Documents\Template%20Stuff\Commercial-Base-Excel.xlsm" TargetMode="External" Id="rId1" /></Relationships>
</file>

<file path=xl/externalLinks/_rels/externalLink10.xml.rels><Relationships xmlns="http://schemas.openxmlformats.org/package/2006/relationships"><Relationship Type="http://schemas.openxmlformats.org/officeDocument/2006/relationships/externalLinkPath" Target="file:///\\gcfilesrv\ASR$\Users\kknipling\Box%20Sync\BBGAppraisalFiles\2018\0118002788%20-%20%20Denver%20CO%2080229,%20Denver\Working%20Documents\older%20version\6945%20Tutt%20Boulevard%20Analysis%20Revised%20New.xls" TargetMode="External" Id="rId1" /></Relationships>
</file>

<file path=xl/externalLinks/_rels/externalLink11.xml.rels><Relationships xmlns="http://schemas.openxmlformats.org/package/2006/relationships"><Relationship Type="http://schemas.openxmlformats.org/officeDocument/2006/relationships/externalLinkPath" Target="file:///\\eaglefive\CVC-EagleFive\Documents%20and%20Settings\pwalsh\My%20Documents\Payroll\Cost%20Approach.xls" TargetMode="External" Id="rId1" /></Relationships>
</file>

<file path=xl/externalLinks/_rels/externalLink12.xml.rels><Relationships xmlns="http://schemas.openxmlformats.org/package/2006/relationships"><Relationship Type="http://schemas.openxmlformats.org/officeDocument/2006/relationships/externalLinkPath" Target="file:///C:\Users\jbatchelder\AppData\Local\Microsoft\Windows\INetCache\Content.Outlook\QS388HG5\ST%20Retail%20IA%20%20SCA%205668%20Beeler%20Street.xlsx" TargetMode="External" Id="rId1" /></Relationships>
</file>

<file path=xl/externalLinks/_rels/externalLink13.xml.rels><Relationships xmlns="http://schemas.openxmlformats.org/package/2006/relationships"><Relationship Type="http://schemas.openxmlformats.org/officeDocument/2006/relationships/externalLinkPath" Target="file:///C:\Users\JBatchelder\Box%20Sync\BBGAppraisalFiles\2019\0119005598%20-%20%20Denver%20CO%2080237,%20Denver\Working%20Documents\3603%20s%20monaco%20parkway%20(jbatchelder@bbgres.com).xlsm" TargetMode="External" Id="rId1" /></Relationships>
</file>

<file path=xl/externalLinks/_rels/externalLink14.xml.rels><Relationships xmlns="http://schemas.openxmlformats.org/package/2006/relationships"><Relationship Type="http://schemas.openxmlformats.org/officeDocument/2006/relationships/externalLinkPath" Target="file:///D:\Appraisals\BBGAppraisals-2023\0123100874%20-%201024%20Cherokee%20Street,%20Denver\Working%20Documents\1024%20Cherokee%20Street%20FE.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Instructions"/>
      <sheetName val="Raw Data Fields"/>
      <sheetName val="Inputs"/>
      <sheetName val="Methodology"/>
      <sheetName val="RevSel"/>
      <sheetName val="ExpSel"/>
      <sheetName val="ARC Property List"/>
      <sheetName val="Values"/>
      <sheetName val="SFC"/>
      <sheetName val="Intro"/>
      <sheetName val="Restricted"/>
      <sheetName val="Survey Results"/>
      <sheetName val="Exposure"/>
      <sheetName val="Area"/>
      <sheetName val="Demos"/>
      <sheetName val="MktStdy"/>
      <sheetName val="MktStdyRents"/>
      <sheetName val="Zoning"/>
      <sheetName val="Site"/>
      <sheetName val="Improv"/>
      <sheetName val="ImpAnalysis"/>
      <sheetName val="Tax"/>
      <sheetName val="TaxAssum"/>
      <sheetName val="Tax Comps"/>
      <sheetName val="L Sum"/>
      <sheetName val="L Grid"/>
      <sheetName val="L Sum (2)"/>
      <sheetName val="L Grid (2)"/>
      <sheetName val="Ins Val (2)"/>
      <sheetName val="Cost"/>
      <sheetName val="Cost_Comps"/>
      <sheetName val="Ins Val"/>
      <sheetName val="LUD"/>
      <sheetName val="IS_Sum"/>
      <sheetName val="IS Grid"/>
      <sheetName val="IS Concl"/>
      <sheetName val="Rent Sum"/>
      <sheetName val="Comp. Rents"/>
      <sheetName val="Mkt Rent-Pads"/>
      <sheetName val="Mkt Rent-Rental Units"/>
      <sheetName val="ARC Financials"/>
      <sheetName val="Op History"/>
      <sheetName val="OpHistDial"/>
      <sheetName val="Exp Comps"/>
      <sheetName val="Exp Charts"/>
      <sheetName val="ExpChartDial"/>
      <sheetName val="Cap Rates"/>
      <sheetName val="Dir Cap"/>
      <sheetName val="DirCapDial"/>
      <sheetName val="DCF Assum"/>
      <sheetName val="APT DCF"/>
      <sheetName val="DCF Dial"/>
      <sheetName val="Key Assumptions"/>
      <sheetName val="Int Rev"/>
      <sheetName val="Job Center"/>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Raw Data Fields"/>
      <sheetName val="License"/>
      <sheetName val="Start Here"/>
      <sheetName val="Inputs"/>
      <sheetName val="RevSel"/>
      <sheetName val="ExpSel"/>
      <sheetName val="InputsRangeNames"/>
      <sheetName val="WA Import"/>
      <sheetName val="MapImport"/>
      <sheetName val="Values"/>
      <sheetName val="SFC"/>
      <sheetName val="Intro"/>
      <sheetName val="Restricted"/>
      <sheetName val="Survey Results"/>
      <sheetName val="Exposure"/>
      <sheetName val="Area"/>
      <sheetName val="Demos"/>
      <sheetName val="MPAA Trends"/>
      <sheetName val="Rest Trends"/>
      <sheetName val="LTL Trends"/>
      <sheetName val="PRW Trends"/>
      <sheetName val="MfgHousing"/>
      <sheetName val="TortoWheaton"/>
      <sheetName val="MktStdy"/>
      <sheetName val="MktStdyRents"/>
      <sheetName val="Site"/>
      <sheetName val="Improv"/>
      <sheetName val="ImpAnalysis"/>
      <sheetName val="Zoning"/>
      <sheetName val="Tax"/>
      <sheetName val="TaxAssum"/>
      <sheetName val="Tax Comps"/>
      <sheetName val="Ground Lease"/>
      <sheetName val="L Sum"/>
      <sheetName val="L Grid"/>
      <sheetName val="L Sum Narr"/>
      <sheetName val="L Sum (2)"/>
      <sheetName val="L Grid (2)"/>
      <sheetName val="L Sum Narr (2)"/>
      <sheetName val="CostComponents"/>
      <sheetName val="Cost"/>
      <sheetName val="Cost_Comps"/>
      <sheetName val="CostCompAssump"/>
      <sheetName val="Ins Val"/>
      <sheetName val="LUD"/>
      <sheetName val="IS_Sum"/>
      <sheetName val="ISGridSel"/>
      <sheetName val="IS Grid"/>
      <sheetName val="IS_Sum Narr"/>
      <sheetName val="IS Concl"/>
      <sheetName val="Natl Comps"/>
      <sheetName val="IS_Sum (2)"/>
      <sheetName val="ISGridSel (2)"/>
      <sheetName val="IS Grid (2)"/>
      <sheetName val="IS_Sum Narr (2)"/>
      <sheetName val="RentSumDisplay"/>
      <sheetName val="Rent Sum"/>
      <sheetName val="Rent Grid"/>
      <sheetName val="Rent Sum Narr"/>
      <sheetName val="RentSumDisplay (2)"/>
      <sheetName val="Rent Sum (2)"/>
      <sheetName val="Rent Sum Narr (2)"/>
      <sheetName val="Comp. Rents"/>
      <sheetName val="Lease Abstract"/>
      <sheetName val="BMR"/>
      <sheetName val="Mkt Rent"/>
      <sheetName val="Op History"/>
      <sheetName val="OpHistDial"/>
      <sheetName val="Exp Comps"/>
      <sheetName val="Exp Charts"/>
      <sheetName val="Cap Rates"/>
      <sheetName val="Dir Cap"/>
      <sheetName val="DirCapDial"/>
      <sheetName val="Dir Cap (2)"/>
      <sheetName val="DCF Assum"/>
      <sheetName val="APT DCF"/>
      <sheetName val="Int Rev"/>
      <sheetName val="Job Center"/>
    </sheetNames>
    <sheetDataSet>
      <sheetData sheetId="0" refreshError="1"/>
      <sheetData sheetId="1" refreshError="1"/>
      <sheetData sheetId="2" refreshError="1"/>
      <sheetData sheetId="3" refreshError="1">
        <row r="4">
          <cell r="C4" t="str">
            <v>08-277DN-0690</v>
          </cell>
        </row>
        <row r="9">
          <cell r="C9" t="str">
            <v>Jared Lay</v>
          </cell>
        </row>
        <row r="10">
          <cell r="C10" t="str">
            <v>Tom Baroch, MAI</v>
          </cell>
        </row>
        <row r="12">
          <cell r="C12" t="str">
            <v>Office Name - P/C ****</v>
          </cell>
        </row>
        <row r="13">
          <cell r="C13" t="str">
            <v>Complete</v>
          </cell>
        </row>
        <row r="14">
          <cell r="C14" t="str">
            <v>Summary</v>
          </cell>
        </row>
        <row r="15">
          <cell r="C15" t="str">
            <v>Robert Oehler</v>
          </cell>
        </row>
        <row r="16">
          <cell r="C16" t="str">
            <v>President and CEO</v>
          </cell>
        </row>
        <row r="18">
          <cell r="C18" t="str">
            <v>626-773-8878</v>
          </cell>
        </row>
        <row r="19">
          <cell r="C19" t="str">
            <v>626-773-8870</v>
          </cell>
        </row>
        <row r="21">
          <cell r="C21" t="str">
            <v>Pacific Alliance Bank</v>
          </cell>
        </row>
        <row r="24">
          <cell r="C24" t="str">
            <v>8400 East Valley Boulevard</v>
          </cell>
        </row>
        <row r="25">
          <cell r="C25" t="str">
            <v>Rosemead</v>
          </cell>
        </row>
        <row r="26">
          <cell r="C26" t="str">
            <v>California</v>
          </cell>
        </row>
        <row r="27">
          <cell r="C27">
            <v>91770</v>
          </cell>
        </row>
        <row r="30">
          <cell r="C30">
            <v>39679</v>
          </cell>
        </row>
        <row r="31">
          <cell r="C31">
            <v>39674</v>
          </cell>
        </row>
        <row r="32">
          <cell r="C32">
            <v>39679</v>
          </cell>
        </row>
        <row r="34">
          <cell r="C34" t="str">
            <v>Leased Fee Interest</v>
          </cell>
        </row>
        <row r="36">
          <cell r="C36" t="str">
            <v>Existing</v>
          </cell>
        </row>
        <row r="37">
          <cell r="C37">
            <v>0</v>
          </cell>
        </row>
        <row r="39">
          <cell r="C39" t="str">
            <v>As Is</v>
          </cell>
        </row>
        <row r="40">
          <cell r="C40"/>
          <cell r="D40">
            <v>6</v>
          </cell>
        </row>
        <row r="41">
          <cell r="C41"/>
          <cell r="D41">
            <v>6</v>
          </cell>
        </row>
        <row r="42">
          <cell r="C42">
            <v>0.03</v>
          </cell>
        </row>
        <row r="43">
          <cell r="C43">
            <v>39674</v>
          </cell>
        </row>
        <row r="44">
          <cell r="C44">
            <v>39674</v>
          </cell>
        </row>
        <row r="45">
          <cell r="C45">
            <v>39674</v>
          </cell>
        </row>
        <row r="47">
          <cell r="D47" t="b">
            <v>0</v>
          </cell>
        </row>
        <row r="52">
          <cell r="D52" t="b">
            <v>0</v>
          </cell>
          <cell r="E52" t="str">
            <v>Fee Simple</v>
          </cell>
        </row>
        <row r="56">
          <cell r="C56" t="str">
            <v>Great Scott's Restaurant</v>
          </cell>
        </row>
        <row r="58">
          <cell r="C58">
            <v>1900</v>
          </cell>
        </row>
        <row r="59">
          <cell r="C59" t="str">
            <v>1551 Cortez Street</v>
          </cell>
        </row>
        <row r="60">
          <cell r="C60" t="str">
            <v>Unincorporated Adams County</v>
          </cell>
        </row>
        <row r="61">
          <cell r="C61" t="str">
            <v>Colorado</v>
          </cell>
        </row>
        <row r="62">
          <cell r="C62">
            <v>80221</v>
          </cell>
        </row>
        <row r="63">
          <cell r="C63" t="str">
            <v>Adams</v>
          </cell>
          <cell r="D63" t="str">
            <v>County</v>
          </cell>
        </row>
        <row r="65">
          <cell r="C65" t="str">
            <v>Standard</v>
          </cell>
          <cell r="D65" t="str">
            <v>Single</v>
          </cell>
        </row>
        <row r="66">
          <cell r="C66" t="str">
            <v>1719-334-14-016</v>
          </cell>
        </row>
        <row r="70">
          <cell r="C70" t="str">
            <v>Retail</v>
          </cell>
        </row>
        <row r="73">
          <cell r="C73" t="str">
            <v>RET_Restaurant</v>
          </cell>
        </row>
        <row r="74">
          <cell r="C74" t="str">
            <v>Retail</v>
          </cell>
        </row>
        <row r="75">
          <cell r="C75" t="str">
            <v>Restaurant</v>
          </cell>
        </row>
        <row r="76">
          <cell r="C76" t="str">
            <v>Retail</v>
          </cell>
        </row>
        <row r="77">
          <cell r="C77">
            <v>250</v>
          </cell>
        </row>
        <row r="78">
          <cell r="C78">
            <v>0.9399908172635445</v>
          </cell>
        </row>
        <row r="79">
          <cell r="C79">
            <v>40946</v>
          </cell>
        </row>
        <row r="81">
          <cell r="C81">
            <v>0</v>
          </cell>
        </row>
        <row r="82">
          <cell r="C82">
            <v>0</v>
          </cell>
        </row>
        <row r="83">
          <cell r="C83">
            <v>0</v>
          </cell>
        </row>
        <row r="85">
          <cell r="C85">
            <v>0.9399908172635445</v>
          </cell>
        </row>
        <row r="93">
          <cell r="C93">
            <v>112</v>
          </cell>
        </row>
        <row r="95">
          <cell r="C95">
            <v>12000</v>
          </cell>
        </row>
        <row r="96">
          <cell r="C96">
            <v>108000</v>
          </cell>
        </row>
        <row r="97">
          <cell r="C97">
            <v>0</v>
          </cell>
        </row>
        <row r="98">
          <cell r="C98">
            <v>0</v>
          </cell>
        </row>
        <row r="99">
          <cell r="C99">
            <v>0</v>
          </cell>
        </row>
        <row r="102">
          <cell r="C102">
            <v>20</v>
          </cell>
        </row>
        <row r="103">
          <cell r="C103">
            <v>100</v>
          </cell>
        </row>
        <row r="104">
          <cell r="C104">
            <v>0.1</v>
          </cell>
        </row>
        <row r="105">
          <cell r="C105">
            <v>0.9</v>
          </cell>
        </row>
        <row r="106">
          <cell r="C106">
            <v>0</v>
          </cell>
        </row>
        <row r="107">
          <cell r="C107">
            <v>0</v>
          </cell>
        </row>
        <row r="108">
          <cell r="C108">
            <v>0</v>
          </cell>
        </row>
        <row r="109">
          <cell r="C109">
            <v>0.05</v>
          </cell>
        </row>
        <row r="117">
          <cell r="C117">
            <v>35</v>
          </cell>
        </row>
        <row r="118">
          <cell r="C118">
            <v>10</v>
          </cell>
        </row>
        <row r="132">
          <cell r="D132">
            <v>1</v>
          </cell>
        </row>
        <row r="133">
          <cell r="C133" t="str">
            <v>Restaurant</v>
          </cell>
        </row>
        <row r="134">
          <cell r="C134">
            <v>4680</v>
          </cell>
        </row>
        <row r="142">
          <cell r="C142">
            <v>0</v>
          </cell>
        </row>
        <row r="143">
          <cell r="C143" t="str">
            <v>---</v>
          </cell>
        </row>
        <row r="144">
          <cell r="C144">
            <v>0</v>
          </cell>
        </row>
        <row r="146">
          <cell r="C146">
            <v>4680</v>
          </cell>
        </row>
        <row r="147">
          <cell r="C147">
            <v>4680</v>
          </cell>
        </row>
        <row r="148">
          <cell r="C148" t="str">
            <v>1</v>
          </cell>
          <cell r="D148" t="str">
            <v>Unit</v>
          </cell>
        </row>
        <row r="149">
          <cell r="C149">
            <v>1</v>
          </cell>
        </row>
        <row r="150">
          <cell r="D150">
            <v>0</v>
          </cell>
        </row>
        <row r="151">
          <cell r="D151">
            <v>7.0000000000000007E-2</v>
          </cell>
        </row>
        <row r="152">
          <cell r="C152">
            <v>0.92999999999999994</v>
          </cell>
        </row>
        <row r="154">
          <cell r="C154">
            <v>1</v>
          </cell>
        </row>
        <row r="155">
          <cell r="C155">
            <v>1</v>
          </cell>
        </row>
        <row r="156">
          <cell r="C156">
            <v>1975</v>
          </cell>
        </row>
        <row r="158">
          <cell r="C158" t="str">
            <v>average</v>
          </cell>
        </row>
        <row r="159">
          <cell r="C159">
            <v>38</v>
          </cell>
        </row>
        <row r="160">
          <cell r="C160">
            <v>15</v>
          </cell>
        </row>
        <row r="161">
          <cell r="C161">
            <v>50</v>
          </cell>
        </row>
        <row r="164">
          <cell r="C164" t="str">
            <v>Potential Rental Income</v>
          </cell>
        </row>
        <row r="165">
          <cell r="C165"/>
        </row>
        <row r="166">
          <cell r="C166"/>
        </row>
        <row r="167">
          <cell r="C167"/>
        </row>
        <row r="168">
          <cell r="C168"/>
        </row>
        <row r="169">
          <cell r="C169"/>
        </row>
        <row r="170">
          <cell r="C170"/>
        </row>
        <row r="171">
          <cell r="C171"/>
        </row>
        <row r="173">
          <cell r="C173"/>
        </row>
        <row r="174">
          <cell r="C174"/>
        </row>
        <row r="175">
          <cell r="C175"/>
        </row>
        <row r="176">
          <cell r="C176"/>
        </row>
        <row r="177">
          <cell r="C177"/>
        </row>
        <row r="178">
          <cell r="C178"/>
        </row>
        <row r="179">
          <cell r="C179"/>
        </row>
        <row r="180">
          <cell r="C180"/>
        </row>
        <row r="181">
          <cell r="C181"/>
        </row>
        <row r="182">
          <cell r="C182"/>
        </row>
        <row r="183">
          <cell r="C183"/>
        </row>
        <row r="184">
          <cell r="C184"/>
        </row>
        <row r="185">
          <cell r="C185" t="str">
            <v>Management Fee</v>
          </cell>
        </row>
        <row r="186">
          <cell r="C186"/>
        </row>
        <row r="187">
          <cell r="C187"/>
        </row>
        <row r="188">
          <cell r="C188"/>
        </row>
        <row r="189">
          <cell r="C189"/>
        </row>
        <row r="190">
          <cell r="C190"/>
        </row>
        <row r="191">
          <cell r="C191"/>
        </row>
        <row r="192">
          <cell r="C192" t="str">
            <v>Reserves for Replacement</v>
          </cell>
        </row>
      </sheetData>
      <sheetData sheetId="4" refreshError="1"/>
      <sheetData sheetId="5" refreshError="1"/>
      <sheetData sheetId="6" refreshError="1">
        <row r="2">
          <cell r="E2">
            <v>1</v>
          </cell>
          <cell r="G2">
            <v>71</v>
          </cell>
          <cell r="J2">
            <v>1</v>
          </cell>
          <cell r="K2">
            <v>2</v>
          </cell>
          <cell r="N2">
            <v>2</v>
          </cell>
          <cell r="O2">
            <v>2</v>
          </cell>
          <cell r="P2">
            <v>2</v>
          </cell>
          <cell r="T2">
            <v>1</v>
          </cell>
          <cell r="U2">
            <v>3</v>
          </cell>
          <cell r="V2">
            <v>9</v>
          </cell>
          <cell r="W2">
            <v>4</v>
          </cell>
          <cell r="X2">
            <v>3</v>
          </cell>
        </row>
        <row r="4">
          <cell r="A4">
            <v>1</v>
          </cell>
          <cell r="E4" t="str">
            <v>Assignment</v>
          </cell>
          <cell r="I4" t="str">
            <v>A</v>
          </cell>
          <cell r="J4" t="str">
            <v>Fireproofed structural steel frames with reinforced concrete or masonry floors and roofs</v>
          </cell>
          <cell r="K4" t="str">
            <v>A +</v>
          </cell>
          <cell r="N4" t="str">
            <v>$ Per AC</v>
          </cell>
          <cell r="O4">
            <v>0.9399908172635445</v>
          </cell>
          <cell r="P4" t="str">
            <v>Subject Acs.</v>
          </cell>
          <cell r="Q4">
            <v>0</v>
          </cell>
          <cell r="S4" t="str">
            <v>Land Value</v>
          </cell>
          <cell r="T4" t="str">
            <v>General Investment</v>
          </cell>
          <cell r="U4" t="str">
            <v>General Investment</v>
          </cell>
          <cell r="V4" t="str">
            <v>Regional Mall</v>
          </cell>
          <cell r="W4" t="str">
            <v>Apartment</v>
          </cell>
          <cell r="X4" t="str">
            <v>poor</v>
          </cell>
          <cell r="Y4" t="str">
            <v>---</v>
          </cell>
        </row>
        <row r="5">
          <cell r="A5">
            <v>2</v>
          </cell>
          <cell r="E5" t="str">
            <v>Cancelled</v>
          </cell>
          <cell r="I5" t="str">
            <v>B</v>
          </cell>
          <cell r="J5" t="str">
            <v>Reinforced concrete frames and concrete or masonry floors and roofs</v>
          </cell>
          <cell r="K5" t="str">
            <v>A</v>
          </cell>
          <cell r="N5" t="str">
            <v>$ PSF</v>
          </cell>
          <cell r="O5">
            <v>40946</v>
          </cell>
          <cell r="P5" t="str">
            <v>Subject SF</v>
          </cell>
          <cell r="Q5">
            <v>0</v>
          </cell>
          <cell r="S5" t="str">
            <v>As Is</v>
          </cell>
          <cell r="T5" t="str">
            <v>Apartments</v>
          </cell>
          <cell r="U5" t="str">
            <v>Apartments</v>
          </cell>
          <cell r="V5" t="str">
            <v>Power Center</v>
          </cell>
          <cell r="W5" t="str">
            <v>Industrial</v>
          </cell>
          <cell r="X5" t="str">
            <v>fair</v>
          </cell>
          <cell r="Y5" t="str">
            <v>Retail Space</v>
          </cell>
        </row>
        <row r="6">
          <cell r="A6">
            <v>3</v>
          </cell>
          <cell r="E6" t="str">
            <v>Completed</v>
          </cell>
          <cell r="I6" t="str">
            <v>C</v>
          </cell>
          <cell r="J6" t="str">
            <v>Masonry/concrete ext. walls &amp; wood/steel roof &amp; floor struct., exc. concrete slab on grade</v>
          </cell>
          <cell r="K6" t="str">
            <v>A -</v>
          </cell>
          <cell r="N6" t="str">
            <v>$ Per Unit</v>
          </cell>
          <cell r="O6">
            <v>250</v>
          </cell>
          <cell r="P6" t="str">
            <v>Subject Units</v>
          </cell>
          <cell r="Q6">
            <v>0</v>
          </cell>
          <cell r="S6" t="str">
            <v>As Complete</v>
          </cell>
          <cell r="T6" t="str">
            <v>Net Leased Investments</v>
          </cell>
          <cell r="U6" t="str">
            <v>Net Leased Investments</v>
          </cell>
          <cell r="V6" t="str">
            <v>Strip Shopping Center</v>
          </cell>
          <cell r="W6" t="str">
            <v>Office</v>
          </cell>
          <cell r="X6" t="str">
            <v>average</v>
          </cell>
          <cell r="Y6" t="str">
            <v>Anchors</v>
          </cell>
        </row>
        <row r="7">
          <cell r="A7">
            <v>4</v>
          </cell>
          <cell r="E7" t="str">
            <v>Draft</v>
          </cell>
          <cell r="I7" t="str">
            <v>D</v>
          </cell>
          <cell r="J7" t="str">
            <v>Wood frame, floor and structure; considered combustible</v>
          </cell>
          <cell r="K7" t="str">
            <v>A/B</v>
          </cell>
          <cell r="S7" t="str">
            <v>As Stabilized</v>
          </cell>
          <cell r="T7" t="str">
            <v>Business Parks</v>
          </cell>
          <cell r="U7" t="str">
            <v>Business Parks</v>
          </cell>
          <cell r="V7" t="str">
            <v>CBD Office</v>
          </cell>
          <cell r="W7" t="str">
            <v>Retail</v>
          </cell>
          <cell r="X7" t="str">
            <v>good</v>
          </cell>
          <cell r="Y7" t="str">
            <v>Jr. Anchors</v>
          </cell>
        </row>
        <row r="8">
          <cell r="A8">
            <v>5</v>
          </cell>
          <cell r="E8" t="str">
            <v>On Hold</v>
          </cell>
          <cell r="I8" t="str">
            <v>S</v>
          </cell>
          <cell r="J8" t="str">
            <v>Frames, roofs and walls of incombustible metal</v>
          </cell>
          <cell r="K8" t="str">
            <v>B +</v>
          </cell>
          <cell r="S8" t="str">
            <v>Retrospective Value</v>
          </cell>
          <cell r="T8" t="str">
            <v>Industrial R&amp;D</v>
          </cell>
          <cell r="U8" t="str">
            <v>Industrial R&amp;D</v>
          </cell>
          <cell r="V8" t="str">
            <v>Suburban Office</v>
          </cell>
          <cell r="X8" t="str">
            <v>excellent</v>
          </cell>
          <cell r="Y8" t="str">
            <v>End Cap</v>
          </cell>
        </row>
        <row r="9">
          <cell r="A9">
            <v>6</v>
          </cell>
          <cell r="E9" t="str">
            <v>Proposal</v>
          </cell>
          <cell r="K9" t="str">
            <v>B</v>
          </cell>
          <cell r="S9"/>
          <cell r="T9" t="str">
            <v>Self Storage</v>
          </cell>
          <cell r="U9" t="str">
            <v>Self Storage</v>
          </cell>
          <cell r="V9" t="str">
            <v>Flex/R&amp;D</v>
          </cell>
          <cell r="Y9" t="str">
            <v>In-line</v>
          </cell>
        </row>
        <row r="10">
          <cell r="A10">
            <v>7</v>
          </cell>
          <cell r="E10" t="str">
            <v>Verbal</v>
          </cell>
          <cell r="K10" t="str">
            <v>B -</v>
          </cell>
          <cell r="T10" t="str">
            <v>Warehouse/Distribution</v>
          </cell>
          <cell r="U10" t="str">
            <v>Warehouse/Distribution</v>
          </cell>
          <cell r="V10" t="str">
            <v>Warehouse</v>
          </cell>
          <cell r="Y10" t="str">
            <v>Bank</v>
          </cell>
        </row>
        <row r="11">
          <cell r="A11">
            <v>8</v>
          </cell>
          <cell r="K11" t="str">
            <v>B/C</v>
          </cell>
          <cell r="T11" t="str">
            <v>Suburban Office</v>
          </cell>
          <cell r="U11" t="str">
            <v>Suburban Office</v>
          </cell>
          <cell r="V11" t="str">
            <v>Apartment</v>
          </cell>
          <cell r="Y11" t="str">
            <v>Restaurant</v>
          </cell>
        </row>
        <row r="12">
          <cell r="A12">
            <v>9</v>
          </cell>
          <cell r="K12" t="str">
            <v>C +</v>
          </cell>
          <cell r="T12" t="str">
            <v>Urban Office</v>
          </cell>
          <cell r="U12" t="str">
            <v>Urban Office</v>
          </cell>
          <cell r="V12" t="str">
            <v>Net Lease</v>
          </cell>
          <cell r="Y12" t="str">
            <v>Theater</v>
          </cell>
        </row>
        <row r="13">
          <cell r="A13">
            <v>10</v>
          </cell>
          <cell r="K13" t="str">
            <v>C</v>
          </cell>
          <cell r="T13" t="str">
            <v>Regional Malls</v>
          </cell>
          <cell r="U13" t="str">
            <v>Regional Malls</v>
          </cell>
          <cell r="V13" t="str">
            <v>Domestic Self Storage</v>
          </cell>
          <cell r="Y13" t="str">
            <v>Auto Dealership</v>
          </cell>
        </row>
        <row r="14">
          <cell r="A14">
            <v>11</v>
          </cell>
          <cell r="K14" t="str">
            <v>C -</v>
          </cell>
          <cell r="T14" t="str">
            <v>Power Centers</v>
          </cell>
          <cell r="U14" t="str">
            <v>Power Centers</v>
          </cell>
          <cell r="Y14" t="str">
            <v>Storage</v>
          </cell>
        </row>
        <row r="15">
          <cell r="A15">
            <v>12</v>
          </cell>
          <cell r="K15" t="str">
            <v>C/D</v>
          </cell>
          <cell r="T15" t="str">
            <v>Community Centers</v>
          </cell>
          <cell r="U15" t="str">
            <v>Community Centers</v>
          </cell>
          <cell r="Y15" t="str">
            <v>Pad Site</v>
          </cell>
        </row>
        <row r="16">
          <cell r="A16">
            <v>13</v>
          </cell>
          <cell r="K16" t="str">
            <v>D +</v>
          </cell>
          <cell r="T16" t="str">
            <v>Neighborhood Centers</v>
          </cell>
          <cell r="U16" t="str">
            <v>Neighborhood Centers</v>
          </cell>
          <cell r="Y16" t="str">
            <v>Ground Lease</v>
          </cell>
        </row>
        <row r="17">
          <cell r="A17">
            <v>14</v>
          </cell>
          <cell r="K17" t="str">
            <v>D</v>
          </cell>
          <cell r="T17" t="str">
            <v>Strip Centers</v>
          </cell>
          <cell r="U17" t="str">
            <v>Strip Centers</v>
          </cell>
          <cell r="Y17" t="str">
            <v>---</v>
          </cell>
        </row>
        <row r="18">
          <cell r="A18">
            <v>15</v>
          </cell>
          <cell r="K18" t="str">
            <v>D -</v>
          </cell>
          <cell r="T18" t="str">
            <v>Hotels</v>
          </cell>
          <cell r="U18" t="str">
            <v>Hotels</v>
          </cell>
          <cell r="Y18" t="str">
            <v>Office Space</v>
          </cell>
        </row>
        <row r="19">
          <cell r="A19">
            <v>16</v>
          </cell>
          <cell r="T19" t="str">
            <v>All Responses</v>
          </cell>
          <cell r="U19" t="str">
            <v>All Responses</v>
          </cell>
          <cell r="Y19" t="str">
            <v>Ground Floor Retail</v>
          </cell>
        </row>
        <row r="20">
          <cell r="A20">
            <v>17</v>
          </cell>
          <cell r="Y20" t="str">
            <v>Low &amp; Mid Floors</v>
          </cell>
        </row>
        <row r="21">
          <cell r="A21">
            <v>18</v>
          </cell>
          <cell r="Y21" t="str">
            <v>Upper Floors</v>
          </cell>
        </row>
        <row r="22">
          <cell r="A22">
            <v>19</v>
          </cell>
          <cell r="Y22" t="str">
            <v>Premium Floors</v>
          </cell>
        </row>
        <row r="23">
          <cell r="A23">
            <v>20</v>
          </cell>
          <cell r="Y23" t="str">
            <v>Storage</v>
          </cell>
        </row>
        <row r="24">
          <cell r="A24">
            <v>21</v>
          </cell>
          <cell r="Y24" t="str">
            <v>---</v>
          </cell>
        </row>
        <row r="25">
          <cell r="A25">
            <v>22</v>
          </cell>
          <cell r="Y25" t="str">
            <v>Industrial Space</v>
          </cell>
        </row>
        <row r="26">
          <cell r="A26">
            <v>23</v>
          </cell>
          <cell r="Y26" t="str">
            <v>Warehouse</v>
          </cell>
        </row>
        <row r="27">
          <cell r="A27">
            <v>24</v>
          </cell>
          <cell r="Y27" t="str">
            <v>Office Service</v>
          </cell>
        </row>
        <row r="28">
          <cell r="A28">
            <v>25</v>
          </cell>
          <cell r="Y28" t="str">
            <v>Flex</v>
          </cell>
        </row>
        <row r="29">
          <cell r="A29">
            <v>26</v>
          </cell>
          <cell r="Y29" t="str">
            <v>Tech</v>
          </cell>
        </row>
        <row r="30">
          <cell r="A30">
            <v>27</v>
          </cell>
          <cell r="Y30" t="str">
            <v>Manufacturing</v>
          </cell>
        </row>
        <row r="31">
          <cell r="A31">
            <v>28</v>
          </cell>
          <cell r="Y31" t="str">
            <v>Distribution</v>
          </cell>
        </row>
        <row r="32">
          <cell r="A32">
            <v>29</v>
          </cell>
          <cell r="Y32" t="str">
            <v>Break Bulk</v>
          </cell>
        </row>
        <row r="33">
          <cell r="A33">
            <v>30</v>
          </cell>
          <cell r="Y33" t="str">
            <v>Research &amp; Development</v>
          </cell>
        </row>
        <row r="34">
          <cell r="A34">
            <v>31</v>
          </cell>
          <cell r="Y34" t="str">
            <v>Clean Room</v>
          </cell>
        </row>
        <row r="35">
          <cell r="A35">
            <v>32</v>
          </cell>
          <cell r="Y35" t="str">
            <v>Cold Storage</v>
          </cell>
        </row>
        <row r="36">
          <cell r="A36">
            <v>33</v>
          </cell>
          <cell r="Y36" t="str">
            <v>Ambient</v>
          </cell>
        </row>
        <row r="37">
          <cell r="A37">
            <v>34</v>
          </cell>
          <cell r="Y37" t="str">
            <v>Cooler</v>
          </cell>
        </row>
        <row r="38">
          <cell r="A38">
            <v>35</v>
          </cell>
          <cell r="Y38" t="str">
            <v>Freezer</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row r="69">
          <cell r="A69">
            <v>66</v>
          </cell>
        </row>
        <row r="70">
          <cell r="A70">
            <v>67</v>
          </cell>
        </row>
        <row r="71">
          <cell r="A71">
            <v>68</v>
          </cell>
        </row>
        <row r="72">
          <cell r="A72">
            <v>69</v>
          </cell>
        </row>
        <row r="73">
          <cell r="A73">
            <v>70</v>
          </cell>
        </row>
        <row r="74">
          <cell r="A74">
            <v>71</v>
          </cell>
        </row>
        <row r="75">
          <cell r="A75">
            <v>72</v>
          </cell>
        </row>
        <row r="76">
          <cell r="A76">
            <v>73</v>
          </cell>
        </row>
        <row r="77">
          <cell r="A77">
            <v>74</v>
          </cell>
        </row>
        <row r="78">
          <cell r="A78">
            <v>75</v>
          </cell>
        </row>
        <row r="79">
          <cell r="A79">
            <v>76</v>
          </cell>
        </row>
        <row r="80">
          <cell r="A80">
            <v>77</v>
          </cell>
        </row>
        <row r="81">
          <cell r="A81">
            <v>78</v>
          </cell>
        </row>
        <row r="82">
          <cell r="A82">
            <v>79</v>
          </cell>
        </row>
        <row r="83">
          <cell r="A83">
            <v>80</v>
          </cell>
        </row>
        <row r="84">
          <cell r="A84">
            <v>81</v>
          </cell>
        </row>
        <row r="85">
          <cell r="A85">
            <v>82</v>
          </cell>
        </row>
        <row r="86">
          <cell r="A86">
            <v>83</v>
          </cell>
        </row>
        <row r="87">
          <cell r="A87">
            <v>84</v>
          </cell>
        </row>
        <row r="88">
          <cell r="A88">
            <v>85</v>
          </cell>
        </row>
        <row r="89">
          <cell r="A89">
            <v>86</v>
          </cell>
        </row>
        <row r="90">
          <cell r="A90">
            <v>87</v>
          </cell>
        </row>
        <row r="91">
          <cell r="A91">
            <v>88</v>
          </cell>
        </row>
        <row r="92">
          <cell r="A92">
            <v>89</v>
          </cell>
        </row>
        <row r="93">
          <cell r="A93">
            <v>90</v>
          </cell>
        </row>
        <row r="94">
          <cell r="A94">
            <v>91</v>
          </cell>
        </row>
        <row r="95">
          <cell r="A95">
            <v>92</v>
          </cell>
        </row>
        <row r="96">
          <cell r="A96">
            <v>93</v>
          </cell>
        </row>
        <row r="97">
          <cell r="A97">
            <v>94</v>
          </cell>
        </row>
        <row r="98">
          <cell r="A98">
            <v>95</v>
          </cell>
        </row>
        <row r="99">
          <cell r="A99">
            <v>96</v>
          </cell>
        </row>
        <row r="100">
          <cell r="A100">
            <v>97</v>
          </cell>
        </row>
        <row r="101">
          <cell r="A101">
            <v>98</v>
          </cell>
        </row>
        <row r="102">
          <cell r="A102">
            <v>99</v>
          </cell>
        </row>
        <row r="103">
          <cell r="A103">
            <v>100</v>
          </cell>
        </row>
        <row r="104">
          <cell r="A104">
            <v>101</v>
          </cell>
        </row>
        <row r="105">
          <cell r="A105">
            <v>102</v>
          </cell>
        </row>
        <row r="106">
          <cell r="A106">
            <v>103</v>
          </cell>
        </row>
        <row r="107">
          <cell r="A107">
            <v>104</v>
          </cell>
        </row>
      </sheetData>
      <sheetData sheetId="7" refreshError="1">
        <row r="8">
          <cell r="J8" t="str">
            <v>Rosie's Diner</v>
          </cell>
          <cell r="Q8" t="str">
            <v>14061 East Iliff Avenue</v>
          </cell>
          <cell r="S8" t="str">
            <v>Aurora</v>
          </cell>
          <cell r="T8">
            <v>80014</v>
          </cell>
          <cell r="V8" t="str">
            <v>CO</v>
          </cell>
          <cell r="AA8">
            <v>0.82</v>
          </cell>
          <cell r="AD8">
            <v>0</v>
          </cell>
          <cell r="AN8">
            <v>0</v>
          </cell>
          <cell r="AP8">
            <v>0</v>
          </cell>
          <cell r="AT8">
            <v>3604</v>
          </cell>
          <cell r="AU8">
            <v>2000</v>
          </cell>
          <cell r="AW8">
            <v>0</v>
          </cell>
          <cell r="BD8">
            <v>38749</v>
          </cell>
          <cell r="BI8">
            <v>900000</v>
          </cell>
          <cell r="BM8">
            <v>900000</v>
          </cell>
          <cell r="CC8">
            <v>0</v>
          </cell>
          <cell r="CE8">
            <v>0</v>
          </cell>
          <cell r="CG8">
            <v>0</v>
          </cell>
          <cell r="CH8">
            <v>0</v>
          </cell>
          <cell r="CI8">
            <v>249.72</v>
          </cell>
          <cell r="CJ8">
            <v>0</v>
          </cell>
          <cell r="GM8" t="str">
            <v>Sale</v>
          </cell>
        </row>
        <row r="9">
          <cell r="J9" t="str">
            <v>Thornton Restauant</v>
          </cell>
          <cell r="Q9" t="str">
            <v>610-650 East 104th Avenue</v>
          </cell>
          <cell r="S9" t="str">
            <v>Thornton</v>
          </cell>
          <cell r="T9">
            <v>80233</v>
          </cell>
          <cell r="V9" t="str">
            <v>CO</v>
          </cell>
          <cell r="AA9">
            <v>0.78</v>
          </cell>
          <cell r="AD9">
            <v>0</v>
          </cell>
          <cell r="AN9">
            <v>0</v>
          </cell>
          <cell r="AP9">
            <v>0</v>
          </cell>
          <cell r="AT9">
            <v>4686</v>
          </cell>
          <cell r="AU9">
            <v>1974</v>
          </cell>
          <cell r="AW9">
            <v>0</v>
          </cell>
          <cell r="BD9">
            <v>39083</v>
          </cell>
          <cell r="BI9">
            <v>1004000</v>
          </cell>
          <cell r="BM9">
            <v>1004000</v>
          </cell>
          <cell r="CC9">
            <v>0</v>
          </cell>
          <cell r="CE9">
            <v>0</v>
          </cell>
          <cell r="CG9">
            <v>0</v>
          </cell>
          <cell r="CH9">
            <v>0</v>
          </cell>
          <cell r="CI9">
            <v>214.26</v>
          </cell>
          <cell r="CJ9">
            <v>0</v>
          </cell>
          <cell r="GM9" t="str">
            <v>Sale</v>
          </cell>
        </row>
        <row r="10">
          <cell r="J10" t="str">
            <v>India Garden Restaurant</v>
          </cell>
          <cell r="Q10" t="str">
            <v>7180 East Hampden Avenue</v>
          </cell>
          <cell r="S10" t="str">
            <v>Denver</v>
          </cell>
          <cell r="T10">
            <v>80224</v>
          </cell>
          <cell r="V10" t="str">
            <v>CO</v>
          </cell>
          <cell r="AA10">
            <v>0.52</v>
          </cell>
          <cell r="AD10">
            <v>0</v>
          </cell>
          <cell r="AN10">
            <v>0</v>
          </cell>
          <cell r="AP10">
            <v>0</v>
          </cell>
          <cell r="AT10">
            <v>6297</v>
          </cell>
          <cell r="AU10">
            <v>1974</v>
          </cell>
          <cell r="AW10">
            <v>0</v>
          </cell>
          <cell r="BD10">
            <v>39203</v>
          </cell>
          <cell r="BI10">
            <v>1200000</v>
          </cell>
          <cell r="BM10">
            <v>1200000</v>
          </cell>
          <cell r="CC10">
            <v>0</v>
          </cell>
          <cell r="CE10">
            <v>0</v>
          </cell>
          <cell r="CG10">
            <v>0</v>
          </cell>
          <cell r="CH10">
            <v>0</v>
          </cell>
          <cell r="CI10">
            <v>190.57</v>
          </cell>
          <cell r="CJ10">
            <v>0</v>
          </cell>
          <cell r="GM10" t="str">
            <v>Sale</v>
          </cell>
        </row>
        <row r="11">
          <cell r="J11" t="str">
            <v>The Chalet</v>
          </cell>
          <cell r="Q11" t="str">
            <v>7340 West 38th Avenue</v>
          </cell>
          <cell r="S11" t="str">
            <v>Wheat Ridge</v>
          </cell>
          <cell r="T11">
            <v>80033</v>
          </cell>
          <cell r="V11" t="str">
            <v>CO</v>
          </cell>
          <cell r="AA11">
            <v>0.47</v>
          </cell>
          <cell r="AD11">
            <v>0</v>
          </cell>
          <cell r="AN11">
            <v>0</v>
          </cell>
          <cell r="AP11">
            <v>0</v>
          </cell>
          <cell r="AT11">
            <v>2817</v>
          </cell>
          <cell r="AU11">
            <v>1957</v>
          </cell>
          <cell r="AW11">
            <v>0</v>
          </cell>
          <cell r="BD11">
            <v>39295</v>
          </cell>
          <cell r="BI11">
            <v>600000</v>
          </cell>
          <cell r="BM11">
            <v>600000</v>
          </cell>
          <cell r="BQ11">
            <v>1</v>
          </cell>
          <cell r="CC11">
            <v>0</v>
          </cell>
          <cell r="CE11">
            <v>0</v>
          </cell>
          <cell r="CG11">
            <v>0</v>
          </cell>
          <cell r="CH11">
            <v>0</v>
          </cell>
          <cell r="CI11">
            <v>212.99</v>
          </cell>
          <cell r="CJ11">
            <v>0</v>
          </cell>
          <cell r="GM11" t="str">
            <v>Sale</v>
          </cell>
        </row>
        <row r="12">
          <cell r="J12" t="str">
            <v>Former Marie Callenders</v>
          </cell>
          <cell r="Q12" t="str">
            <v>6030 West 92nd Avenue</v>
          </cell>
          <cell r="S12" t="str">
            <v>Westminster</v>
          </cell>
          <cell r="T12">
            <v>80031</v>
          </cell>
          <cell r="V12" t="str">
            <v>CO</v>
          </cell>
          <cell r="AA12">
            <v>1.07</v>
          </cell>
          <cell r="AP12">
            <v>0</v>
          </cell>
          <cell r="AT12">
            <v>10552</v>
          </cell>
          <cell r="AU12">
            <v>1986</v>
          </cell>
          <cell r="AW12">
            <v>0</v>
          </cell>
          <cell r="BD12">
            <v>39417</v>
          </cell>
          <cell r="BI12">
            <v>1720000</v>
          </cell>
          <cell r="BM12">
            <v>1720000</v>
          </cell>
          <cell r="CC12">
            <v>0</v>
          </cell>
          <cell r="CE12">
            <v>0</v>
          </cell>
          <cell r="CG12">
            <v>0</v>
          </cell>
          <cell r="CH12">
            <v>0</v>
          </cell>
          <cell r="CI12">
            <v>163</v>
          </cell>
          <cell r="CJ12">
            <v>0</v>
          </cell>
          <cell r="GM12" t="str">
            <v>Sale</v>
          </cell>
        </row>
        <row r="20">
          <cell r="J20" t="str">
            <v>Shea Plaza</v>
          </cell>
          <cell r="Q20" t="str">
            <v>NEC Shea Boulevard &amp; 32nd Street</v>
          </cell>
          <cell r="S20" t="str">
            <v>Phoenix</v>
          </cell>
          <cell r="T20">
            <v>85028</v>
          </cell>
          <cell r="V20" t="str">
            <v>AZ</v>
          </cell>
          <cell r="AA20">
            <v>7.74</v>
          </cell>
          <cell r="AC20" t="str">
            <v>Yes - Vacant Pa</v>
          </cell>
          <cell r="AD20">
            <v>0</v>
          </cell>
          <cell r="AL20">
            <v>0</v>
          </cell>
          <cell r="AT20">
            <v>86000</v>
          </cell>
          <cell r="AU20">
            <v>1971</v>
          </cell>
          <cell r="BD20">
            <v>38504</v>
          </cell>
          <cell r="BM20">
            <v>13450000</v>
          </cell>
          <cell r="BQ20">
            <v>1</v>
          </cell>
          <cell r="CC20">
            <v>11.4</v>
          </cell>
          <cell r="CE20">
            <v>7.29</v>
          </cell>
          <cell r="CI20">
            <v>156.4</v>
          </cell>
          <cell r="CJ20">
            <v>0</v>
          </cell>
          <cell r="GM20" t="str">
            <v>Sale</v>
          </cell>
        </row>
        <row r="21">
          <cell r="J21" t="str">
            <v>Shoppes at Palm Valley</v>
          </cell>
          <cell r="Q21" t="str">
            <v>3865 Mickler Road</v>
          </cell>
          <cell r="S21" t="str">
            <v>Ponte Vedra Beach</v>
          </cell>
          <cell r="V21" t="str">
            <v>FL</v>
          </cell>
          <cell r="Y21" t="str">
            <v>067240 0000</v>
          </cell>
          <cell r="AA21">
            <v>5.57</v>
          </cell>
          <cell r="AC21" t="str">
            <v>none</v>
          </cell>
          <cell r="AD21">
            <v>0</v>
          </cell>
          <cell r="AL21">
            <v>0</v>
          </cell>
          <cell r="AT21">
            <v>39927</v>
          </cell>
          <cell r="AU21">
            <v>2005</v>
          </cell>
          <cell r="BD21">
            <v>38504</v>
          </cell>
          <cell r="BM21">
            <v>12730000</v>
          </cell>
          <cell r="BQ21">
            <v>1</v>
          </cell>
          <cell r="CC21">
            <v>21.49</v>
          </cell>
          <cell r="CE21">
            <v>6.74</v>
          </cell>
          <cell r="CI21">
            <v>318.83</v>
          </cell>
          <cell r="CJ21">
            <v>0</v>
          </cell>
          <cell r="GM21" t="str">
            <v>Sale</v>
          </cell>
        </row>
        <row r="22">
          <cell r="J22" t="str">
            <v>Shops at Boca Grove</v>
          </cell>
          <cell r="Q22" t="str">
            <v>21055 Jog Road</v>
          </cell>
          <cell r="S22" t="str">
            <v>Boca Raton</v>
          </cell>
          <cell r="T22">
            <v>33433</v>
          </cell>
          <cell r="V22" t="str">
            <v>FL</v>
          </cell>
          <cell r="Y22" t="str">
            <v>00-4247-22-00-000-3090</v>
          </cell>
          <cell r="AA22">
            <v>6.31</v>
          </cell>
          <cell r="AD22">
            <v>0</v>
          </cell>
          <cell r="AL22">
            <v>0</v>
          </cell>
          <cell r="AT22">
            <v>190110</v>
          </cell>
          <cell r="AU22">
            <v>1984</v>
          </cell>
          <cell r="BD22">
            <v>38504</v>
          </cell>
          <cell r="BM22">
            <v>0</v>
          </cell>
          <cell r="BQ22">
            <v>0.91</v>
          </cell>
          <cell r="CC22">
            <v>0</v>
          </cell>
          <cell r="CE22">
            <v>0</v>
          </cell>
          <cell r="CI22">
            <v>0</v>
          </cell>
          <cell r="CJ22">
            <v>0</v>
          </cell>
          <cell r="GM22" t="str">
            <v>Contract</v>
          </cell>
        </row>
        <row r="23">
          <cell r="J23" t="str">
            <v>Steele Creek Crossing</v>
          </cell>
          <cell r="Q23" t="str">
            <v>12810 York Road</v>
          </cell>
          <cell r="S23" t="str">
            <v>Charlotte</v>
          </cell>
          <cell r="V23" t="str">
            <v>NC</v>
          </cell>
          <cell r="Y23" t="str">
            <v>201-231-12 &amp;13</v>
          </cell>
          <cell r="AA23">
            <v>11.28</v>
          </cell>
          <cell r="AD23">
            <v>0</v>
          </cell>
          <cell r="AL23">
            <v>10908</v>
          </cell>
          <cell r="AT23">
            <v>69201</v>
          </cell>
          <cell r="AU23">
            <v>2000</v>
          </cell>
          <cell r="BD23">
            <v>38504</v>
          </cell>
          <cell r="BM23">
            <v>14500000</v>
          </cell>
          <cell r="CC23">
            <v>0</v>
          </cell>
          <cell r="CE23">
            <v>0</v>
          </cell>
          <cell r="CI23">
            <v>209.53</v>
          </cell>
          <cell r="CJ23">
            <v>0</v>
          </cell>
          <cell r="GM23" t="str">
            <v>Contract</v>
          </cell>
        </row>
        <row r="24">
          <cell r="J24" t="str">
            <v>The Pavilion</v>
          </cell>
          <cell r="Q24" t="str">
            <v>1900-1998 Hacienda Drive</v>
          </cell>
          <cell r="S24" t="str">
            <v>Vista</v>
          </cell>
          <cell r="T24">
            <v>92083</v>
          </cell>
          <cell r="V24" t="str">
            <v>CA</v>
          </cell>
          <cell r="Y24" t="str">
            <v>166-054-25, 44</v>
          </cell>
          <cell r="AA24">
            <v>10.87</v>
          </cell>
          <cell r="AD24">
            <v>0</v>
          </cell>
          <cell r="AL24">
            <v>0</v>
          </cell>
          <cell r="AT24">
            <v>135754</v>
          </cell>
          <cell r="AU24">
            <v>1989</v>
          </cell>
          <cell r="BD24">
            <v>38504</v>
          </cell>
          <cell r="BM24">
            <v>28500000</v>
          </cell>
          <cell r="BQ24">
            <v>0.97</v>
          </cell>
          <cell r="CC24">
            <v>14.38</v>
          </cell>
          <cell r="CE24">
            <v>6.85</v>
          </cell>
          <cell r="CI24">
            <v>209.94</v>
          </cell>
          <cell r="CJ24">
            <v>0</v>
          </cell>
          <cell r="GM24" t="str">
            <v>Sale</v>
          </cell>
        </row>
        <row r="25">
          <cell r="J25" t="str">
            <v>Torrey Hills Center</v>
          </cell>
          <cell r="Q25" t="str">
            <v>4639 to 4853 Carmel Mountain Road</v>
          </cell>
          <cell r="S25" t="str">
            <v>San Diego</v>
          </cell>
          <cell r="T25">
            <v>92130</v>
          </cell>
          <cell r="V25" t="str">
            <v>CA</v>
          </cell>
          <cell r="AA25">
            <v>15.3</v>
          </cell>
          <cell r="AD25">
            <v>0</v>
          </cell>
          <cell r="AT25">
            <v>86584</v>
          </cell>
          <cell r="AU25">
            <v>2005</v>
          </cell>
          <cell r="BD25">
            <v>38504</v>
          </cell>
          <cell r="BM25">
            <v>36750000</v>
          </cell>
          <cell r="BQ25" t="str">
            <v>N/A</v>
          </cell>
          <cell r="CC25">
            <v>25.9</v>
          </cell>
          <cell r="CE25">
            <v>6.1</v>
          </cell>
          <cell r="CI25">
            <v>424.44</v>
          </cell>
          <cell r="CJ25">
            <v>0</v>
          </cell>
          <cell r="GM25" t="str">
            <v>Sale</v>
          </cell>
        </row>
        <row r="32">
          <cell r="L32" t="str">
            <v>NWC Sam Houston Parkway &amp; Mesa</v>
          </cell>
          <cell r="O32" t="str">
            <v>NWC Sam Houston Parkway &amp; Mesa</v>
          </cell>
          <cell r="Q32" t="str">
            <v>Humble</v>
          </cell>
          <cell r="T32" t="str">
            <v>Tx</v>
          </cell>
          <cell r="AA32">
            <v>5.2256</v>
          </cell>
          <cell r="AB32">
            <v>227627</v>
          </cell>
          <cell r="AH32" t="str">
            <v>N/A</v>
          </cell>
          <cell r="AK32">
            <v>0</v>
          </cell>
          <cell r="AM32">
            <v>37469</v>
          </cell>
          <cell r="AR32">
            <v>967415</v>
          </cell>
          <cell r="AV32">
            <v>967415</v>
          </cell>
          <cell r="AZ32" t="str">
            <v>Retail</v>
          </cell>
          <cell r="DM32" t="str">
            <v>Sale</v>
          </cell>
        </row>
        <row r="33">
          <cell r="L33" t="str">
            <v>Proposed Retail Center Site</v>
          </cell>
          <cell r="O33" t="str">
            <v>South side Bellaire Blvd west of Corporate Drive</v>
          </cell>
          <cell r="Q33" t="str">
            <v>Houston</v>
          </cell>
          <cell r="R33">
            <v>77025</v>
          </cell>
          <cell r="T33" t="str">
            <v>TX</v>
          </cell>
          <cell r="AA33">
            <v>5.444</v>
          </cell>
          <cell r="AB33">
            <v>237141</v>
          </cell>
          <cell r="AK33">
            <v>0</v>
          </cell>
          <cell r="AM33">
            <v>37469</v>
          </cell>
          <cell r="AR33">
            <v>2134269</v>
          </cell>
          <cell r="AV33">
            <v>2134269</v>
          </cell>
          <cell r="AZ33" t="str">
            <v>Retail center</v>
          </cell>
          <cell r="DM33" t="str">
            <v>Sale</v>
          </cell>
        </row>
        <row r="34">
          <cell r="L34" t="str">
            <v>Strip Center Site</v>
          </cell>
          <cell r="O34" t="str">
            <v>W Corner of Grant and Prado Woods</v>
          </cell>
          <cell r="Q34" t="str">
            <v>Cypress</v>
          </cell>
          <cell r="R34">
            <v>77429</v>
          </cell>
          <cell r="T34" t="str">
            <v>TX</v>
          </cell>
          <cell r="AA34">
            <v>3.82</v>
          </cell>
          <cell r="AB34">
            <v>166399</v>
          </cell>
          <cell r="AH34" t="str">
            <v>none</v>
          </cell>
          <cell r="AK34">
            <v>0</v>
          </cell>
          <cell r="AM34">
            <v>37500</v>
          </cell>
          <cell r="AR34">
            <v>665596</v>
          </cell>
          <cell r="AV34">
            <v>665596</v>
          </cell>
          <cell r="AZ34" t="str">
            <v>Strip center</v>
          </cell>
          <cell r="DM34" t="str">
            <v>Sale</v>
          </cell>
        </row>
        <row r="44">
          <cell r="L44" t="str">
            <v>4965 Dorchester Road</v>
          </cell>
          <cell r="O44" t="str">
            <v>4965 Dorchester Road</v>
          </cell>
          <cell r="Q44" t="str">
            <v>North Charleston</v>
          </cell>
          <cell r="R44">
            <v>29418</v>
          </cell>
          <cell r="T44" t="str">
            <v>SC</v>
          </cell>
          <cell r="AA44">
            <v>1.52</v>
          </cell>
          <cell r="AB44">
            <v>66211</v>
          </cell>
          <cell r="AH44" t="str">
            <v>B2</v>
          </cell>
          <cell r="AK44">
            <v>0</v>
          </cell>
          <cell r="AM44">
            <v>38261</v>
          </cell>
          <cell r="AR44">
            <v>315000</v>
          </cell>
          <cell r="AV44">
            <v>315000</v>
          </cell>
          <cell r="AZ44" t="str">
            <v>Unknown</v>
          </cell>
          <cell r="DM44" t="str">
            <v>Sale</v>
          </cell>
        </row>
        <row r="45">
          <cell r="L45" t="str">
            <v>7520 South Tryon Street</v>
          </cell>
          <cell r="O45" t="str">
            <v>7520 South Tryon Street</v>
          </cell>
          <cell r="Q45" t="str">
            <v>Charlotte</v>
          </cell>
          <cell r="T45" t="str">
            <v>NC</v>
          </cell>
          <cell r="AA45">
            <v>5.3120000000000003</v>
          </cell>
          <cell r="AB45">
            <v>231391</v>
          </cell>
          <cell r="AH45" t="str">
            <v>B-1SCD</v>
          </cell>
          <cell r="AK45">
            <v>0</v>
          </cell>
          <cell r="AM45">
            <v>38261</v>
          </cell>
          <cell r="AR45">
            <v>1069000</v>
          </cell>
          <cell r="AV45">
            <v>1069000</v>
          </cell>
          <cell r="AZ45" t="str">
            <v>Retail</v>
          </cell>
          <cell r="DM45" t="str">
            <v>Sale</v>
          </cell>
        </row>
        <row r="46">
          <cell r="L46" t="str">
            <v>801 Lew Dewitt Boulevard</v>
          </cell>
          <cell r="O46" t="str">
            <v>801 Lew DeWitt Boulevard</v>
          </cell>
          <cell r="Q46" t="str">
            <v>Waynesboro</v>
          </cell>
          <cell r="R46">
            <v>22980</v>
          </cell>
          <cell r="T46" t="str">
            <v>VA</v>
          </cell>
          <cell r="AA46">
            <v>18.943999999999999</v>
          </cell>
          <cell r="AB46">
            <v>825200</v>
          </cell>
          <cell r="AH46" t="str">
            <v>C-2</v>
          </cell>
          <cell r="AK46">
            <v>0</v>
          </cell>
          <cell r="AM46">
            <v>38261</v>
          </cell>
          <cell r="AR46">
            <v>3600000</v>
          </cell>
          <cell r="AV46">
            <v>3600000</v>
          </cell>
          <cell r="AZ46" t="str">
            <v>Retail Center</v>
          </cell>
          <cell r="DM46" t="str">
            <v>Sale</v>
          </cell>
        </row>
        <row r="47">
          <cell r="L47" t="str">
            <v>983 S. Rand Road</v>
          </cell>
          <cell r="O47" t="str">
            <v>983 S. Rand Road</v>
          </cell>
          <cell r="Q47" t="str">
            <v>Lake Zurich</v>
          </cell>
          <cell r="R47">
            <v>60047</v>
          </cell>
          <cell r="T47" t="str">
            <v>IL</v>
          </cell>
          <cell r="AA47">
            <v>4.4000000000000004</v>
          </cell>
          <cell r="AB47">
            <v>191664</v>
          </cell>
          <cell r="AH47" t="str">
            <v>R-1, Lake Zurich</v>
          </cell>
          <cell r="AK47">
            <v>0</v>
          </cell>
          <cell r="AM47">
            <v>38261</v>
          </cell>
          <cell r="AR47">
            <v>1100000</v>
          </cell>
          <cell r="AV47">
            <v>1100000</v>
          </cell>
          <cell r="AZ47" t="str">
            <v>Retail center</v>
          </cell>
          <cell r="DM47" t="str">
            <v>Sale</v>
          </cell>
        </row>
        <row r="48">
          <cell r="L48" t="str">
            <v>A-2 Zoned Acreage</v>
          </cell>
          <cell r="O48" t="str">
            <v>16985 E 136th Ave</v>
          </cell>
          <cell r="Q48" t="str">
            <v>Brighton</v>
          </cell>
          <cell r="R48">
            <v>80601</v>
          </cell>
          <cell r="T48" t="str">
            <v>CO</v>
          </cell>
          <cell r="AA48">
            <v>4</v>
          </cell>
          <cell r="AB48">
            <v>174240</v>
          </cell>
          <cell r="AH48" t="str">
            <v>A-2, Brighton</v>
          </cell>
          <cell r="AK48">
            <v>0</v>
          </cell>
          <cell r="AM48">
            <v>38261</v>
          </cell>
          <cell r="AR48">
            <v>840000</v>
          </cell>
          <cell r="AV48">
            <v>840000</v>
          </cell>
          <cell r="AZ48" t="str">
            <v>Commercial Land</v>
          </cell>
          <cell r="DM48" t="str">
            <v>Sale</v>
          </cell>
        </row>
        <row r="49">
          <cell r="L49" t="str">
            <v>Commercial Land</v>
          </cell>
          <cell r="O49" t="str">
            <v>NEC of W Herndon and N Blythe</v>
          </cell>
          <cell r="Q49" t="str">
            <v>Fresno</v>
          </cell>
          <cell r="R49">
            <v>93650</v>
          </cell>
          <cell r="T49" t="str">
            <v>CA</v>
          </cell>
          <cell r="AA49">
            <v>6.8</v>
          </cell>
          <cell r="AB49">
            <v>296208</v>
          </cell>
          <cell r="AH49" t="str">
            <v>C-3</v>
          </cell>
          <cell r="AK49">
            <v>0</v>
          </cell>
          <cell r="AM49">
            <v>38261</v>
          </cell>
          <cell r="AR49">
            <v>1429500</v>
          </cell>
          <cell r="AV49">
            <v>1429500</v>
          </cell>
          <cell r="AZ49" t="str">
            <v>Commercial/Light Industrial</v>
          </cell>
          <cell r="DM49" t="str">
            <v>Sale</v>
          </cell>
        </row>
        <row r="56">
          <cell r="J56" t="str">
            <v>Inwood Central Shopping Center</v>
          </cell>
          <cell r="Q56" t="str">
            <v>8021 Antoine Village</v>
          </cell>
          <cell r="S56" t="str">
            <v>Houston</v>
          </cell>
          <cell r="T56">
            <v>77088</v>
          </cell>
          <cell r="V56" t="str">
            <v>TX</v>
          </cell>
          <cell r="AD56">
            <v>0</v>
          </cell>
          <cell r="AG56" t="str">
            <v>Ginham Goose</v>
          </cell>
          <cell r="AN56">
            <v>0</v>
          </cell>
          <cell r="AP56">
            <v>0</v>
          </cell>
          <cell r="AS56">
            <v>83262</v>
          </cell>
          <cell r="AU56">
            <v>1981</v>
          </cell>
          <cell r="CK56">
            <v>0.98</v>
          </cell>
          <cell r="CL56">
            <v>0.98</v>
          </cell>
          <cell r="CO56" t="str">
            <v>$8.00 -$11.00</v>
          </cell>
          <cell r="CQ56" t="str">
            <v>None</v>
          </cell>
          <cell r="CR56" t="str">
            <v>NNN</v>
          </cell>
          <cell r="CS56" t="str">
            <v>Cam, Tax, Ins.</v>
          </cell>
          <cell r="CW56" t="str">
            <v>Negotiable</v>
          </cell>
          <cell r="DI56">
            <v>0</v>
          </cell>
          <cell r="DJ56">
            <v>0</v>
          </cell>
          <cell r="DK56">
            <v>0</v>
          </cell>
          <cell r="DL56">
            <v>0</v>
          </cell>
          <cell r="DM56">
            <v>0</v>
          </cell>
          <cell r="DS56">
            <v>0</v>
          </cell>
          <cell r="DT56">
            <v>0</v>
          </cell>
          <cell r="DU56">
            <v>0</v>
          </cell>
          <cell r="DV56">
            <v>0</v>
          </cell>
          <cell r="DW56">
            <v>0</v>
          </cell>
          <cell r="DX56">
            <v>0</v>
          </cell>
          <cell r="DY56">
            <v>0</v>
          </cell>
          <cell r="DZ56">
            <v>0</v>
          </cell>
          <cell r="EA56">
            <v>0</v>
          </cell>
          <cell r="ER56">
            <v>0</v>
          </cell>
          <cell r="ES56">
            <v>0</v>
          </cell>
          <cell r="ET56">
            <v>0</v>
          </cell>
          <cell r="EU56">
            <v>0</v>
          </cell>
          <cell r="EV56">
            <v>0</v>
          </cell>
          <cell r="EX56" t="b">
            <v>0</v>
          </cell>
          <cell r="EY56">
            <v>0</v>
          </cell>
          <cell r="EZ56">
            <v>0</v>
          </cell>
        </row>
        <row r="57">
          <cell r="J57" t="str">
            <v>Inwood Village</v>
          </cell>
          <cell r="Q57" t="str">
            <v>6438-6496 W. Little York</v>
          </cell>
          <cell r="S57" t="str">
            <v>Houston</v>
          </cell>
          <cell r="T57">
            <v>77088</v>
          </cell>
          <cell r="V57" t="str">
            <v>Tx</v>
          </cell>
          <cell r="AD57">
            <v>0</v>
          </cell>
          <cell r="AG57" t="str">
            <v>Ace Cash Express</v>
          </cell>
          <cell r="AN57">
            <v>0</v>
          </cell>
          <cell r="AP57">
            <v>0</v>
          </cell>
          <cell r="AS57">
            <v>68000</v>
          </cell>
          <cell r="AU57">
            <v>1975</v>
          </cell>
          <cell r="CK57">
            <v>1</v>
          </cell>
          <cell r="CL57">
            <v>1</v>
          </cell>
          <cell r="CO57" t="str">
            <v>$6.24 - $17.04</v>
          </cell>
          <cell r="CS57" t="str">
            <v>NNN - $3.84</v>
          </cell>
          <cell r="CW57" t="str">
            <v>Negotiable</v>
          </cell>
          <cell r="DI57">
            <v>0</v>
          </cell>
          <cell r="DJ57">
            <v>0</v>
          </cell>
          <cell r="DK57">
            <v>0</v>
          </cell>
          <cell r="DL57">
            <v>0</v>
          </cell>
          <cell r="DM57">
            <v>0</v>
          </cell>
          <cell r="DS57">
            <v>0</v>
          </cell>
          <cell r="DT57">
            <v>0</v>
          </cell>
          <cell r="DU57">
            <v>0</v>
          </cell>
          <cell r="DV57">
            <v>0</v>
          </cell>
          <cell r="DW57">
            <v>0</v>
          </cell>
          <cell r="DX57">
            <v>0</v>
          </cell>
          <cell r="DY57">
            <v>0</v>
          </cell>
          <cell r="DZ57">
            <v>0</v>
          </cell>
          <cell r="EA57">
            <v>0</v>
          </cell>
          <cell r="ER57">
            <v>0</v>
          </cell>
          <cell r="ES57">
            <v>0</v>
          </cell>
          <cell r="ET57">
            <v>0</v>
          </cell>
          <cell r="EU57">
            <v>0</v>
          </cell>
          <cell r="EV57">
            <v>0</v>
          </cell>
          <cell r="EX57" t="b">
            <v>0</v>
          </cell>
          <cell r="EY57">
            <v>0</v>
          </cell>
          <cell r="EZ57">
            <v>0</v>
          </cell>
        </row>
        <row r="58">
          <cell r="J58" t="str">
            <v>Jones Square Shopping Center</v>
          </cell>
          <cell r="Q58" t="str">
            <v>SWC Jones &amp; West</v>
          </cell>
          <cell r="S58" t="str">
            <v>Houston</v>
          </cell>
          <cell r="T58">
            <v>77065</v>
          </cell>
          <cell r="V58" t="str">
            <v>TX</v>
          </cell>
          <cell r="AD58">
            <v>0</v>
          </cell>
          <cell r="AN58">
            <v>0</v>
          </cell>
          <cell r="AP58">
            <v>0</v>
          </cell>
          <cell r="AS58">
            <v>28195</v>
          </cell>
          <cell r="AU58">
            <v>1985</v>
          </cell>
          <cell r="CK58">
            <v>0.94</v>
          </cell>
          <cell r="CL58">
            <v>0.94</v>
          </cell>
          <cell r="CO58" t="str">
            <v>$12.00 psf</v>
          </cell>
          <cell r="CQ58" t="str">
            <v>none</v>
          </cell>
          <cell r="CR58" t="str">
            <v>NNN</v>
          </cell>
          <cell r="CS58" t="str">
            <v>$4.92 psf</v>
          </cell>
          <cell r="CW58" t="str">
            <v>negotiable</v>
          </cell>
          <cell r="DI58">
            <v>0</v>
          </cell>
          <cell r="DJ58">
            <v>0</v>
          </cell>
          <cell r="DK58">
            <v>0</v>
          </cell>
          <cell r="DL58">
            <v>0</v>
          </cell>
          <cell r="DM58">
            <v>0</v>
          </cell>
          <cell r="DS58">
            <v>0</v>
          </cell>
          <cell r="DT58">
            <v>0</v>
          </cell>
          <cell r="DU58">
            <v>0</v>
          </cell>
          <cell r="DV58">
            <v>0</v>
          </cell>
          <cell r="DW58">
            <v>0</v>
          </cell>
          <cell r="DX58">
            <v>0</v>
          </cell>
          <cell r="DY58">
            <v>0</v>
          </cell>
          <cell r="DZ58">
            <v>0</v>
          </cell>
          <cell r="EA58">
            <v>0</v>
          </cell>
          <cell r="ER58">
            <v>0</v>
          </cell>
          <cell r="ES58">
            <v>0</v>
          </cell>
          <cell r="ET58">
            <v>0</v>
          </cell>
          <cell r="EU58">
            <v>0</v>
          </cell>
          <cell r="EV58">
            <v>0</v>
          </cell>
          <cell r="EX58" t="b">
            <v>0</v>
          </cell>
          <cell r="EY58">
            <v>0</v>
          </cell>
          <cell r="EZ58">
            <v>0</v>
          </cell>
        </row>
        <row r="59">
          <cell r="J59" t="str">
            <v>Lakewood Forest</v>
          </cell>
          <cell r="Q59" t="str">
            <v>NWC Louetta &amp; Highway 249</v>
          </cell>
          <cell r="S59" t="str">
            <v>Houston</v>
          </cell>
          <cell r="V59" t="str">
            <v>TX</v>
          </cell>
          <cell r="AD59">
            <v>0</v>
          </cell>
          <cell r="AN59">
            <v>0</v>
          </cell>
          <cell r="AP59">
            <v>0</v>
          </cell>
          <cell r="AS59">
            <v>78225</v>
          </cell>
          <cell r="AU59">
            <v>1982</v>
          </cell>
          <cell r="CK59">
            <v>0.89</v>
          </cell>
          <cell r="CL59">
            <v>0.89</v>
          </cell>
          <cell r="CO59" t="str">
            <v>$8.00-$16.00 psf</v>
          </cell>
          <cell r="CR59" t="str">
            <v>NNN</v>
          </cell>
          <cell r="CS59" t="str">
            <v>$3.60 psf</v>
          </cell>
          <cell r="CW59" t="str">
            <v>negotiable</v>
          </cell>
          <cell r="DI59">
            <v>0</v>
          </cell>
          <cell r="DJ59">
            <v>0</v>
          </cell>
          <cell r="DK59">
            <v>0</v>
          </cell>
          <cell r="DL59">
            <v>0</v>
          </cell>
          <cell r="DM59">
            <v>0</v>
          </cell>
          <cell r="DS59">
            <v>0</v>
          </cell>
          <cell r="DT59">
            <v>0</v>
          </cell>
          <cell r="DU59">
            <v>0</v>
          </cell>
          <cell r="DV59">
            <v>0</v>
          </cell>
          <cell r="DW59">
            <v>0</v>
          </cell>
          <cell r="DX59">
            <v>0</v>
          </cell>
          <cell r="DY59">
            <v>0</v>
          </cell>
          <cell r="DZ59">
            <v>0</v>
          </cell>
          <cell r="EA59">
            <v>0</v>
          </cell>
          <cell r="ER59">
            <v>0</v>
          </cell>
          <cell r="ES59">
            <v>0</v>
          </cell>
          <cell r="ET59">
            <v>0</v>
          </cell>
          <cell r="EU59">
            <v>0</v>
          </cell>
          <cell r="EV59">
            <v>0</v>
          </cell>
          <cell r="EX59" t="b">
            <v>0</v>
          </cell>
          <cell r="EY59">
            <v>0</v>
          </cell>
          <cell r="EZ59">
            <v>0</v>
          </cell>
        </row>
        <row r="60">
          <cell r="J60" t="str">
            <v>Spring Cypress Village</v>
          </cell>
          <cell r="Q60" t="str">
            <v>22506 Tomball Parkway</v>
          </cell>
          <cell r="S60" t="str">
            <v>Houston</v>
          </cell>
          <cell r="V60" t="str">
            <v>TX</v>
          </cell>
          <cell r="AD60">
            <v>0</v>
          </cell>
          <cell r="AN60">
            <v>0</v>
          </cell>
          <cell r="AP60">
            <v>0</v>
          </cell>
          <cell r="AS60">
            <v>100793</v>
          </cell>
          <cell r="AU60">
            <v>1982</v>
          </cell>
          <cell r="CK60">
            <v>0.55900000000000005</v>
          </cell>
          <cell r="CL60">
            <v>0.55900000000000005</v>
          </cell>
          <cell r="CO60" t="str">
            <v>$10.00-$15.00 psf</v>
          </cell>
          <cell r="CQ60" t="str">
            <v>None</v>
          </cell>
          <cell r="CR60" t="str">
            <v>NNN</v>
          </cell>
          <cell r="CS60" t="str">
            <v>$2.90 psf</v>
          </cell>
          <cell r="CW60" t="str">
            <v>Negotiable</v>
          </cell>
          <cell r="DI60">
            <v>0</v>
          </cell>
          <cell r="DJ60">
            <v>0</v>
          </cell>
          <cell r="DK60">
            <v>0</v>
          </cell>
          <cell r="DL60">
            <v>0</v>
          </cell>
          <cell r="DM60">
            <v>0</v>
          </cell>
          <cell r="DS60">
            <v>0</v>
          </cell>
          <cell r="DT60">
            <v>0</v>
          </cell>
          <cell r="DU60">
            <v>0</v>
          </cell>
          <cell r="DV60">
            <v>0</v>
          </cell>
          <cell r="DW60">
            <v>0</v>
          </cell>
          <cell r="DX60">
            <v>0</v>
          </cell>
          <cell r="DY60">
            <v>0</v>
          </cell>
          <cell r="DZ60">
            <v>0</v>
          </cell>
          <cell r="EA60">
            <v>0</v>
          </cell>
          <cell r="ER60">
            <v>0</v>
          </cell>
          <cell r="ES60">
            <v>0</v>
          </cell>
          <cell r="ET60">
            <v>0</v>
          </cell>
          <cell r="EU60">
            <v>0</v>
          </cell>
          <cell r="EV60">
            <v>0</v>
          </cell>
          <cell r="EX60" t="b">
            <v>0</v>
          </cell>
          <cell r="EY60">
            <v>0</v>
          </cell>
          <cell r="EZ60">
            <v>0</v>
          </cell>
        </row>
        <row r="69">
          <cell r="J69" t="str">
            <v>Abercorn Walk</v>
          </cell>
          <cell r="Q69" t="str">
            <v>5525 Abercorn Street</v>
          </cell>
          <cell r="S69" t="str">
            <v>Savannah</v>
          </cell>
          <cell r="T69">
            <v>31405</v>
          </cell>
          <cell r="V69" t="str">
            <v>GA</v>
          </cell>
          <cell r="AA69">
            <v>5.6</v>
          </cell>
          <cell r="AD69">
            <v>0</v>
          </cell>
          <cell r="AN69">
            <v>0</v>
          </cell>
          <cell r="AS69">
            <v>70000</v>
          </cell>
          <cell r="AU69">
            <v>2005</v>
          </cell>
          <cell r="CK69" t="str">
            <v>Lease-up</v>
          </cell>
          <cell r="CL69" t="str">
            <v>Lease-up</v>
          </cell>
          <cell r="CO69">
            <v>35</v>
          </cell>
          <cell r="CQ69">
            <v>0.03</v>
          </cell>
          <cell r="CR69" t="str">
            <v>NNN</v>
          </cell>
          <cell r="CS69" t="str">
            <v>$4.70 PSF</v>
          </cell>
          <cell r="DI69">
            <v>0</v>
          </cell>
          <cell r="DJ69">
            <v>0</v>
          </cell>
          <cell r="DK69">
            <v>0</v>
          </cell>
          <cell r="DL69">
            <v>0</v>
          </cell>
          <cell r="DS69">
            <v>0</v>
          </cell>
          <cell r="DT69">
            <v>0</v>
          </cell>
          <cell r="DU69">
            <v>0</v>
          </cell>
          <cell r="DV69">
            <v>0</v>
          </cell>
          <cell r="DX69">
            <v>0</v>
          </cell>
          <cell r="DY69">
            <v>0</v>
          </cell>
          <cell r="DZ69">
            <v>0</v>
          </cell>
          <cell r="EA69">
            <v>0</v>
          </cell>
          <cell r="ER69">
            <v>0</v>
          </cell>
          <cell r="ES69">
            <v>0</v>
          </cell>
          <cell r="ET69">
            <v>0</v>
          </cell>
          <cell r="EU69">
            <v>0</v>
          </cell>
        </row>
        <row r="70">
          <cell r="J70" t="str">
            <v>Creekside Village</v>
          </cell>
          <cell r="Q70" t="str">
            <v>9400 Interstate 35 South</v>
          </cell>
          <cell r="S70" t="str">
            <v>Austin</v>
          </cell>
          <cell r="V70" t="str">
            <v>TX</v>
          </cell>
          <cell r="AA70">
            <v>0</v>
          </cell>
          <cell r="AD70">
            <v>0</v>
          </cell>
          <cell r="AF70" t="str">
            <v>PetsMart</v>
          </cell>
          <cell r="AN70">
            <v>0</v>
          </cell>
          <cell r="AS70">
            <v>260926</v>
          </cell>
          <cell r="AU70">
            <v>2005</v>
          </cell>
          <cell r="CK70">
            <v>0.96899999999999997</v>
          </cell>
          <cell r="CL70">
            <v>0.96899999999999997</v>
          </cell>
          <cell r="CO70">
            <v>26.5</v>
          </cell>
          <cell r="CQ70" t="str">
            <v>Varies per Tenant</v>
          </cell>
          <cell r="CR70" t="str">
            <v>NNN</v>
          </cell>
          <cell r="CS70">
            <v>5.3</v>
          </cell>
          <cell r="CW70" t="str">
            <v>$15 from Shell</v>
          </cell>
          <cell r="CZ70">
            <v>38412</v>
          </cell>
          <cell r="DB70">
            <v>38412</v>
          </cell>
          <cell r="DD70">
            <v>38412</v>
          </cell>
          <cell r="DF70">
            <v>38412</v>
          </cell>
          <cell r="DI70">
            <v>22304</v>
          </cell>
          <cell r="DJ70">
            <v>1200</v>
          </cell>
          <cell r="DK70">
            <v>3000</v>
          </cell>
          <cell r="DL70">
            <v>2500</v>
          </cell>
          <cell r="DN70" t="str">
            <v>PetsMart</v>
          </cell>
          <cell r="DO70" t="str">
            <v>EB Games</v>
          </cell>
          <cell r="DP70" t="str">
            <v>Sprint</v>
          </cell>
          <cell r="DQ70" t="str">
            <v>Twin Liquors</v>
          </cell>
          <cell r="DS70">
            <v>12.5</v>
          </cell>
          <cell r="DT70">
            <v>26</v>
          </cell>
          <cell r="DU70">
            <v>30.8</v>
          </cell>
          <cell r="DV70">
            <v>21.6</v>
          </cell>
          <cell r="DX70">
            <v>0</v>
          </cell>
          <cell r="DY70">
            <v>0</v>
          </cell>
          <cell r="DZ70">
            <v>0</v>
          </cell>
          <cell r="EA70">
            <v>0</v>
          </cell>
          <cell r="ER70">
            <v>10</v>
          </cell>
          <cell r="ES70">
            <v>5</v>
          </cell>
          <cell r="ET70">
            <v>7</v>
          </cell>
          <cell r="EU70">
            <v>5</v>
          </cell>
        </row>
        <row r="71">
          <cell r="J71" t="str">
            <v>Dollar Tree</v>
          </cell>
          <cell r="Q71" t="str">
            <v>250 San Pablo Towne Center</v>
          </cell>
          <cell r="S71" t="str">
            <v>San Pablo</v>
          </cell>
          <cell r="V71" t="str">
            <v>CA</v>
          </cell>
          <cell r="AA71">
            <v>0</v>
          </cell>
          <cell r="AD71">
            <v>0</v>
          </cell>
          <cell r="AF71" t="str">
            <v>Longs Drugs</v>
          </cell>
          <cell r="AG71" t="str">
            <v>24 Hour Fitness</v>
          </cell>
          <cell r="AN71">
            <v>10080</v>
          </cell>
          <cell r="AS71">
            <v>176760</v>
          </cell>
          <cell r="AU71">
            <v>1991</v>
          </cell>
          <cell r="CL71">
            <v>0.99</v>
          </cell>
          <cell r="CS71" t="str">
            <v>NNN</v>
          </cell>
          <cell r="CZ71">
            <v>37653</v>
          </cell>
          <cell r="DI71">
            <v>10080</v>
          </cell>
          <cell r="DJ71">
            <v>0</v>
          </cell>
          <cell r="DK71">
            <v>0</v>
          </cell>
          <cell r="DL71">
            <v>0</v>
          </cell>
          <cell r="DN71" t="str">
            <v>Dollar Tree</v>
          </cell>
          <cell r="DS71">
            <v>0.84</v>
          </cell>
          <cell r="DT71">
            <v>0</v>
          </cell>
          <cell r="DU71">
            <v>0</v>
          </cell>
          <cell r="DV71">
            <v>0</v>
          </cell>
          <cell r="DX71">
            <v>0</v>
          </cell>
          <cell r="DY71">
            <v>0</v>
          </cell>
          <cell r="DZ71">
            <v>0</v>
          </cell>
          <cell r="EA71">
            <v>0</v>
          </cell>
          <cell r="EH71" t="str">
            <v>10% in Yr. 6</v>
          </cell>
          <cell r="ER71">
            <v>10</v>
          </cell>
          <cell r="ES71">
            <v>0</v>
          </cell>
          <cell r="ET71">
            <v>0</v>
          </cell>
          <cell r="EU71">
            <v>0</v>
          </cell>
        </row>
        <row r="72">
          <cell r="J72" t="str">
            <v>Parkway Plaza</v>
          </cell>
          <cell r="Q72" t="str">
            <v>1096 Concord Parkway</v>
          </cell>
          <cell r="S72" t="str">
            <v>Concord</v>
          </cell>
          <cell r="T72">
            <v>28025</v>
          </cell>
          <cell r="V72" t="str">
            <v>NC</v>
          </cell>
          <cell r="AA72">
            <v>0</v>
          </cell>
          <cell r="AD72">
            <v>0</v>
          </cell>
          <cell r="AN72">
            <v>0</v>
          </cell>
          <cell r="AS72">
            <v>35000</v>
          </cell>
          <cell r="AU72">
            <v>1999</v>
          </cell>
          <cell r="CK72">
            <v>1</v>
          </cell>
          <cell r="CL72">
            <v>1</v>
          </cell>
          <cell r="CO72" t="str">
            <v>$16 psf</v>
          </cell>
          <cell r="CQ72" t="str">
            <v>Varies</v>
          </cell>
          <cell r="CR72" t="str">
            <v>NNN</v>
          </cell>
          <cell r="CS72">
            <v>2.2999999999999998</v>
          </cell>
          <cell r="CW72" t="str">
            <v>None</v>
          </cell>
          <cell r="DI72">
            <v>0</v>
          </cell>
          <cell r="DJ72">
            <v>0</v>
          </cell>
          <cell r="DK72">
            <v>0</v>
          </cell>
          <cell r="DL72">
            <v>0</v>
          </cell>
          <cell r="DS72">
            <v>0</v>
          </cell>
          <cell r="DT72">
            <v>0</v>
          </cell>
          <cell r="DU72">
            <v>0</v>
          </cell>
          <cell r="DV72">
            <v>0</v>
          </cell>
          <cell r="DX72">
            <v>0</v>
          </cell>
          <cell r="DY72">
            <v>0</v>
          </cell>
          <cell r="DZ72">
            <v>0</v>
          </cell>
          <cell r="EA72">
            <v>0</v>
          </cell>
          <cell r="ER72">
            <v>0</v>
          </cell>
          <cell r="ES72">
            <v>0</v>
          </cell>
          <cell r="ET72">
            <v>0</v>
          </cell>
          <cell r="EU72">
            <v>0</v>
          </cell>
        </row>
        <row r="73">
          <cell r="J73" t="str">
            <v>San Marin Plaza</v>
          </cell>
          <cell r="Q73" t="str">
            <v>179 San Marin Drive</v>
          </cell>
          <cell r="S73" t="str">
            <v>Novato</v>
          </cell>
          <cell r="V73" t="str">
            <v>CA</v>
          </cell>
          <cell r="AA73">
            <v>0</v>
          </cell>
          <cell r="AD73">
            <v>0</v>
          </cell>
          <cell r="AN73">
            <v>0</v>
          </cell>
          <cell r="AS73">
            <v>70483</v>
          </cell>
          <cell r="AU73">
            <v>1984</v>
          </cell>
          <cell r="CL73">
            <v>0.95</v>
          </cell>
          <cell r="CO73">
            <v>1.5</v>
          </cell>
          <cell r="CQ73">
            <v>0.03</v>
          </cell>
          <cell r="CR73" t="str">
            <v>NNN</v>
          </cell>
          <cell r="CW73" t="str">
            <v>Negotiable</v>
          </cell>
          <cell r="DI73">
            <v>0</v>
          </cell>
          <cell r="DJ73">
            <v>0</v>
          </cell>
          <cell r="DK73">
            <v>0</v>
          </cell>
          <cell r="DL73">
            <v>0</v>
          </cell>
          <cell r="DS73">
            <v>0</v>
          </cell>
          <cell r="DT73">
            <v>0</v>
          </cell>
          <cell r="DU73">
            <v>0</v>
          </cell>
          <cell r="DV73">
            <v>0</v>
          </cell>
          <cell r="DX73">
            <v>0</v>
          </cell>
          <cell r="DY73">
            <v>0</v>
          </cell>
          <cell r="DZ73">
            <v>0</v>
          </cell>
          <cell r="EA73">
            <v>0</v>
          </cell>
          <cell r="ER73">
            <v>0</v>
          </cell>
          <cell r="ES73">
            <v>0</v>
          </cell>
          <cell r="ET73">
            <v>0</v>
          </cell>
          <cell r="EU73">
            <v>0</v>
          </cell>
        </row>
        <row r="74">
          <cell r="J74" t="str">
            <v>Savannah Crossing</v>
          </cell>
          <cell r="Q74" t="str">
            <v>13065 Abercorn Street</v>
          </cell>
          <cell r="S74" t="str">
            <v>Savannah</v>
          </cell>
          <cell r="V74" t="str">
            <v>GA</v>
          </cell>
          <cell r="AD74">
            <v>0</v>
          </cell>
          <cell r="AS74">
            <v>65693</v>
          </cell>
          <cell r="AU74">
            <v>1989</v>
          </cell>
          <cell r="CK74">
            <v>0.94</v>
          </cell>
          <cell r="CL74">
            <v>0.94</v>
          </cell>
          <cell r="CO74">
            <v>20</v>
          </cell>
          <cell r="CQ74" t="str">
            <v>None</v>
          </cell>
          <cell r="CR74" t="str">
            <v>NNN</v>
          </cell>
          <cell r="CS74" t="str">
            <v>$2.20 psf</v>
          </cell>
          <cell r="CW74" t="str">
            <v>As Is</v>
          </cell>
          <cell r="DI74">
            <v>0</v>
          </cell>
          <cell r="DJ74">
            <v>0</v>
          </cell>
          <cell r="DK74">
            <v>0</v>
          </cell>
          <cell r="DL74">
            <v>0</v>
          </cell>
          <cell r="DS74">
            <v>0</v>
          </cell>
          <cell r="DT74">
            <v>0</v>
          </cell>
          <cell r="DU74">
            <v>0</v>
          </cell>
          <cell r="DV74">
            <v>0</v>
          </cell>
          <cell r="DX74">
            <v>0</v>
          </cell>
          <cell r="DY74">
            <v>0</v>
          </cell>
          <cell r="DZ74">
            <v>0</v>
          </cell>
          <cell r="EA74">
            <v>0</v>
          </cell>
          <cell r="ER74">
            <v>0</v>
          </cell>
          <cell r="ES74">
            <v>0</v>
          </cell>
          <cell r="ET74">
            <v>0</v>
          </cell>
          <cell r="EU74">
            <v>0</v>
          </cell>
        </row>
        <row r="75">
          <cell r="J75" t="str">
            <v>Springfield Commons</v>
          </cell>
          <cell r="S75" t="str">
            <v>Springfield</v>
          </cell>
          <cell r="V75" t="str">
            <v>OH</v>
          </cell>
          <cell r="AD75">
            <v>0</v>
          </cell>
          <cell r="AS75">
            <v>207497</v>
          </cell>
          <cell r="CK75">
            <v>1</v>
          </cell>
          <cell r="CO75" t="str">
            <v>$6.30-$13.00</v>
          </cell>
          <cell r="CZ75">
            <v>38384</v>
          </cell>
          <cell r="DB75">
            <v>35735</v>
          </cell>
          <cell r="DD75">
            <v>38200</v>
          </cell>
          <cell r="DF75">
            <v>38353</v>
          </cell>
          <cell r="DI75">
            <v>125357</v>
          </cell>
          <cell r="DJ75">
            <v>32850</v>
          </cell>
          <cell r="DK75">
            <v>20044</v>
          </cell>
          <cell r="DL75">
            <v>19466</v>
          </cell>
          <cell r="DN75" t="str">
            <v>Lowe's</v>
          </cell>
          <cell r="DO75" t="str">
            <v>Toys R Us</v>
          </cell>
          <cell r="DP75" t="str">
            <v>Best Buy</v>
          </cell>
          <cell r="DQ75" t="str">
            <v>PETsMART</v>
          </cell>
          <cell r="DS75">
            <v>6.3</v>
          </cell>
          <cell r="DT75">
            <v>7.7</v>
          </cell>
          <cell r="DU75">
            <v>12.47</v>
          </cell>
          <cell r="DV75">
            <v>13</v>
          </cell>
          <cell r="DX75">
            <v>0</v>
          </cell>
          <cell r="DY75">
            <v>0</v>
          </cell>
          <cell r="DZ75">
            <v>0</v>
          </cell>
          <cell r="EA75">
            <v>0</v>
          </cell>
          <cell r="ER75">
            <v>10</v>
          </cell>
          <cell r="ES75">
            <v>10</v>
          </cell>
          <cell r="ET75">
            <v>10</v>
          </cell>
          <cell r="EU75">
            <v>10</v>
          </cell>
        </row>
      </sheetData>
      <sheetData sheetId="8" refreshError="1"/>
      <sheetData sheetId="9" refreshError="1">
        <row r="8">
          <cell r="E8">
            <v>7710000</v>
          </cell>
        </row>
        <row r="9">
          <cell r="E9">
            <v>1080000</v>
          </cell>
        </row>
        <row r="21">
          <cell r="M21">
            <v>1080000</v>
          </cell>
          <cell r="N21">
            <v>1080000</v>
          </cell>
          <cell r="O21">
            <v>1080000</v>
          </cell>
        </row>
        <row r="32">
          <cell r="V32">
            <v>1080000</v>
          </cell>
        </row>
        <row r="37">
          <cell r="V37">
            <v>1080000</v>
          </cell>
        </row>
        <row r="44">
          <cell r="AC44">
            <v>1080000</v>
          </cell>
        </row>
      </sheetData>
      <sheetData sheetId="10" refreshError="1"/>
      <sheetData sheetId="11" refreshError="1"/>
      <sheetData sheetId="12" refreshError="1"/>
      <sheetData sheetId="13" refreshError="1">
        <row r="2">
          <cell r="A2">
            <v>2007</v>
          </cell>
        </row>
        <row r="3">
          <cell r="A3" t="str">
            <v>2nd Qtr. 2008</v>
          </cell>
        </row>
        <row r="4">
          <cell r="A4" t="str">
            <v>General Investment A</v>
          </cell>
          <cell r="B4">
            <v>5.7500000000000002E-2</v>
          </cell>
          <cell r="C4">
            <v>7.4999999999999997E-2</v>
          </cell>
          <cell r="D4">
            <v>6.8928571428571395E-2</v>
          </cell>
          <cell r="E4">
            <v>7.0000000000000007E-2</v>
          </cell>
          <cell r="F4">
            <v>8.5000000000000006E-2</v>
          </cell>
          <cell r="G4">
            <v>7.7083333333333295E-2</v>
          </cell>
          <cell r="H4">
            <v>0.08</v>
          </cell>
          <cell r="I4">
            <v>0.09</v>
          </cell>
          <cell r="J4">
            <v>8.5000000000000006E-2</v>
          </cell>
          <cell r="K4">
            <v>3.3833333333333299E-2</v>
          </cell>
          <cell r="L4">
            <v>2.9166666666666698E-2</v>
          </cell>
          <cell r="M4">
            <v>2.9166666666666698E-2</v>
          </cell>
          <cell r="N4">
            <v>1</v>
          </cell>
          <cell r="O4">
            <v>6</v>
          </cell>
          <cell r="P4">
            <v>4.4000000000000004</v>
          </cell>
        </row>
        <row r="5">
          <cell r="A5" t="str">
            <v>General Investment B</v>
          </cell>
          <cell r="B5">
            <v>7.0000000000000007E-2</v>
          </cell>
          <cell r="C5">
            <v>0.08</v>
          </cell>
          <cell r="D5">
            <v>7.4583333333333293E-2</v>
          </cell>
          <cell r="E5">
            <v>7.7499999999999999E-2</v>
          </cell>
          <cell r="F5">
            <v>0.09</v>
          </cell>
          <cell r="G5">
            <v>8.2000000000000003E-2</v>
          </cell>
          <cell r="H5">
            <v>0.09</v>
          </cell>
          <cell r="I5">
            <v>9.5000000000000001E-2</v>
          </cell>
          <cell r="J5">
            <v>9.1666666666666702E-2</v>
          </cell>
          <cell r="K5">
            <v>3.4000000000000002E-2</v>
          </cell>
          <cell r="L5">
            <v>2.9000000000000001E-2</v>
          </cell>
          <cell r="M5">
            <v>2.9000000000000001E-2</v>
          </cell>
          <cell r="N5">
            <v>1</v>
          </cell>
          <cell r="O5">
            <v>6</v>
          </cell>
          <cell r="P5">
            <v>4</v>
          </cell>
        </row>
        <row r="6">
          <cell r="A6" t="str">
            <v>General Investment C</v>
          </cell>
          <cell r="B6">
            <v>0.08</v>
          </cell>
          <cell r="C6">
            <v>0.09</v>
          </cell>
          <cell r="D6">
            <v>8.5999999999999993E-2</v>
          </cell>
          <cell r="E6">
            <v>0.09</v>
          </cell>
          <cell r="F6">
            <v>0.1</v>
          </cell>
          <cell r="G6">
            <v>9.3124999999999999E-2</v>
          </cell>
          <cell r="H6">
            <v>0.1</v>
          </cell>
          <cell r="I6">
            <v>0.11</v>
          </cell>
          <cell r="J6">
            <v>0.105</v>
          </cell>
          <cell r="K6">
            <v>3.125E-2</v>
          </cell>
          <cell r="L6">
            <v>2.8750000000000001E-2</v>
          </cell>
          <cell r="M6">
            <v>2.8750000000000001E-2</v>
          </cell>
          <cell r="N6">
            <v>2</v>
          </cell>
          <cell r="O6">
            <v>6</v>
          </cell>
          <cell r="P6">
            <v>3.3333333333333335</v>
          </cell>
        </row>
        <row r="7">
          <cell r="A7" t="str">
            <v>Apartments A</v>
          </cell>
          <cell r="B7">
            <v>4.7500000000000001E-2</v>
          </cell>
          <cell r="C7">
            <v>6.5000000000000002E-2</v>
          </cell>
          <cell r="D7">
            <v>5.6071428571428598E-2</v>
          </cell>
          <cell r="E7">
            <v>0.05</v>
          </cell>
          <cell r="F7">
            <v>7.4999999999999997E-2</v>
          </cell>
          <cell r="G7">
            <v>6.2642857142857097E-2</v>
          </cell>
          <cell r="H7">
            <v>6.5000000000000002E-2</v>
          </cell>
          <cell r="I7">
            <v>0.09</v>
          </cell>
          <cell r="J7">
            <v>7.5999999999999998E-2</v>
          </cell>
          <cell r="K7">
            <v>3.09230769230769E-2</v>
          </cell>
          <cell r="L7">
            <v>2.9423076923076899E-2</v>
          </cell>
          <cell r="M7">
            <v>2.8846153846153799E-2</v>
          </cell>
          <cell r="N7">
            <v>1</v>
          </cell>
          <cell r="O7">
            <v>12</v>
          </cell>
          <cell r="P7">
            <v>6.8181818181818183</v>
          </cell>
        </row>
        <row r="8">
          <cell r="A8" t="str">
            <v>Apartments B</v>
          </cell>
          <cell r="B8">
            <v>5.2499999999999998E-2</v>
          </cell>
          <cell r="C8">
            <v>0.08</v>
          </cell>
          <cell r="D8">
            <v>6.5227272727272703E-2</v>
          </cell>
          <cell r="E8">
            <v>5.7500000000000002E-2</v>
          </cell>
          <cell r="F8">
            <v>8.2500000000000004E-2</v>
          </cell>
          <cell r="G8">
            <v>7.0000000000000007E-2</v>
          </cell>
          <cell r="H8">
            <v>7.0000000000000007E-2</v>
          </cell>
          <cell r="I8">
            <v>0.10249999999999999</v>
          </cell>
          <cell r="J8">
            <v>8.3611111111111094E-2</v>
          </cell>
          <cell r="K8">
            <v>2.87E-2</v>
          </cell>
          <cell r="L8">
            <v>2.9499999999999998E-2</v>
          </cell>
          <cell r="M8">
            <v>2.8500000000000001E-2</v>
          </cell>
          <cell r="N8">
            <v>1</v>
          </cell>
          <cell r="O8">
            <v>12</v>
          </cell>
          <cell r="P8">
            <v>6</v>
          </cell>
        </row>
        <row r="9">
          <cell r="A9" t="str">
            <v>Apartments C</v>
          </cell>
          <cell r="B9">
            <v>7.0000000000000007E-2</v>
          </cell>
          <cell r="C9">
            <v>8.5000000000000006E-2</v>
          </cell>
          <cell r="D9">
            <v>7.4083333333333307E-2</v>
          </cell>
          <cell r="E9">
            <v>7.4999999999999997E-2</v>
          </cell>
          <cell r="F9">
            <v>0.08</v>
          </cell>
          <cell r="G9">
            <v>7.8399999999999997E-2</v>
          </cell>
          <cell r="H9">
            <v>8.5000000000000006E-2</v>
          </cell>
          <cell r="I9">
            <v>9.5000000000000001E-2</v>
          </cell>
          <cell r="J9">
            <v>0.09</v>
          </cell>
          <cell r="K9">
            <v>2.9399999999999999E-2</v>
          </cell>
          <cell r="L9">
            <v>2.9000000000000001E-2</v>
          </cell>
          <cell r="M9">
            <v>2.8000000000000001E-2</v>
          </cell>
          <cell r="N9">
            <v>2</v>
          </cell>
          <cell r="O9">
            <v>9</v>
          </cell>
          <cell r="P9">
            <v>5.75</v>
          </cell>
        </row>
        <row r="10">
          <cell r="A10" t="str">
            <v>Net Leased Investments A</v>
          </cell>
          <cell r="B10">
            <v>0.04</v>
          </cell>
          <cell r="C10">
            <v>7.4999999999999997E-2</v>
          </cell>
          <cell r="D10">
            <v>5.7500000000000002E-2</v>
          </cell>
          <cell r="E10">
            <v>0.05</v>
          </cell>
          <cell r="F10">
            <v>7.2499999999999995E-2</v>
          </cell>
          <cell r="G10">
            <v>5.9499999999999997E-2</v>
          </cell>
          <cell r="H10">
            <v>0.06</v>
          </cell>
          <cell r="I10">
            <v>7.0000000000000007E-2</v>
          </cell>
          <cell r="J10">
            <v>6.3333333333333297E-2</v>
          </cell>
          <cell r="K10">
            <v>3.4000000000000002E-2</v>
          </cell>
          <cell r="L10">
            <v>0.03</v>
          </cell>
          <cell r="M10">
            <v>0.03</v>
          </cell>
          <cell r="N10">
            <v>1</v>
          </cell>
          <cell r="O10">
            <v>6</v>
          </cell>
          <cell r="P10">
            <v>2.8</v>
          </cell>
        </row>
        <row r="11">
          <cell r="A11" t="str">
            <v>Net Leased Investments B</v>
          </cell>
          <cell r="B11">
            <v>0.05</v>
          </cell>
          <cell r="C11">
            <v>7.7499999999999999E-2</v>
          </cell>
          <cell r="D11">
            <v>6.3750000000000001E-2</v>
          </cell>
          <cell r="E11">
            <v>5.5E-2</v>
          </cell>
          <cell r="F11">
            <v>7.7499999999999999E-2</v>
          </cell>
          <cell r="G11">
            <v>6.6500000000000004E-2</v>
          </cell>
          <cell r="H11">
            <v>6.5000000000000002E-2</v>
          </cell>
          <cell r="I11">
            <v>7.4999999999999997E-2</v>
          </cell>
          <cell r="J11">
            <v>7.0000000000000007E-2</v>
          </cell>
          <cell r="K11">
            <v>3.4000000000000002E-2</v>
          </cell>
          <cell r="L11">
            <v>0.03</v>
          </cell>
          <cell r="M11">
            <v>0.03</v>
          </cell>
          <cell r="N11">
            <v>1</v>
          </cell>
          <cell r="O11">
            <v>6</v>
          </cell>
          <cell r="P11">
            <v>2.8</v>
          </cell>
        </row>
        <row r="12">
          <cell r="A12" t="str">
            <v>Net Leased Investments C</v>
          </cell>
          <cell r="B12">
            <v>0.06</v>
          </cell>
          <cell r="C12">
            <v>8.2500000000000004E-2</v>
          </cell>
          <cell r="D12">
            <v>6.9583333333333303E-2</v>
          </cell>
          <cell r="E12">
            <v>7.0000000000000007E-2</v>
          </cell>
          <cell r="F12">
            <v>8.2500000000000004E-2</v>
          </cell>
          <cell r="G12">
            <v>7.5499999999999998E-2</v>
          </cell>
          <cell r="H12">
            <v>7.4999999999999997E-2</v>
          </cell>
          <cell r="I12">
            <v>8.5000000000000006E-2</v>
          </cell>
          <cell r="J12">
            <v>0.08</v>
          </cell>
          <cell r="K12">
            <v>3.4000000000000002E-2</v>
          </cell>
          <cell r="L12">
            <v>0.03</v>
          </cell>
          <cell r="M12">
            <v>0.03</v>
          </cell>
          <cell r="N12">
            <v>1</v>
          </cell>
          <cell r="O12">
            <v>6</v>
          </cell>
          <cell r="P12">
            <v>4.2</v>
          </cell>
        </row>
        <row r="13">
          <cell r="A13" t="str">
            <v>Business Parks A</v>
          </cell>
          <cell r="B13">
            <v>5.2499999999999998E-2</v>
          </cell>
          <cell r="C13">
            <v>6.7500000000000004E-2</v>
          </cell>
          <cell r="D13">
            <v>0.06</v>
          </cell>
          <cell r="E13">
            <v>6.5000000000000002E-2</v>
          </cell>
          <cell r="F13">
            <v>7.0000000000000007E-2</v>
          </cell>
          <cell r="G13">
            <v>6.7916666666666695E-2</v>
          </cell>
          <cell r="H13">
            <v>7.4999999999999997E-2</v>
          </cell>
          <cell r="I13">
            <v>8.7499999999999994E-2</v>
          </cell>
          <cell r="J13">
            <v>7.9166666666666705E-2</v>
          </cell>
          <cell r="K13">
            <v>3.6333333333333301E-2</v>
          </cell>
          <cell r="L13">
            <v>0.03</v>
          </cell>
          <cell r="M13">
            <v>0.03</v>
          </cell>
          <cell r="N13">
            <v>1</v>
          </cell>
          <cell r="O13">
            <v>6</v>
          </cell>
          <cell r="P13">
            <v>5</v>
          </cell>
        </row>
        <row r="14">
          <cell r="A14" t="str">
            <v>Business Parks B</v>
          </cell>
          <cell r="B14">
            <v>5.7500000000000002E-2</v>
          </cell>
          <cell r="C14">
            <v>7.2499999999999995E-2</v>
          </cell>
          <cell r="D14">
            <v>6.7000000000000004E-2</v>
          </cell>
          <cell r="E14">
            <v>7.0000000000000007E-2</v>
          </cell>
          <cell r="F14">
            <v>0.08</v>
          </cell>
          <cell r="G14">
            <v>7.4499999999999997E-2</v>
          </cell>
          <cell r="H14">
            <v>0.08</v>
          </cell>
          <cell r="I14">
            <v>9.2499999999999999E-2</v>
          </cell>
          <cell r="J14">
            <v>8.5500000000000007E-2</v>
          </cell>
          <cell r="K14">
            <v>3.4000000000000002E-2</v>
          </cell>
          <cell r="L14">
            <v>0.03</v>
          </cell>
          <cell r="M14">
            <v>0.03</v>
          </cell>
          <cell r="N14">
            <v>1</v>
          </cell>
          <cell r="O14">
            <v>6</v>
          </cell>
          <cell r="P14">
            <v>4.75</v>
          </cell>
        </row>
        <row r="15">
          <cell r="A15" t="str">
            <v>Business Parks C</v>
          </cell>
          <cell r="B15">
            <v>7.0000000000000007E-2</v>
          </cell>
          <cell r="C15">
            <v>8.7499999999999994E-2</v>
          </cell>
          <cell r="D15">
            <v>7.9375000000000001E-2</v>
          </cell>
          <cell r="E15">
            <v>7.4999999999999997E-2</v>
          </cell>
          <cell r="F15">
            <v>0.09</v>
          </cell>
          <cell r="G15">
            <v>8.5000000000000006E-2</v>
          </cell>
          <cell r="H15">
            <v>0.08</v>
          </cell>
          <cell r="I15">
            <v>0.1075</v>
          </cell>
          <cell r="J15">
            <v>9.4375000000000001E-2</v>
          </cell>
          <cell r="K15">
            <v>3.3500000000000002E-2</v>
          </cell>
          <cell r="L15">
            <v>0.03</v>
          </cell>
          <cell r="M15">
            <v>0.03</v>
          </cell>
          <cell r="N15">
            <v>2</v>
          </cell>
          <cell r="O15">
            <v>9</v>
          </cell>
          <cell r="P15">
            <v>6.666666666666667</v>
          </cell>
        </row>
        <row r="16">
          <cell r="A16" t="str">
            <v>Industrial R&amp;D A</v>
          </cell>
          <cell r="B16">
            <v>5.2499999999999998E-2</v>
          </cell>
          <cell r="C16">
            <v>7.4999999999999997E-2</v>
          </cell>
          <cell r="D16">
            <v>6.5777777777777796E-2</v>
          </cell>
          <cell r="E16">
            <v>6.5000000000000002E-2</v>
          </cell>
          <cell r="F16">
            <v>8.5000000000000006E-2</v>
          </cell>
          <cell r="G16">
            <v>7.3833333333333306E-2</v>
          </cell>
          <cell r="H16">
            <v>7.4999999999999997E-2</v>
          </cell>
          <cell r="I16">
            <v>0.09</v>
          </cell>
          <cell r="J16">
            <v>8.2142857142857101E-2</v>
          </cell>
          <cell r="K16">
            <v>3.2875000000000001E-2</v>
          </cell>
          <cell r="L16">
            <v>2.9374999999999998E-2</v>
          </cell>
          <cell r="M16">
            <v>2.8750000000000001E-2</v>
          </cell>
          <cell r="N16">
            <v>1</v>
          </cell>
          <cell r="O16">
            <v>9</v>
          </cell>
          <cell r="P16">
            <v>6.166666666666667</v>
          </cell>
        </row>
        <row r="17">
          <cell r="A17" t="str">
            <v>Industrial R&amp;D B</v>
          </cell>
          <cell r="B17">
            <v>7.0000000000000007E-2</v>
          </cell>
          <cell r="C17">
            <v>8.5000000000000006E-2</v>
          </cell>
          <cell r="D17">
            <v>7.5999999999999998E-2</v>
          </cell>
          <cell r="E17">
            <v>7.6999999999999999E-2</v>
          </cell>
          <cell r="F17">
            <v>0.09</v>
          </cell>
          <cell r="G17">
            <v>8.1714285714285698E-2</v>
          </cell>
          <cell r="H17">
            <v>8.5000000000000006E-2</v>
          </cell>
          <cell r="I17">
            <v>9.5000000000000001E-2</v>
          </cell>
          <cell r="J17">
            <v>9.0999999999999998E-2</v>
          </cell>
          <cell r="K17">
            <v>3.0333333333333299E-2</v>
          </cell>
          <cell r="L17">
            <v>2.9166666666666698E-2</v>
          </cell>
          <cell r="M17">
            <v>2.8333333333333301E-2</v>
          </cell>
          <cell r="N17">
            <v>1</v>
          </cell>
          <cell r="O17">
            <v>9</v>
          </cell>
          <cell r="P17">
            <v>6.25</v>
          </cell>
        </row>
        <row r="18">
          <cell r="A18" t="str">
            <v>Industrial R&amp;D C</v>
          </cell>
          <cell r="B18">
            <v>0.08</v>
          </cell>
          <cell r="C18">
            <v>0.1</v>
          </cell>
          <cell r="D18">
            <v>8.77857142857143E-2</v>
          </cell>
          <cell r="E18">
            <v>8.6999999999999994E-2</v>
          </cell>
          <cell r="F18">
            <v>0.11</v>
          </cell>
          <cell r="G18">
            <v>9.4571428571428598E-2</v>
          </cell>
          <cell r="H18">
            <v>0.09</v>
          </cell>
          <cell r="I18">
            <v>0.12</v>
          </cell>
          <cell r="J18">
            <v>0.104</v>
          </cell>
          <cell r="K18">
            <v>2.9166666666666698E-2</v>
          </cell>
          <cell r="L18">
            <v>2.9166666666666698E-2</v>
          </cell>
          <cell r="M18">
            <v>2.8333333333333301E-2</v>
          </cell>
          <cell r="N18">
            <v>2</v>
          </cell>
          <cell r="O18">
            <v>12</v>
          </cell>
          <cell r="P18">
            <v>8</v>
          </cell>
        </row>
        <row r="19">
          <cell r="A19" t="str">
            <v>Self Storage A</v>
          </cell>
          <cell r="B19">
            <v>6.5000000000000002E-2</v>
          </cell>
          <cell r="C19">
            <v>7.4999999999999997E-2</v>
          </cell>
          <cell r="D19">
            <v>7.0000000000000007E-2</v>
          </cell>
          <cell r="E19">
            <v>7.0000000000000007E-2</v>
          </cell>
          <cell r="F19">
            <v>8.5000000000000006E-2</v>
          </cell>
          <cell r="G19">
            <v>7.5833333333333294E-2</v>
          </cell>
          <cell r="H19">
            <v>8.5000000000000006E-2</v>
          </cell>
          <cell r="I19">
            <v>0.09</v>
          </cell>
          <cell r="J19">
            <v>8.7999999999999995E-2</v>
          </cell>
          <cell r="K19">
            <v>2.9166666666666698E-2</v>
          </cell>
          <cell r="L19">
            <v>2.9166666666666698E-2</v>
          </cell>
          <cell r="M19">
            <v>2.9166666666666698E-2</v>
          </cell>
          <cell r="N19">
            <v>3</v>
          </cell>
          <cell r="O19">
            <v>12</v>
          </cell>
          <cell r="P19">
            <v>7</v>
          </cell>
        </row>
        <row r="20">
          <cell r="A20" t="str">
            <v>Self Storage B</v>
          </cell>
          <cell r="B20">
            <v>7.0000000000000007E-2</v>
          </cell>
          <cell r="C20">
            <v>8.5000000000000006E-2</v>
          </cell>
          <cell r="D20">
            <v>7.5937500000000005E-2</v>
          </cell>
          <cell r="E20">
            <v>7.7499999999999999E-2</v>
          </cell>
          <cell r="F20">
            <v>0.09</v>
          </cell>
          <cell r="G20">
            <v>8.2857142857142893E-2</v>
          </cell>
          <cell r="H20">
            <v>8.7499999999999994E-2</v>
          </cell>
          <cell r="I20">
            <v>9.7500000000000003E-2</v>
          </cell>
          <cell r="J20">
            <v>9.1999999999999998E-2</v>
          </cell>
          <cell r="K20">
            <v>3.0833333333333299E-2</v>
          </cell>
          <cell r="L20">
            <v>2.9166666666666698E-2</v>
          </cell>
          <cell r="M20">
            <v>2.9166666666666698E-2</v>
          </cell>
          <cell r="N20">
            <v>1</v>
          </cell>
          <cell r="O20">
            <v>12</v>
          </cell>
          <cell r="P20">
            <v>6.5714285714285712</v>
          </cell>
        </row>
        <row r="21">
          <cell r="A21" t="str">
            <v>Self Storage C</v>
          </cell>
          <cell r="B21">
            <v>7.0000000000000007E-2</v>
          </cell>
          <cell r="C21">
            <v>0.09</v>
          </cell>
          <cell r="D21">
            <v>8.2142857142857101E-2</v>
          </cell>
          <cell r="E21">
            <v>0.08</v>
          </cell>
          <cell r="F21">
            <v>0.1</v>
          </cell>
          <cell r="G21">
            <v>8.9285714285714302E-2</v>
          </cell>
          <cell r="H21">
            <v>0.09</v>
          </cell>
          <cell r="I21">
            <v>0.1075</v>
          </cell>
          <cell r="J21">
            <v>9.8000000000000004E-2</v>
          </cell>
          <cell r="K21">
            <v>3.0833333333333299E-2</v>
          </cell>
          <cell r="L21">
            <v>2.9166666666666698E-2</v>
          </cell>
          <cell r="M21">
            <v>2.9166666666666698E-2</v>
          </cell>
          <cell r="N21">
            <v>2</v>
          </cell>
          <cell r="O21">
            <v>12</v>
          </cell>
          <cell r="P21">
            <v>6.833333333333333</v>
          </cell>
        </row>
        <row r="22">
          <cell r="A22" t="str">
            <v>Warehouse/Distribution A</v>
          </cell>
          <cell r="B22">
            <v>0.05</v>
          </cell>
          <cell r="C22">
            <v>7.4999999999999997E-2</v>
          </cell>
          <cell r="D22">
            <v>6.1785714285714298E-2</v>
          </cell>
          <cell r="E22">
            <v>0.06</v>
          </cell>
          <cell r="F22">
            <v>8.7499999999999994E-2</v>
          </cell>
          <cell r="G22">
            <v>6.9642857142857104E-2</v>
          </cell>
          <cell r="H22">
            <v>6.25E-2</v>
          </cell>
          <cell r="I22">
            <v>0.09</v>
          </cell>
          <cell r="J22">
            <v>7.6833333333333295E-2</v>
          </cell>
          <cell r="K22">
            <v>3.06153846153846E-2</v>
          </cell>
          <cell r="L22">
            <v>2.73076923076923E-2</v>
          </cell>
          <cell r="M22">
            <v>2.69230769230769E-2</v>
          </cell>
          <cell r="N22">
            <v>1</v>
          </cell>
          <cell r="O22">
            <v>12</v>
          </cell>
          <cell r="P22">
            <v>7.1818181818181817</v>
          </cell>
        </row>
        <row r="23">
          <cell r="A23" t="str">
            <v>Warehouse/Distribution B</v>
          </cell>
          <cell r="B23">
            <v>0.06</v>
          </cell>
          <cell r="C23">
            <v>0.08</v>
          </cell>
          <cell r="D23">
            <v>7.1999999999999995E-2</v>
          </cell>
          <cell r="E23">
            <v>6.7500000000000004E-2</v>
          </cell>
          <cell r="F23">
            <v>0.09</v>
          </cell>
          <cell r="G23">
            <v>7.7499999999999999E-2</v>
          </cell>
          <cell r="H23">
            <v>7.7499999999999999E-2</v>
          </cell>
          <cell r="I23">
            <v>9.5000000000000001E-2</v>
          </cell>
          <cell r="J23">
            <v>8.7857142857142898E-2</v>
          </cell>
          <cell r="K23">
            <v>2.5000000000000001E-2</v>
          </cell>
          <cell r="L23">
            <v>2.6111111111111099E-2</v>
          </cell>
          <cell r="M23">
            <v>2.5555555555555599E-2</v>
          </cell>
          <cell r="N23">
            <v>6</v>
          </cell>
          <cell r="O23">
            <v>12</v>
          </cell>
          <cell r="P23">
            <v>8.1428571428571423</v>
          </cell>
        </row>
        <row r="24">
          <cell r="A24" t="str">
            <v>Warehouse/Distribution C</v>
          </cell>
          <cell r="B24">
            <v>0.08</v>
          </cell>
          <cell r="C24">
            <v>0.1</v>
          </cell>
          <cell r="D24">
            <v>8.7916666666666698E-2</v>
          </cell>
          <cell r="E24">
            <v>8.5000000000000006E-2</v>
          </cell>
          <cell r="F24">
            <v>0.105</v>
          </cell>
          <cell r="G24">
            <v>9.2916666666666703E-2</v>
          </cell>
          <cell r="H24">
            <v>0.09</v>
          </cell>
          <cell r="I24">
            <v>0.11</v>
          </cell>
          <cell r="J24">
            <v>0.10187499999999999</v>
          </cell>
          <cell r="K24">
            <v>2.5000000000000001E-2</v>
          </cell>
          <cell r="L24">
            <v>2.9000000000000001E-2</v>
          </cell>
          <cell r="M24">
            <v>2.8000000000000001E-2</v>
          </cell>
          <cell r="N24">
            <v>6</v>
          </cell>
          <cell r="O24">
            <v>12</v>
          </cell>
          <cell r="P24">
            <v>10</v>
          </cell>
        </row>
        <row r="25">
          <cell r="A25" t="str">
            <v>Suburban Office A</v>
          </cell>
          <cell r="B25">
            <v>4.7500000000000001E-2</v>
          </cell>
          <cell r="C25">
            <v>7.7499999999999999E-2</v>
          </cell>
          <cell r="D25">
            <v>6.3039999999999999E-2</v>
          </cell>
          <cell r="E25">
            <v>0.06</v>
          </cell>
          <cell r="F25">
            <v>0.09</v>
          </cell>
          <cell r="G25">
            <v>7.2620000000000004E-2</v>
          </cell>
          <cell r="H25">
            <v>7.0000000000000007E-2</v>
          </cell>
          <cell r="I25">
            <v>0.11</v>
          </cell>
          <cell r="J25">
            <v>8.3673913043478307E-2</v>
          </cell>
          <cell r="K25">
            <v>3.3250000000000002E-2</v>
          </cell>
          <cell r="L25">
            <v>2.9374999999999998E-2</v>
          </cell>
          <cell r="M25">
            <v>2.9166666666666698E-2</v>
          </cell>
          <cell r="N25">
            <v>1</v>
          </cell>
          <cell r="O25">
            <v>12</v>
          </cell>
          <cell r="P25">
            <v>6.1818181818181817</v>
          </cell>
        </row>
        <row r="26">
          <cell r="A26" t="str">
            <v>Suburban Office B</v>
          </cell>
          <cell r="B26">
            <v>0.06</v>
          </cell>
          <cell r="C26">
            <v>8.5000000000000006E-2</v>
          </cell>
          <cell r="D26">
            <v>7.0906250000000004E-2</v>
          </cell>
          <cell r="E26">
            <v>6.7500000000000004E-2</v>
          </cell>
          <cell r="F26">
            <v>9.2499999999999999E-2</v>
          </cell>
          <cell r="G26">
            <v>7.8750000000000001E-2</v>
          </cell>
          <cell r="H26">
            <v>7.4999999999999997E-2</v>
          </cell>
          <cell r="I26">
            <v>0.11</v>
          </cell>
          <cell r="J26">
            <v>0.09</v>
          </cell>
          <cell r="K26">
            <v>0.03</v>
          </cell>
          <cell r="L26">
            <v>2.9000000000000001E-2</v>
          </cell>
          <cell r="M26">
            <v>2.8666666666666701E-2</v>
          </cell>
          <cell r="N26">
            <v>1</v>
          </cell>
          <cell r="O26">
            <v>12</v>
          </cell>
          <cell r="P26">
            <v>6.5384615384615383</v>
          </cell>
        </row>
        <row r="27">
          <cell r="A27" t="str">
            <v>Suburban Office C</v>
          </cell>
          <cell r="B27">
            <v>7.0000000000000007E-2</v>
          </cell>
          <cell r="C27">
            <v>9.2499999999999999E-2</v>
          </cell>
          <cell r="D27">
            <v>8.1785714285714295E-2</v>
          </cell>
          <cell r="E27">
            <v>7.4999999999999997E-2</v>
          </cell>
          <cell r="F27">
            <v>0.10249999999999999</v>
          </cell>
          <cell r="G27">
            <v>8.9285714285714302E-2</v>
          </cell>
          <cell r="H27">
            <v>0.08</v>
          </cell>
          <cell r="I27">
            <v>0.11</v>
          </cell>
          <cell r="J27">
            <v>9.6000000000000002E-2</v>
          </cell>
          <cell r="K27">
            <v>3.2000000000000001E-2</v>
          </cell>
          <cell r="L27">
            <v>2.9166666666666698E-2</v>
          </cell>
          <cell r="M27">
            <v>2.9166666666666698E-2</v>
          </cell>
          <cell r="N27">
            <v>2</v>
          </cell>
          <cell r="O27">
            <v>9</v>
          </cell>
          <cell r="P27">
            <v>5.8</v>
          </cell>
        </row>
        <row r="28">
          <cell r="A28" t="str">
            <v>Urban Office A</v>
          </cell>
          <cell r="B28">
            <v>4.4999999999999998E-2</v>
          </cell>
          <cell r="C28">
            <v>7.4999999999999997E-2</v>
          </cell>
          <cell r="D28">
            <v>5.7847826086956503E-2</v>
          </cell>
          <cell r="E28">
            <v>5.5E-2</v>
          </cell>
          <cell r="F28">
            <v>8.5000000000000006E-2</v>
          </cell>
          <cell r="G28">
            <v>6.75869565217391E-2</v>
          </cell>
          <cell r="H28">
            <v>0.06</v>
          </cell>
          <cell r="I28">
            <v>8.7499999999999994E-2</v>
          </cell>
          <cell r="J28">
            <v>7.5714285714285706E-2</v>
          </cell>
          <cell r="K28">
            <v>3.6181818181818197E-2</v>
          </cell>
          <cell r="L28">
            <v>2.9772727272727301E-2</v>
          </cell>
          <cell r="M28">
            <v>2.9318181818181799E-2</v>
          </cell>
          <cell r="N28">
            <v>1</v>
          </cell>
          <cell r="O28">
            <v>12</v>
          </cell>
          <cell r="P28">
            <v>5.7222222222222223</v>
          </cell>
        </row>
        <row r="29">
          <cell r="A29" t="str">
            <v>Urban Office B</v>
          </cell>
          <cell r="B29">
            <v>5.5E-2</v>
          </cell>
          <cell r="C29">
            <v>0.08</v>
          </cell>
          <cell r="D29">
            <v>6.5566666666666704E-2</v>
          </cell>
          <cell r="E29">
            <v>0.06</v>
          </cell>
          <cell r="F29">
            <v>0.09</v>
          </cell>
          <cell r="G29">
            <v>7.41666666666667E-2</v>
          </cell>
          <cell r="H29">
            <v>7.0000000000000007E-2</v>
          </cell>
          <cell r="I29">
            <v>0.09</v>
          </cell>
          <cell r="J29">
            <v>8.0576923076923102E-2</v>
          </cell>
          <cell r="K29">
            <v>3.3642857142857099E-2</v>
          </cell>
          <cell r="L29">
            <v>2.9642857142857099E-2</v>
          </cell>
          <cell r="M29">
            <v>2.8928571428571401E-2</v>
          </cell>
          <cell r="N29">
            <v>2</v>
          </cell>
          <cell r="O29">
            <v>12</v>
          </cell>
          <cell r="P29">
            <v>5.75</v>
          </cell>
        </row>
        <row r="30">
          <cell r="A30" t="str">
            <v>Urban Office C</v>
          </cell>
          <cell r="B30">
            <v>6.5000000000000002E-2</v>
          </cell>
          <cell r="C30">
            <v>0.1</v>
          </cell>
          <cell r="D30">
            <v>8.20833333333333E-2</v>
          </cell>
          <cell r="E30">
            <v>7.4999999999999997E-2</v>
          </cell>
          <cell r="F30">
            <v>0.105</v>
          </cell>
          <cell r="G30">
            <v>0.09</v>
          </cell>
          <cell r="H30">
            <v>8.5000000000000006E-2</v>
          </cell>
          <cell r="I30">
            <v>0.1075</v>
          </cell>
          <cell r="J30">
            <v>9.5625000000000002E-2</v>
          </cell>
          <cell r="K30">
            <v>3.4000000000000002E-2</v>
          </cell>
          <cell r="L30">
            <v>2.9000000000000001E-2</v>
          </cell>
          <cell r="M30">
            <v>2.9000000000000001E-2</v>
          </cell>
          <cell r="N30">
            <v>2</v>
          </cell>
          <cell r="O30">
            <v>6</v>
          </cell>
          <cell r="P30">
            <v>5</v>
          </cell>
        </row>
        <row r="31">
          <cell r="A31" t="str">
            <v>Regional Malls A</v>
          </cell>
          <cell r="B31">
            <v>0.05</v>
          </cell>
          <cell r="C31">
            <v>8.5000000000000006E-2</v>
          </cell>
          <cell r="D31">
            <v>6.2649999999999997E-2</v>
          </cell>
          <cell r="E31">
            <v>0.06</v>
          </cell>
          <cell r="F31">
            <v>0.09</v>
          </cell>
          <cell r="G31">
            <v>6.9250000000000006E-2</v>
          </cell>
          <cell r="H31">
            <v>6.5000000000000002E-2</v>
          </cell>
          <cell r="I31">
            <v>0.09</v>
          </cell>
          <cell r="J31">
            <v>7.6749999999999999E-2</v>
          </cell>
          <cell r="K31">
            <v>3.3444444444444402E-2</v>
          </cell>
          <cell r="L31">
            <v>2.9444444444444402E-2</v>
          </cell>
          <cell r="M31">
            <v>2.8888888888888901E-2</v>
          </cell>
          <cell r="N31">
            <v>1</v>
          </cell>
          <cell r="O31">
            <v>12</v>
          </cell>
          <cell r="P31">
            <v>6.5</v>
          </cell>
        </row>
        <row r="32">
          <cell r="A32" t="str">
            <v>Regional Malls B</v>
          </cell>
          <cell r="B32">
            <v>0.06</v>
          </cell>
          <cell r="C32">
            <v>8.2500000000000004E-2</v>
          </cell>
          <cell r="D32">
            <v>6.7916666666666695E-2</v>
          </cell>
          <cell r="E32">
            <v>6.7500000000000004E-2</v>
          </cell>
          <cell r="F32">
            <v>8.5000000000000006E-2</v>
          </cell>
          <cell r="G32">
            <v>7.41666666666667E-2</v>
          </cell>
          <cell r="H32">
            <v>7.4999999999999997E-2</v>
          </cell>
          <cell r="I32">
            <v>8.6999999999999994E-2</v>
          </cell>
          <cell r="J32">
            <v>8.1125000000000003E-2</v>
          </cell>
          <cell r="K32">
            <v>3.04E-2</v>
          </cell>
          <cell r="L32">
            <v>2.9000000000000001E-2</v>
          </cell>
          <cell r="M32">
            <v>2.8000000000000001E-2</v>
          </cell>
          <cell r="N32">
            <v>1</v>
          </cell>
          <cell r="O32">
            <v>6</v>
          </cell>
          <cell r="P32">
            <v>4.75</v>
          </cell>
        </row>
        <row r="33">
          <cell r="A33" t="str">
            <v>Regional Malls C</v>
          </cell>
          <cell r="B33">
            <v>7.0000000000000007E-2</v>
          </cell>
          <cell r="C33">
            <v>8.5000000000000006E-2</v>
          </cell>
          <cell r="D33">
            <v>7.6666666666666702E-2</v>
          </cell>
          <cell r="E33">
            <v>7.4999999999999997E-2</v>
          </cell>
          <cell r="F33">
            <v>0.09</v>
          </cell>
          <cell r="G33">
            <v>8.2916666666666694E-2</v>
          </cell>
          <cell r="H33">
            <v>0.08</v>
          </cell>
          <cell r="I33">
            <v>0.09</v>
          </cell>
          <cell r="J33">
            <v>8.7499999999999994E-2</v>
          </cell>
          <cell r="K33">
            <v>2.8199999999999999E-2</v>
          </cell>
          <cell r="L33">
            <v>2.9000000000000001E-2</v>
          </cell>
          <cell r="M33">
            <v>2.8000000000000001E-2</v>
          </cell>
          <cell r="N33">
            <v>2</v>
          </cell>
          <cell r="O33">
            <v>9</v>
          </cell>
          <cell r="P33">
            <v>6.5</v>
          </cell>
        </row>
        <row r="34">
          <cell r="A34" t="str">
            <v>Power Centers A</v>
          </cell>
          <cell r="B34">
            <v>5.5E-2</v>
          </cell>
          <cell r="C34">
            <v>7.7499999999999999E-2</v>
          </cell>
          <cell r="D34">
            <v>6.3899999999999998E-2</v>
          </cell>
          <cell r="E34">
            <v>6.25E-2</v>
          </cell>
          <cell r="F34">
            <v>0.08</v>
          </cell>
          <cell r="G34">
            <v>7.0000000000000007E-2</v>
          </cell>
          <cell r="H34">
            <v>7.0000000000000007E-2</v>
          </cell>
          <cell r="I34">
            <v>8.7499999999999994E-2</v>
          </cell>
          <cell r="J34">
            <v>7.7785714285714305E-2</v>
          </cell>
          <cell r="K34">
            <v>3.2444444444444401E-2</v>
          </cell>
          <cell r="L34">
            <v>2.9444444444444402E-2</v>
          </cell>
          <cell r="M34">
            <v>2.8888888888888901E-2</v>
          </cell>
          <cell r="N34">
            <v>1</v>
          </cell>
          <cell r="O34">
            <v>6</v>
          </cell>
          <cell r="P34">
            <v>4.5714285714285712</v>
          </cell>
        </row>
        <row r="35">
          <cell r="A35" t="str">
            <v>Power Centers B</v>
          </cell>
          <cell r="B35">
            <v>6.25E-2</v>
          </cell>
          <cell r="C35">
            <v>0.08</v>
          </cell>
          <cell r="D35">
            <v>7.0833333333333304E-2</v>
          </cell>
          <cell r="E35">
            <v>6.7500000000000004E-2</v>
          </cell>
          <cell r="F35">
            <v>8.5000000000000006E-2</v>
          </cell>
          <cell r="G35">
            <v>7.5937500000000005E-2</v>
          </cell>
          <cell r="H35">
            <v>0.08</v>
          </cell>
          <cell r="I35">
            <v>9.2499999999999999E-2</v>
          </cell>
          <cell r="J35">
            <v>8.6400000000000005E-2</v>
          </cell>
          <cell r="K35">
            <v>3.0249999999999999E-2</v>
          </cell>
          <cell r="L35">
            <v>2.9374999999999998E-2</v>
          </cell>
          <cell r="M35">
            <v>2.8750000000000001E-2</v>
          </cell>
          <cell r="N35">
            <v>1</v>
          </cell>
          <cell r="O35">
            <v>6</v>
          </cell>
          <cell r="P35">
            <v>4.333333333333333</v>
          </cell>
        </row>
        <row r="36">
          <cell r="A36" t="str">
            <v>Power Centers C</v>
          </cell>
          <cell r="B36">
            <v>7.0000000000000007E-2</v>
          </cell>
          <cell r="C36">
            <v>0.09</v>
          </cell>
          <cell r="D36">
            <v>8.1562499999999996E-2</v>
          </cell>
          <cell r="E36">
            <v>7.4999999999999997E-2</v>
          </cell>
          <cell r="F36">
            <v>9.5000000000000001E-2</v>
          </cell>
          <cell r="G36">
            <v>8.7142857142857105E-2</v>
          </cell>
          <cell r="H36">
            <v>0.08</v>
          </cell>
          <cell r="I36">
            <v>0.1075</v>
          </cell>
          <cell r="J36">
            <v>9.35E-2</v>
          </cell>
          <cell r="K36">
            <v>2.8142857142857101E-2</v>
          </cell>
          <cell r="L36">
            <v>2.92857142857143E-2</v>
          </cell>
          <cell r="M36">
            <v>2.8571428571428598E-2</v>
          </cell>
          <cell r="N36">
            <v>1</v>
          </cell>
          <cell r="O36">
            <v>9</v>
          </cell>
          <cell r="P36">
            <v>5.4</v>
          </cell>
        </row>
        <row r="37">
          <cell r="A37" t="str">
            <v>Community Centers A</v>
          </cell>
          <cell r="B37">
            <v>0.06</v>
          </cell>
          <cell r="C37">
            <v>0.08</v>
          </cell>
          <cell r="D37">
            <v>6.7076923076923103E-2</v>
          </cell>
          <cell r="E37">
            <v>6.5000000000000002E-2</v>
          </cell>
          <cell r="F37">
            <v>8.5000000000000006E-2</v>
          </cell>
          <cell r="G37">
            <v>7.2208333333333305E-2</v>
          </cell>
          <cell r="H37">
            <v>7.0000000000000007E-2</v>
          </cell>
          <cell r="I37">
            <v>0.09</v>
          </cell>
          <cell r="J37">
            <v>7.9450000000000007E-2</v>
          </cell>
          <cell r="K37">
            <v>3.0583333333333299E-2</v>
          </cell>
          <cell r="L37">
            <v>2.9583333333333298E-2</v>
          </cell>
          <cell r="M37">
            <v>2.9166666666666698E-2</v>
          </cell>
          <cell r="N37">
            <v>1</v>
          </cell>
          <cell r="O37">
            <v>12</v>
          </cell>
          <cell r="P37">
            <v>6.4</v>
          </cell>
        </row>
        <row r="38">
          <cell r="A38" t="str">
            <v>Community Centers B</v>
          </cell>
          <cell r="B38">
            <v>6.5000000000000002E-2</v>
          </cell>
          <cell r="C38">
            <v>7.4999999999999997E-2</v>
          </cell>
          <cell r="D38">
            <v>7.0777777777777801E-2</v>
          </cell>
          <cell r="E38">
            <v>7.0000000000000007E-2</v>
          </cell>
          <cell r="F38">
            <v>8.5000000000000006E-2</v>
          </cell>
          <cell r="G38">
            <v>7.6187500000000005E-2</v>
          </cell>
          <cell r="H38">
            <v>7.7499999999999999E-2</v>
          </cell>
          <cell r="I38">
            <v>9.5000000000000001E-2</v>
          </cell>
          <cell r="J38">
            <v>8.5357142857142895E-2</v>
          </cell>
          <cell r="K38">
            <v>3.0222222222222199E-2</v>
          </cell>
          <cell r="L38">
            <v>2.9444444444444402E-2</v>
          </cell>
          <cell r="M38">
            <v>2.8888888888888901E-2</v>
          </cell>
          <cell r="N38">
            <v>1</v>
          </cell>
          <cell r="O38">
            <v>6</v>
          </cell>
          <cell r="P38">
            <v>4.8571428571428568</v>
          </cell>
        </row>
        <row r="39">
          <cell r="A39" t="str">
            <v>Community Centers C</v>
          </cell>
          <cell r="B39">
            <v>7.6999999999999999E-2</v>
          </cell>
          <cell r="C39">
            <v>9.2499999999999999E-2</v>
          </cell>
          <cell r="D39">
            <v>8.5999999999999993E-2</v>
          </cell>
          <cell r="E39">
            <v>8.2000000000000003E-2</v>
          </cell>
          <cell r="F39">
            <v>0.1</v>
          </cell>
          <cell r="G39">
            <v>9.325E-2</v>
          </cell>
          <cell r="H39">
            <v>9.5000000000000001E-2</v>
          </cell>
          <cell r="I39">
            <v>0.11</v>
          </cell>
          <cell r="J39">
            <v>0.1</v>
          </cell>
          <cell r="K39">
            <v>2.75E-2</v>
          </cell>
          <cell r="L39">
            <v>2.9166666666666698E-2</v>
          </cell>
          <cell r="M39">
            <v>2.8333333333333301E-2</v>
          </cell>
          <cell r="N39">
            <v>2</v>
          </cell>
          <cell r="O39">
            <v>9</v>
          </cell>
          <cell r="P39">
            <v>5.25</v>
          </cell>
        </row>
        <row r="40">
          <cell r="A40" t="str">
            <v>Neighborhood Centers A</v>
          </cell>
          <cell r="B40">
            <v>5.2499999999999998E-2</v>
          </cell>
          <cell r="C40">
            <v>7.4999999999999997E-2</v>
          </cell>
          <cell r="D40">
            <v>6.3785714285714307E-2</v>
          </cell>
          <cell r="E40">
            <v>6.5000000000000002E-2</v>
          </cell>
          <cell r="F40">
            <v>7.7499999999999999E-2</v>
          </cell>
          <cell r="G40">
            <v>6.9653846153846205E-2</v>
          </cell>
          <cell r="H40">
            <v>6.7500000000000004E-2</v>
          </cell>
          <cell r="I40">
            <v>9.5000000000000001E-2</v>
          </cell>
          <cell r="J40">
            <v>7.9000000000000001E-2</v>
          </cell>
          <cell r="K40">
            <v>2.9428571428571401E-2</v>
          </cell>
          <cell r="L40">
            <v>2.9642857142857099E-2</v>
          </cell>
          <cell r="M40">
            <v>2.92857142857143E-2</v>
          </cell>
          <cell r="N40">
            <v>1</v>
          </cell>
          <cell r="O40">
            <v>12</v>
          </cell>
          <cell r="P40">
            <v>6.2</v>
          </cell>
        </row>
        <row r="41">
          <cell r="A41" t="str">
            <v>Neighborhood Centers B</v>
          </cell>
          <cell r="B41">
            <v>7.0000000000000007E-2</v>
          </cell>
          <cell r="C41">
            <v>8.2500000000000004E-2</v>
          </cell>
          <cell r="D41">
            <v>7.4749999999999997E-2</v>
          </cell>
          <cell r="E41">
            <v>7.4999999999999997E-2</v>
          </cell>
          <cell r="F41">
            <v>8.7499999999999994E-2</v>
          </cell>
          <cell r="G41">
            <v>8.0277777777777795E-2</v>
          </cell>
          <cell r="H41">
            <v>0.08</v>
          </cell>
          <cell r="I41">
            <v>0.1075</v>
          </cell>
          <cell r="J41">
            <v>9.0999999999999998E-2</v>
          </cell>
          <cell r="K41">
            <v>2.65555555555556E-2</v>
          </cell>
          <cell r="L41">
            <v>2.72222222222222E-2</v>
          </cell>
          <cell r="M41">
            <v>2.7777777777777801E-2</v>
          </cell>
          <cell r="N41">
            <v>1</v>
          </cell>
          <cell r="O41">
            <v>9</v>
          </cell>
          <cell r="P41">
            <v>5.4285714285714288</v>
          </cell>
        </row>
        <row r="42">
          <cell r="A42" t="str">
            <v>Neighborhood Centers C</v>
          </cell>
          <cell r="B42">
            <v>0.08</v>
          </cell>
          <cell r="C42">
            <v>0.1</v>
          </cell>
          <cell r="D42">
            <v>8.8214285714285703E-2</v>
          </cell>
          <cell r="E42">
            <v>8.5000000000000006E-2</v>
          </cell>
          <cell r="F42">
            <v>0.11</v>
          </cell>
          <cell r="G42">
            <v>9.5833333333333298E-2</v>
          </cell>
          <cell r="H42">
            <v>9.5000000000000001E-2</v>
          </cell>
          <cell r="I42">
            <v>0.115</v>
          </cell>
          <cell r="J42">
            <v>0.10249999999999999</v>
          </cell>
          <cell r="K42">
            <v>2.75E-2</v>
          </cell>
          <cell r="L42">
            <v>2.9166666666666698E-2</v>
          </cell>
          <cell r="M42">
            <v>2.8333333333333301E-2</v>
          </cell>
          <cell r="N42">
            <v>2</v>
          </cell>
          <cell r="O42">
            <v>9</v>
          </cell>
          <cell r="P42">
            <v>5</v>
          </cell>
        </row>
        <row r="43">
          <cell r="A43" t="str">
            <v>Strip Centers A</v>
          </cell>
          <cell r="B43">
            <v>0.06</v>
          </cell>
          <cell r="C43">
            <v>7.7499999999999999E-2</v>
          </cell>
          <cell r="D43">
            <v>6.8750000000000006E-2</v>
          </cell>
          <cell r="E43">
            <v>6.5000000000000002E-2</v>
          </cell>
          <cell r="F43">
            <v>8.7499999999999994E-2</v>
          </cell>
          <cell r="G43">
            <v>7.41666666666667E-2</v>
          </cell>
          <cell r="H43">
            <v>7.0000000000000007E-2</v>
          </cell>
          <cell r="I43">
            <v>9.5000000000000001E-2</v>
          </cell>
          <cell r="J43">
            <v>8.1562499999999996E-2</v>
          </cell>
          <cell r="K43">
            <v>2.75E-2</v>
          </cell>
          <cell r="L43">
            <v>2.9000000000000001E-2</v>
          </cell>
          <cell r="M43">
            <v>2.9000000000000001E-2</v>
          </cell>
          <cell r="N43">
            <v>1</v>
          </cell>
          <cell r="O43">
            <v>12</v>
          </cell>
          <cell r="P43">
            <v>6.7222222222222223</v>
          </cell>
        </row>
        <row r="44">
          <cell r="A44" t="str">
            <v>Strip Centers B</v>
          </cell>
          <cell r="B44">
            <v>7.0000000000000007E-2</v>
          </cell>
          <cell r="C44">
            <v>8.2500000000000004E-2</v>
          </cell>
          <cell r="D44">
            <v>7.5416666666666701E-2</v>
          </cell>
          <cell r="E44">
            <v>7.4999999999999997E-2</v>
          </cell>
          <cell r="F44">
            <v>9.2499999999999999E-2</v>
          </cell>
          <cell r="G44">
            <v>8.1500000000000003E-2</v>
          </cell>
          <cell r="H44">
            <v>0.08</v>
          </cell>
          <cell r="I44">
            <v>0.1</v>
          </cell>
          <cell r="J44">
            <v>8.8749999999999996E-2</v>
          </cell>
          <cell r="K44">
            <v>3.0833333333333299E-2</v>
          </cell>
          <cell r="L44">
            <v>2.9166666666666698E-2</v>
          </cell>
          <cell r="M44">
            <v>2.9166666666666698E-2</v>
          </cell>
          <cell r="N44">
            <v>1</v>
          </cell>
          <cell r="O44">
            <v>9</v>
          </cell>
          <cell r="P44">
            <v>5.2</v>
          </cell>
        </row>
        <row r="45">
          <cell r="A45" t="str">
            <v>Strip Centers C</v>
          </cell>
          <cell r="B45">
            <v>0.08</v>
          </cell>
          <cell r="C45">
            <v>0.1</v>
          </cell>
          <cell r="D45">
            <v>8.8214285714285703E-2</v>
          </cell>
          <cell r="E45">
            <v>8.5000000000000006E-2</v>
          </cell>
          <cell r="F45">
            <v>0.11</v>
          </cell>
          <cell r="G45">
            <v>9.5833333333333298E-2</v>
          </cell>
          <cell r="H45">
            <v>8.5000000000000006E-2</v>
          </cell>
          <cell r="I45">
            <v>0.115</v>
          </cell>
          <cell r="J45">
            <v>9.8750000000000004E-2</v>
          </cell>
          <cell r="K45">
            <v>3.0833333333333299E-2</v>
          </cell>
          <cell r="L45">
            <v>2.9166666666666698E-2</v>
          </cell>
          <cell r="M45">
            <v>2.9166666666666698E-2</v>
          </cell>
          <cell r="N45">
            <v>2</v>
          </cell>
          <cell r="O45">
            <v>12</v>
          </cell>
          <cell r="P45">
            <v>7</v>
          </cell>
        </row>
        <row r="46">
          <cell r="A46" t="str">
            <v>Hotels A</v>
          </cell>
          <cell r="B46">
            <v>0.05</v>
          </cell>
          <cell r="C46">
            <v>8.5000000000000006E-2</v>
          </cell>
          <cell r="D46">
            <v>6.6875000000000004E-2</v>
          </cell>
          <cell r="E46">
            <v>5.5E-2</v>
          </cell>
          <cell r="F46">
            <v>0.1</v>
          </cell>
          <cell r="G46">
            <v>7.4749999999999997E-2</v>
          </cell>
          <cell r="H46">
            <v>0.08</v>
          </cell>
          <cell r="I46">
            <v>0.12</v>
          </cell>
          <cell r="J46">
            <v>9.9642857142857102E-2</v>
          </cell>
          <cell r="K46">
            <v>3.4866666666666699E-2</v>
          </cell>
          <cell r="L46">
            <v>2.9333333333333302E-2</v>
          </cell>
          <cell r="M46">
            <v>2.9000000000000001E-2</v>
          </cell>
          <cell r="N46">
            <v>1</v>
          </cell>
          <cell r="O46">
            <v>12</v>
          </cell>
          <cell r="P46">
            <v>6.833333333333333</v>
          </cell>
        </row>
        <row r="47">
          <cell r="A47" t="str">
            <v>Hotels B</v>
          </cell>
          <cell r="B47">
            <v>7.0000000000000007E-2</v>
          </cell>
          <cell r="C47">
            <v>9.7500000000000003E-2</v>
          </cell>
          <cell r="D47">
            <v>8.1684210526315804E-2</v>
          </cell>
          <cell r="E47">
            <v>7.4999999999999997E-2</v>
          </cell>
          <cell r="F47">
            <v>0.105</v>
          </cell>
          <cell r="G47">
            <v>8.9026315789473703E-2</v>
          </cell>
          <cell r="H47">
            <v>0.09</v>
          </cell>
          <cell r="I47">
            <v>0.125</v>
          </cell>
          <cell r="J47">
            <v>0.11</v>
          </cell>
          <cell r="K47">
            <v>3.4333333333333299E-2</v>
          </cell>
          <cell r="L47">
            <v>0.03</v>
          </cell>
          <cell r="M47">
            <v>2.9722222222222199E-2</v>
          </cell>
          <cell r="N47">
            <v>1</v>
          </cell>
          <cell r="O47">
            <v>12</v>
          </cell>
          <cell r="P47">
            <v>7.6470588235294121</v>
          </cell>
        </row>
        <row r="48">
          <cell r="A48" t="str">
            <v>Hotels C</v>
          </cell>
          <cell r="B48">
            <v>0.08</v>
          </cell>
          <cell r="C48">
            <v>0.11</v>
          </cell>
          <cell r="D48">
            <v>9.1249999999999998E-2</v>
          </cell>
          <cell r="E48">
            <v>8.5000000000000006E-2</v>
          </cell>
          <cell r="F48">
            <v>0.12</v>
          </cell>
          <cell r="G48">
            <v>9.8750000000000004E-2</v>
          </cell>
          <cell r="H48">
            <v>0.1</v>
          </cell>
          <cell r="I48">
            <v>0.105</v>
          </cell>
          <cell r="J48">
            <v>0.10249999999999999</v>
          </cell>
          <cell r="K48">
            <v>2.8333333333333301E-2</v>
          </cell>
          <cell r="L48">
            <v>2.8333333333333301E-2</v>
          </cell>
          <cell r="M48">
            <v>2.66666666666667E-2</v>
          </cell>
          <cell r="N48">
            <v>2</v>
          </cell>
          <cell r="O48">
            <v>6</v>
          </cell>
          <cell r="P48">
            <v>4</v>
          </cell>
        </row>
        <row r="49">
          <cell r="A49" t="str">
            <v>All Responses A</v>
          </cell>
          <cell r="B49">
            <v>0.04</v>
          </cell>
          <cell r="C49">
            <v>8.5000000000000006E-2</v>
          </cell>
          <cell r="D49">
            <v>6.3599263700872405E-2</v>
          </cell>
          <cell r="E49">
            <v>0.05</v>
          </cell>
          <cell r="F49">
            <v>0.1</v>
          </cell>
          <cell r="G49">
            <v>7.0445878908531101E-2</v>
          </cell>
          <cell r="H49">
            <v>0.06</v>
          </cell>
          <cell r="I49">
            <v>0.12</v>
          </cell>
          <cell r="J49">
            <v>8.0270364044168402E-2</v>
          </cell>
          <cell r="K49">
            <v>3.2363071558071603E-2</v>
          </cell>
          <cell r="L49">
            <v>2.9335682835682799E-2</v>
          </cell>
          <cell r="M49">
            <v>2.9037838087838101E-2</v>
          </cell>
          <cell r="N49">
            <v>1</v>
          </cell>
          <cell r="O49">
            <v>12</v>
          </cell>
          <cell r="P49">
            <v>5.8998460798460801</v>
          </cell>
        </row>
        <row r="50">
          <cell r="A50" t="str">
            <v>All Responses B</v>
          </cell>
          <cell r="B50">
            <v>0.05</v>
          </cell>
          <cell r="C50">
            <v>9.7500000000000003E-2</v>
          </cell>
          <cell r="D50">
            <v>7.1489978513202199E-2</v>
          </cell>
          <cell r="E50">
            <v>5.5E-2</v>
          </cell>
          <cell r="F50">
            <v>0.105</v>
          </cell>
          <cell r="G50">
            <v>7.7672257031467601E-2</v>
          </cell>
          <cell r="H50">
            <v>6.5000000000000002E-2</v>
          </cell>
          <cell r="I50">
            <v>0.125</v>
          </cell>
          <cell r="J50">
            <v>8.7656265771265798E-2</v>
          </cell>
          <cell r="K50">
            <v>3.0873597883597899E-2</v>
          </cell>
          <cell r="L50">
            <v>2.9053042328042299E-2</v>
          </cell>
          <cell r="M50">
            <v>2.8697089947089902E-2</v>
          </cell>
          <cell r="N50">
            <v>1</v>
          </cell>
          <cell r="O50">
            <v>12</v>
          </cell>
          <cell r="P50">
            <v>5.5345902463549521</v>
          </cell>
        </row>
        <row r="51">
          <cell r="A51" t="str">
            <v>All Responses C</v>
          </cell>
          <cell r="B51">
            <v>0.06</v>
          </cell>
          <cell r="C51">
            <v>0.11</v>
          </cell>
          <cell r="D51">
            <v>8.2844246031746005E-2</v>
          </cell>
          <cell r="E51">
            <v>7.0000000000000007E-2</v>
          </cell>
          <cell r="F51">
            <v>0.12</v>
          </cell>
          <cell r="G51">
            <v>8.94540476190476E-2</v>
          </cell>
          <cell r="H51">
            <v>7.4999999999999997E-2</v>
          </cell>
          <cell r="I51">
            <v>0.12</v>
          </cell>
          <cell r="J51">
            <v>9.6641666666666695E-2</v>
          </cell>
          <cell r="K51">
            <v>2.9977301587301601E-2</v>
          </cell>
          <cell r="L51">
            <v>2.9157936507936501E-2</v>
          </cell>
          <cell r="M51">
            <v>2.86325396825397E-2</v>
          </cell>
          <cell r="N51">
            <v>1</v>
          </cell>
          <cell r="O51">
            <v>12</v>
          </cell>
          <cell r="P51">
            <v>5.9155555555555557</v>
          </cell>
        </row>
        <row r="52">
          <cell r="A52" t="str">
            <v>Korpacz (2nd Qtr. 2008)</v>
          </cell>
          <cell r="B52" t="str">
            <v>---</v>
          </cell>
          <cell r="C52" t="str">
            <v>---</v>
          </cell>
          <cell r="D52" t="str">
            <v>---</v>
          </cell>
          <cell r="E52" t="str">
            <v>---</v>
          </cell>
          <cell r="F52" t="str">
            <v>---</v>
          </cell>
          <cell r="G52" t="str">
            <v>---</v>
          </cell>
          <cell r="H52" t="str">
            <v>---</v>
          </cell>
          <cell r="I52" t="str">
            <v>---</v>
          </cell>
          <cell r="J52" t="str">
            <v>---</v>
          </cell>
          <cell r="K52" t="str">
            <v>---</v>
          </cell>
          <cell r="L52" t="str">
            <v>---</v>
          </cell>
          <cell r="M52" t="str">
            <v>---</v>
          </cell>
          <cell r="N52" t="str">
            <v>---</v>
          </cell>
          <cell r="O52" t="str">
            <v>---</v>
          </cell>
          <cell r="P52" t="str">
            <v>---</v>
          </cell>
        </row>
        <row r="53">
          <cell r="A53" t="str">
            <v>Regional Mall</v>
          </cell>
          <cell r="B53">
            <v>0.05</v>
          </cell>
          <cell r="C53">
            <v>9.5000000000000001E-2</v>
          </cell>
          <cell r="D53">
            <v>6.7100000000000007E-2</v>
          </cell>
          <cell r="E53">
            <v>0.06</v>
          </cell>
          <cell r="F53">
            <v>0.1</v>
          </cell>
          <cell r="G53">
            <v>7.3800000000000004E-2</v>
          </cell>
          <cell r="H53">
            <v>7.0000000000000007E-2</v>
          </cell>
          <cell r="I53">
            <v>0.11</v>
          </cell>
          <cell r="J53">
            <v>8.7300000000000003E-2</v>
          </cell>
          <cell r="K53">
            <v>2.63E-2</v>
          </cell>
          <cell r="L53">
            <v>0.03</v>
          </cell>
          <cell r="M53" t="str">
            <v>---</v>
          </cell>
          <cell r="N53">
            <v>3</v>
          </cell>
          <cell r="O53">
            <v>12</v>
          </cell>
          <cell r="P53">
            <v>6.75</v>
          </cell>
        </row>
        <row r="54">
          <cell r="A54" t="str">
            <v>Power Center</v>
          </cell>
          <cell r="B54">
            <v>5.7500000000000002E-2</v>
          </cell>
          <cell r="C54">
            <v>0.09</v>
          </cell>
          <cell r="D54">
            <v>7.17E-2</v>
          </cell>
          <cell r="E54">
            <v>6.5000000000000002E-2</v>
          </cell>
          <cell r="F54">
            <v>9.5000000000000001E-2</v>
          </cell>
          <cell r="G54">
            <v>7.6700000000000004E-2</v>
          </cell>
          <cell r="H54">
            <v>7.0000000000000007E-2</v>
          </cell>
          <cell r="I54">
            <v>0.115</v>
          </cell>
          <cell r="J54">
            <v>8.3900000000000002E-2</v>
          </cell>
          <cell r="K54">
            <v>2.4400000000000002E-2</v>
          </cell>
          <cell r="L54">
            <v>3.1300000000000001E-2</v>
          </cell>
          <cell r="M54" t="str">
            <v>---</v>
          </cell>
          <cell r="N54">
            <v>3</v>
          </cell>
          <cell r="O54">
            <v>9</v>
          </cell>
          <cell r="P54">
            <v>5.56</v>
          </cell>
        </row>
        <row r="55">
          <cell r="A55" t="str">
            <v>Strip Shopping Center</v>
          </cell>
          <cell r="B55">
            <v>5.8000000000000003E-2</v>
          </cell>
          <cell r="C55">
            <v>0.09</v>
          </cell>
          <cell r="D55">
            <v>7.3200000000000001E-2</v>
          </cell>
          <cell r="E55">
            <v>0.06</v>
          </cell>
          <cell r="F55">
            <v>0.1</v>
          </cell>
          <cell r="G55">
            <v>7.85E-2</v>
          </cell>
          <cell r="H55">
            <v>0.06</v>
          </cell>
          <cell r="I55">
            <v>0.1</v>
          </cell>
          <cell r="J55">
            <v>8.3900000000000002E-2</v>
          </cell>
          <cell r="K55">
            <v>2.81E-2</v>
          </cell>
          <cell r="L55">
            <v>3.1E-2</v>
          </cell>
          <cell r="M55" t="str">
            <v>---</v>
          </cell>
          <cell r="N55">
            <v>2</v>
          </cell>
          <cell r="O55">
            <v>12</v>
          </cell>
          <cell r="P55">
            <v>6.1</v>
          </cell>
        </row>
        <row r="56">
          <cell r="A56" t="str">
            <v>CBD Office</v>
          </cell>
          <cell r="B56">
            <v>4.4999999999999998E-2</v>
          </cell>
          <cell r="C56">
            <v>0.1</v>
          </cell>
          <cell r="D56">
            <v>6.6799999999999998E-2</v>
          </cell>
          <cell r="E56">
            <v>0.06</v>
          </cell>
          <cell r="F56">
            <v>0.1</v>
          </cell>
          <cell r="G56">
            <v>7.5300000000000006E-2</v>
          </cell>
          <cell r="H56">
            <v>0.06</v>
          </cell>
          <cell r="I56">
            <v>0.11</v>
          </cell>
          <cell r="J56">
            <v>8.0399999999999999E-2</v>
          </cell>
          <cell r="K56">
            <v>3.6400000000000002E-2</v>
          </cell>
          <cell r="L56">
            <v>2.8899999999999999E-2</v>
          </cell>
          <cell r="M56" t="str">
            <v>---</v>
          </cell>
          <cell r="N56">
            <v>2</v>
          </cell>
          <cell r="O56">
            <v>12</v>
          </cell>
          <cell r="P56">
            <v>6.13</v>
          </cell>
        </row>
        <row r="57">
          <cell r="A57" t="str">
            <v>Suburban Office</v>
          </cell>
          <cell r="B57">
            <v>0.05</v>
          </cell>
          <cell r="C57">
            <v>0.105</v>
          </cell>
          <cell r="D57">
            <v>7.2800000000000004E-2</v>
          </cell>
          <cell r="E57">
            <v>0.06</v>
          </cell>
          <cell r="F57">
            <v>0.11</v>
          </cell>
          <cell r="G57">
            <v>7.9399999999999998E-2</v>
          </cell>
          <cell r="H57">
            <v>7.0000000000000007E-2</v>
          </cell>
          <cell r="I57">
            <v>0.125</v>
          </cell>
          <cell r="J57">
            <v>8.9300000000000004E-2</v>
          </cell>
          <cell r="K57">
            <v>2.58E-2</v>
          </cell>
          <cell r="L57">
            <v>3.0200000000000001E-2</v>
          </cell>
          <cell r="M57" t="str">
            <v>---</v>
          </cell>
          <cell r="N57">
            <v>2</v>
          </cell>
          <cell r="O57">
            <v>9</v>
          </cell>
          <cell r="P57">
            <v>6.13</v>
          </cell>
        </row>
        <row r="58">
          <cell r="A58" t="str">
            <v>Flex/R&amp;D</v>
          </cell>
          <cell r="B58">
            <v>5.5E-2</v>
          </cell>
          <cell r="C58">
            <v>9.2499999999999999E-2</v>
          </cell>
          <cell r="D58">
            <v>7.6799999999999993E-2</v>
          </cell>
          <cell r="E58">
            <v>7.0000000000000007E-2</v>
          </cell>
          <cell r="F58">
            <v>0.105</v>
          </cell>
          <cell r="G58">
            <v>8.2000000000000003E-2</v>
          </cell>
          <cell r="H58">
            <v>6.7500000000000004E-2</v>
          </cell>
          <cell r="I58">
            <v>0.1</v>
          </cell>
          <cell r="J58">
            <v>8.6099999999999996E-2</v>
          </cell>
          <cell r="K58">
            <v>2.7E-2</v>
          </cell>
          <cell r="L58">
            <v>2.9499999999999998E-2</v>
          </cell>
          <cell r="M58" t="str">
            <v>---</v>
          </cell>
          <cell r="N58">
            <v>3</v>
          </cell>
          <cell r="O58">
            <v>18</v>
          </cell>
          <cell r="P58">
            <v>6.33</v>
          </cell>
        </row>
        <row r="59">
          <cell r="A59" t="str">
            <v>Warehouse</v>
          </cell>
          <cell r="B59">
            <v>0.05</v>
          </cell>
          <cell r="C59">
            <v>8.5000000000000006E-2</v>
          </cell>
          <cell r="D59">
            <v>6.5600000000000006E-2</v>
          </cell>
          <cell r="E59">
            <v>5.5E-2</v>
          </cell>
          <cell r="F59">
            <v>8.5000000000000006E-2</v>
          </cell>
          <cell r="G59">
            <v>7.1800000000000003E-2</v>
          </cell>
          <cell r="H59">
            <v>5.5E-2</v>
          </cell>
          <cell r="I59">
            <v>0.1</v>
          </cell>
          <cell r="J59">
            <v>7.6799999999999993E-2</v>
          </cell>
          <cell r="K59">
            <v>2.9399999999999999E-2</v>
          </cell>
          <cell r="L59">
            <v>0.03</v>
          </cell>
          <cell r="M59" t="str">
            <v>---</v>
          </cell>
          <cell r="N59">
            <v>1</v>
          </cell>
          <cell r="O59">
            <v>12</v>
          </cell>
          <cell r="P59">
            <v>5.75</v>
          </cell>
        </row>
        <row r="60">
          <cell r="A60" t="str">
            <v>Apartment</v>
          </cell>
          <cell r="B60">
            <v>3.5000000000000003E-2</v>
          </cell>
          <cell r="C60">
            <v>0.08</v>
          </cell>
          <cell r="D60">
            <v>5.7500000000000002E-2</v>
          </cell>
          <cell r="E60">
            <v>4.4999999999999998E-2</v>
          </cell>
          <cell r="F60">
            <v>8.5000000000000006E-2</v>
          </cell>
          <cell r="G60">
            <v>6.6900000000000001E-2</v>
          </cell>
          <cell r="H60">
            <v>0.06</v>
          </cell>
          <cell r="I60">
            <v>0.105</v>
          </cell>
          <cell r="J60">
            <v>8.1600000000000006E-2</v>
          </cell>
          <cell r="K60">
            <v>3.1699999999999999E-2</v>
          </cell>
          <cell r="L60">
            <v>2.92E-2</v>
          </cell>
          <cell r="M60" t="str">
            <v>---</v>
          </cell>
          <cell r="N60">
            <v>1</v>
          </cell>
          <cell r="O60">
            <v>12</v>
          </cell>
          <cell r="P60">
            <v>6</v>
          </cell>
        </row>
        <row r="61">
          <cell r="A61" t="str">
            <v>Net Lease</v>
          </cell>
          <cell r="B61">
            <v>0.06</v>
          </cell>
          <cell r="C61">
            <v>0.1</v>
          </cell>
          <cell r="D61">
            <v>7.6300000000000007E-2</v>
          </cell>
          <cell r="E61">
            <v>7.0000000000000007E-2</v>
          </cell>
          <cell r="F61">
            <v>0.1</v>
          </cell>
          <cell r="G61">
            <v>8.2799999999999999E-2</v>
          </cell>
          <cell r="H61">
            <v>0.08</v>
          </cell>
          <cell r="I61">
            <v>0.12</v>
          </cell>
          <cell r="J61">
            <v>9.35E-2</v>
          </cell>
          <cell r="K61">
            <v>2.3300000000000001E-2</v>
          </cell>
          <cell r="L61">
            <v>2.75E-2</v>
          </cell>
          <cell r="M61" t="str">
            <v>---</v>
          </cell>
          <cell r="N61">
            <v>2</v>
          </cell>
          <cell r="O61">
            <v>6</v>
          </cell>
          <cell r="P61">
            <v>4.42</v>
          </cell>
        </row>
        <row r="62">
          <cell r="A62" t="str">
            <v>Domestic Self Storage</v>
          </cell>
          <cell r="B62">
            <v>6.5000000000000002E-2</v>
          </cell>
          <cell r="C62">
            <v>9.7500000000000003E-2</v>
          </cell>
          <cell r="D62">
            <v>0.08</v>
          </cell>
          <cell r="E62">
            <v>7.7499999999999999E-2</v>
          </cell>
          <cell r="F62">
            <v>0.10249999999999999</v>
          </cell>
          <cell r="G62">
            <v>0.09</v>
          </cell>
          <cell r="H62">
            <v>9.2499999999999999E-2</v>
          </cell>
          <cell r="I62">
            <v>0.1125</v>
          </cell>
          <cell r="J62">
            <v>0.10249999999999999</v>
          </cell>
          <cell r="K62">
            <v>3.2500000000000001E-2</v>
          </cell>
          <cell r="L62">
            <v>3.2500000000000001E-2</v>
          </cell>
          <cell r="M62" t="str">
            <v>---</v>
          </cell>
          <cell r="N62">
            <v>1.5</v>
          </cell>
          <cell r="O62">
            <v>3</v>
          </cell>
          <cell r="P62">
            <v>2</v>
          </cell>
        </row>
      </sheetData>
      <sheetData sheetId="14" refreshError="1">
        <row r="1">
          <cell r="C1" t="str">
            <v>General Investment</v>
          </cell>
          <cell r="D1" t="b">
            <v>1</v>
          </cell>
        </row>
        <row r="2">
          <cell r="C2" t="str">
            <v>Net Leased Investments</v>
          </cell>
          <cell r="D2" t="b">
            <v>1</v>
          </cell>
        </row>
        <row r="3">
          <cell r="C3" t="str">
            <v>Net Lease</v>
          </cell>
          <cell r="D3" t="b">
            <v>1</v>
          </cell>
        </row>
        <row r="21">
          <cell r="I21">
            <v>6</v>
          </cell>
        </row>
      </sheetData>
      <sheetData sheetId="15" refreshError="1"/>
      <sheetData sheetId="16" refreshError="1">
        <row r="10">
          <cell r="K10" t="str">
            <v>2008</v>
          </cell>
        </row>
      </sheetData>
      <sheetData sheetId="17" refreshError="1"/>
      <sheetData sheetId="18" refreshError="1"/>
      <sheetData sheetId="19" refreshError="1"/>
      <sheetData sheetId="20" refreshError="1"/>
      <sheetData sheetId="21" refreshError="1"/>
      <sheetData sheetId="22" refreshError="1"/>
      <sheetData sheetId="23" refreshError="1">
        <row r="34">
          <cell r="W34" t="b">
            <v>0</v>
          </cell>
        </row>
        <row r="41">
          <cell r="AB41">
            <v>6.9999999999999993E-2</v>
          </cell>
        </row>
        <row r="51">
          <cell r="AB51">
            <v>6.9999999999999993E-3</v>
          </cell>
        </row>
      </sheetData>
      <sheetData sheetId="24" refreshError="1">
        <row r="37">
          <cell r="F37" t="str">
            <v>Declining</v>
          </cell>
        </row>
        <row r="38">
          <cell r="F38" t="str">
            <v>Stable</v>
          </cell>
        </row>
        <row r="39">
          <cell r="F39" t="str">
            <v>Increasing</v>
          </cell>
        </row>
      </sheetData>
      <sheetData sheetId="25" refreshError="1"/>
      <sheetData sheetId="26" refreshError="1">
        <row r="47">
          <cell r="F47">
            <v>0.11429687881600156</v>
          </cell>
        </row>
        <row r="48">
          <cell r="F48" t="str">
            <v>8.75 : 1</v>
          </cell>
        </row>
      </sheetData>
      <sheetData sheetId="27" refreshError="1">
        <row r="15">
          <cell r="D15">
            <v>0</v>
          </cell>
        </row>
        <row r="26">
          <cell r="I26">
            <v>0.3</v>
          </cell>
        </row>
      </sheetData>
      <sheetData sheetId="28" refreshError="1">
        <row r="4">
          <cell r="D4" t="str">
            <v>C-4</v>
          </cell>
        </row>
      </sheetData>
      <sheetData sheetId="29" refreshError="1">
        <row r="2">
          <cell r="B2">
            <v>2</v>
          </cell>
        </row>
        <row r="3">
          <cell r="B3">
            <v>2</v>
          </cell>
        </row>
        <row r="4">
          <cell r="B4">
            <v>2</v>
          </cell>
        </row>
        <row r="12">
          <cell r="G12">
            <v>222126.94999999998</v>
          </cell>
          <cell r="K12">
            <v>1450000</v>
          </cell>
        </row>
        <row r="21">
          <cell r="G21">
            <v>24182.961046499997</v>
          </cell>
          <cell r="K21">
            <v>157861.5</v>
          </cell>
        </row>
      </sheetData>
      <sheetData sheetId="30" refreshError="1"/>
      <sheetData sheetId="31" refreshError="1"/>
      <sheetData sheetId="32" refreshError="1">
        <row r="38">
          <cell r="L38">
            <v>1403500</v>
          </cell>
        </row>
        <row r="45">
          <cell r="P45">
            <v>397000</v>
          </cell>
        </row>
      </sheetData>
      <sheetData sheetId="33" refreshError="1">
        <row r="2">
          <cell r="E2" t="str">
            <v>$ PSF</v>
          </cell>
        </row>
        <row r="9">
          <cell r="R9">
            <v>1</v>
          </cell>
          <cell r="S9" t="str">
            <v>Hide</v>
          </cell>
          <cell r="T9" t="str">
            <v>Show</v>
          </cell>
          <cell r="U9" t="str">
            <v>Hide</v>
          </cell>
        </row>
        <row r="10">
          <cell r="R10">
            <v>2</v>
          </cell>
          <cell r="S10" t="str">
            <v>Show</v>
          </cell>
          <cell r="T10" t="str">
            <v>Hide</v>
          </cell>
          <cell r="U10" t="str">
            <v>Hide</v>
          </cell>
        </row>
        <row r="11">
          <cell r="R11">
            <v>3</v>
          </cell>
          <cell r="S11" t="str">
            <v>Hide</v>
          </cell>
          <cell r="T11" t="str">
            <v>Hide</v>
          </cell>
          <cell r="U11" t="str">
            <v>Show</v>
          </cell>
        </row>
      </sheetData>
      <sheetData sheetId="34" refreshError="1">
        <row r="5">
          <cell r="C5" t="str">
            <v>$ PSF</v>
          </cell>
        </row>
        <row r="23">
          <cell r="G23">
            <v>4.2500010982879886</v>
          </cell>
          <cell r="H23">
            <v>9</v>
          </cell>
          <cell r="I23">
            <v>4</v>
          </cell>
          <cell r="J23" t="e">
            <v>#REF!</v>
          </cell>
          <cell r="K23" t="e">
            <v>#REF!</v>
          </cell>
          <cell r="L23" t="e">
            <v>#REF!</v>
          </cell>
        </row>
        <row r="25">
          <cell r="E25" t="str">
            <v>...attributable to:</v>
          </cell>
          <cell r="G25" t="str">
            <v>the additional business interest purchase</v>
          </cell>
        </row>
        <row r="27">
          <cell r="E27" t="str">
            <v>…due to:</v>
          </cell>
          <cell r="G27" t="str">
            <v>favorable owner financing</v>
          </cell>
        </row>
        <row r="29">
          <cell r="E29" t="str">
            <v>…due to:</v>
          </cell>
          <cell r="G29" t="str">
            <v>the buyer being an adjacent property owner</v>
          </cell>
        </row>
        <row r="31">
          <cell r="E31" t="str">
            <v>...reflects:</v>
          </cell>
          <cell r="G31" t="str">
            <v>the improved market conditions since the date of sale</v>
          </cell>
        </row>
        <row r="32">
          <cell r="G32">
            <v>4.2500010982879886</v>
          </cell>
          <cell r="H32">
            <v>9</v>
          </cell>
          <cell r="I32">
            <v>4</v>
          </cell>
          <cell r="J32" t="e">
            <v>#REF!</v>
          </cell>
          <cell r="K32" t="e">
            <v>#REF!</v>
          </cell>
          <cell r="L32" t="e">
            <v>#REF!</v>
          </cell>
        </row>
        <row r="34">
          <cell r="E34" t="str">
            <v>…with respect to:</v>
          </cell>
          <cell r="G34" t="str">
            <v>economies of scale regarding parcel size</v>
          </cell>
        </row>
        <row r="36">
          <cell r="E36" t="str">
            <v>…due to:</v>
          </cell>
          <cell r="G36" t="str">
            <v>an irregular shape</v>
          </cell>
        </row>
        <row r="38">
          <cell r="E38" t="str">
            <v>…due to:</v>
          </cell>
          <cell r="G38" t="str">
            <v>its interior location</v>
          </cell>
        </row>
        <row r="40">
          <cell r="E40" t="str">
            <v>…based upon:</v>
          </cell>
          <cell r="G40" t="str">
            <v>a superior front to depth ratio</v>
          </cell>
        </row>
        <row r="42">
          <cell r="E42" t="str">
            <v>…given:</v>
          </cell>
          <cell r="G42" t="str">
            <v>its rolling terrain</v>
          </cell>
        </row>
        <row r="44">
          <cell r="E44" t="str">
            <v>…due to:</v>
          </cell>
          <cell r="G44" t="str">
            <v>its proximity to employment &amp; other support facilities</v>
          </cell>
        </row>
        <row r="46">
          <cell r="E46" t="str">
            <v>…because of:</v>
          </cell>
          <cell r="G46" t="str">
            <v>a more restrictive zoning classification</v>
          </cell>
        </row>
        <row r="48">
          <cell r="E48" t="str">
            <v>…given:</v>
          </cell>
          <cell r="G48" t="str">
            <v>the nearest water &amp; sewer connections are 1/4 mile away</v>
          </cell>
        </row>
        <row r="50">
          <cell r="E50" t="str">
            <v>…due to:</v>
          </cell>
          <cell r="G50" t="str">
            <v>its xxx</v>
          </cell>
        </row>
        <row r="52">
          <cell r="G52">
            <v>4.2500010982879886</v>
          </cell>
          <cell r="H52">
            <v>9</v>
          </cell>
          <cell r="I52">
            <v>4</v>
          </cell>
          <cell r="J52" t="e">
            <v>#REF!</v>
          </cell>
          <cell r="K52" t="e">
            <v>#REF!</v>
          </cell>
          <cell r="L52" t="e">
            <v>#REF!</v>
          </cell>
        </row>
        <row r="58">
          <cell r="G58">
            <v>4.2500010982879886</v>
          </cell>
          <cell r="H58">
            <v>9</v>
          </cell>
          <cell r="I58">
            <v>4</v>
          </cell>
          <cell r="J58"/>
          <cell r="K58"/>
          <cell r="L58"/>
        </row>
        <row r="59">
          <cell r="P59">
            <v>4</v>
          </cell>
        </row>
        <row r="60">
          <cell r="P60">
            <v>5</v>
          </cell>
        </row>
        <row r="61">
          <cell r="T61">
            <v>1800000</v>
          </cell>
        </row>
      </sheetData>
      <sheetData sheetId="35" refreshError="1"/>
      <sheetData sheetId="36" refreshError="1"/>
      <sheetData sheetId="37" refreshError="1">
        <row r="24">
          <cell r="E24" t="str">
            <v>...attributable to:</v>
          </cell>
          <cell r="G24" t="str">
            <v>the additional business interest purchase</v>
          </cell>
        </row>
        <row r="26">
          <cell r="E26" t="str">
            <v>…due to:</v>
          </cell>
          <cell r="G26" t="str">
            <v>favorable owner financing</v>
          </cell>
        </row>
        <row r="28">
          <cell r="E28" t="str">
            <v>…due to:</v>
          </cell>
          <cell r="G28" t="str">
            <v>the buyer being an adjacent property owner</v>
          </cell>
        </row>
        <row r="30">
          <cell r="E30" t="str">
            <v>...reflects:</v>
          </cell>
          <cell r="G30" t="str">
            <v>the improved market conditions since the date of sale</v>
          </cell>
        </row>
        <row r="33">
          <cell r="E33" t="str">
            <v>…with respect to:</v>
          </cell>
          <cell r="G33" t="str">
            <v>economies of scale regarding parcel size</v>
          </cell>
        </row>
        <row r="35">
          <cell r="E35" t="str">
            <v>…due to:</v>
          </cell>
          <cell r="G35" t="str">
            <v>an irregular shape</v>
          </cell>
        </row>
        <row r="37">
          <cell r="E37" t="str">
            <v>…due to:</v>
          </cell>
          <cell r="G37" t="str">
            <v>its interior location</v>
          </cell>
        </row>
        <row r="39">
          <cell r="E39" t="str">
            <v>…based upon:</v>
          </cell>
          <cell r="G39" t="str">
            <v>a superior front to depth ratio</v>
          </cell>
        </row>
        <row r="41">
          <cell r="E41" t="str">
            <v>…given:</v>
          </cell>
          <cell r="G41" t="str">
            <v>its rolling terrain</v>
          </cell>
        </row>
        <row r="43">
          <cell r="E43" t="str">
            <v>…due to:</v>
          </cell>
          <cell r="G43" t="str">
            <v>its proximity to employment &amp; other support facilities</v>
          </cell>
        </row>
        <row r="45">
          <cell r="E45" t="str">
            <v>…because of:</v>
          </cell>
          <cell r="G45" t="str">
            <v>a more restrictive zoning classification</v>
          </cell>
        </row>
        <row r="47">
          <cell r="E47" t="str">
            <v>…given:</v>
          </cell>
          <cell r="G47" t="str">
            <v>the nearest water &amp; sewer connections are 1/4 mile away</v>
          </cell>
        </row>
        <row r="49">
          <cell r="E49" t="str">
            <v>…due to:</v>
          </cell>
          <cell r="G49" t="str">
            <v>its xxx</v>
          </cell>
        </row>
        <row r="67">
          <cell r="T67">
            <v>0</v>
          </cell>
        </row>
      </sheetData>
      <sheetData sheetId="38" refreshError="1"/>
      <sheetData sheetId="39" refreshError="1"/>
      <sheetData sheetId="40" refreshError="1">
        <row r="11">
          <cell r="K11">
            <v>1</v>
          </cell>
        </row>
        <row r="12">
          <cell r="K12">
            <v>1</v>
          </cell>
        </row>
        <row r="74">
          <cell r="H74">
            <v>886600</v>
          </cell>
        </row>
        <row r="79">
          <cell r="G79">
            <v>0</v>
          </cell>
        </row>
        <row r="82">
          <cell r="H82">
            <v>-908703.3600000001</v>
          </cell>
        </row>
        <row r="89">
          <cell r="H89">
            <v>890000</v>
          </cell>
        </row>
        <row r="102">
          <cell r="M102">
            <v>-1529323.36</v>
          </cell>
        </row>
      </sheetData>
      <sheetData sheetId="41" refreshError="1"/>
      <sheetData sheetId="42" refreshError="1"/>
      <sheetData sheetId="43" refreshError="1">
        <row r="56">
          <cell r="H56">
            <v>500000</v>
          </cell>
        </row>
      </sheetData>
      <sheetData sheetId="44" refreshError="1">
        <row r="2">
          <cell r="D2">
            <v>0</v>
          </cell>
        </row>
        <row r="3">
          <cell r="D3" t="str">
            <v>Straight Line</v>
          </cell>
          <cell r="BE3">
            <v>1</v>
          </cell>
        </row>
        <row r="4">
          <cell r="C4">
            <v>2</v>
          </cell>
          <cell r="D4" t="str">
            <v>Cash Flow</v>
          </cell>
        </row>
        <row r="5">
          <cell r="D5">
            <v>0.09</v>
          </cell>
          <cell r="BE5">
            <v>900</v>
          </cell>
        </row>
        <row r="6">
          <cell r="D6">
            <v>0</v>
          </cell>
          <cell r="BE6">
            <v>0</v>
          </cell>
        </row>
        <row r="7">
          <cell r="D7">
            <v>0.3</v>
          </cell>
          <cell r="BE7">
            <v>30</v>
          </cell>
        </row>
        <row r="68">
          <cell r="H68">
            <v>0</v>
          </cell>
        </row>
      </sheetData>
      <sheetData sheetId="45" refreshError="1"/>
      <sheetData sheetId="46" refreshError="1"/>
      <sheetData sheetId="47" refreshError="1">
        <row r="2">
          <cell r="B2">
            <v>1</v>
          </cell>
        </row>
        <row r="30">
          <cell r="E30" t="str">
            <v>N/A</v>
          </cell>
          <cell r="F30" t="str">
            <v>N/A</v>
          </cell>
          <cell r="G30" t="str">
            <v>N/A</v>
          </cell>
          <cell r="H30">
            <v>0.08</v>
          </cell>
          <cell r="I30" t="str">
            <v>N/A</v>
          </cell>
          <cell r="J30" t="e">
            <v>#REF!</v>
          </cell>
          <cell r="L30" t="str">
            <v>---</v>
          </cell>
        </row>
        <row r="35">
          <cell r="D35" t="str">
            <v>...attributable to:</v>
          </cell>
          <cell r="E35" t="str">
            <v>the additional business interest purchase</v>
          </cell>
        </row>
        <row r="36">
          <cell r="E36">
            <v>0</v>
          </cell>
          <cell r="F36">
            <v>0</v>
          </cell>
          <cell r="G36">
            <v>0</v>
          </cell>
          <cell r="H36">
            <v>0</v>
          </cell>
          <cell r="I36">
            <v>0</v>
          </cell>
          <cell r="J36">
            <v>0</v>
          </cell>
        </row>
        <row r="37">
          <cell r="D37" t="str">
            <v>…due to:</v>
          </cell>
          <cell r="E37" t="str">
            <v>favorable owner financing</v>
          </cell>
        </row>
        <row r="39">
          <cell r="D39" t="str">
            <v>…due to:</v>
          </cell>
          <cell r="E39" t="str">
            <v>the buyer being an adjacent property owner</v>
          </cell>
        </row>
        <row r="41">
          <cell r="D41" t="str">
            <v>...reflects:</v>
          </cell>
          <cell r="E41" t="str">
            <v>the improved market conditions since the date of sale</v>
          </cell>
        </row>
        <row r="46">
          <cell r="D46" t="str">
            <v>…with respect to:</v>
          </cell>
          <cell r="E46" t="str">
            <v>employment center proximity</v>
          </cell>
        </row>
        <row r="48">
          <cell r="D48" t="str">
            <v>…due to:</v>
          </cell>
          <cell r="E48" t="str">
            <v>its larger square footage</v>
          </cell>
        </row>
        <row r="50">
          <cell r="D50" t="str">
            <v>…due to:</v>
          </cell>
          <cell r="E50" t="str">
            <v>its older year of construction</v>
          </cell>
        </row>
        <row r="52">
          <cell r="D52" t="str">
            <v>…based upon:</v>
          </cell>
          <cell r="E52" t="str">
            <v>the differences in construction class</v>
          </cell>
        </row>
        <row r="54">
          <cell r="D54" t="str">
            <v>…given:</v>
          </cell>
          <cell r="E54" t="str">
            <v>its mediocre traffic counts</v>
          </cell>
        </row>
        <row r="55">
          <cell r="E55">
            <v>0</v>
          </cell>
          <cell r="F55">
            <v>0</v>
          </cell>
          <cell r="G55">
            <v>0</v>
          </cell>
          <cell r="H55">
            <v>0</v>
          </cell>
          <cell r="I55">
            <v>0</v>
          </cell>
          <cell r="J55">
            <v>0</v>
          </cell>
        </row>
        <row r="56">
          <cell r="D56" t="str">
            <v>…due to:</v>
          </cell>
          <cell r="E56" t="str">
            <v>its lower parking ratio</v>
          </cell>
        </row>
        <row r="58">
          <cell r="D58" t="str">
            <v>…because of:</v>
          </cell>
          <cell r="E58" t="str">
            <v>the tenants credit strength</v>
          </cell>
        </row>
        <row r="60">
          <cell r="D60" t="str">
            <v>…given:</v>
          </cell>
          <cell r="E60" t="str">
            <v>its xxxxxx</v>
          </cell>
          <cell r="N60">
            <v>1</v>
          </cell>
        </row>
        <row r="62">
          <cell r="D62" t="str">
            <v>…due to:</v>
          </cell>
          <cell r="N62">
            <v>3</v>
          </cell>
        </row>
        <row r="64">
          <cell r="D64" t="str">
            <v>…due to:</v>
          </cell>
          <cell r="N64">
            <v>5</v>
          </cell>
        </row>
        <row r="66">
          <cell r="D66" t="str">
            <v>…due to:</v>
          </cell>
          <cell r="N66">
            <v>7</v>
          </cell>
        </row>
        <row r="68">
          <cell r="D68" t="str">
            <v>…due to:</v>
          </cell>
          <cell r="N68">
            <v>9</v>
          </cell>
        </row>
        <row r="70">
          <cell r="D70" t="str">
            <v>…due to:</v>
          </cell>
          <cell r="N70">
            <v>11</v>
          </cell>
        </row>
        <row r="72">
          <cell r="D72" t="str">
            <v>…due to:</v>
          </cell>
          <cell r="N72">
            <v>13</v>
          </cell>
        </row>
        <row r="74">
          <cell r="D74" t="str">
            <v>…due to:</v>
          </cell>
          <cell r="N74">
            <v>15</v>
          </cell>
        </row>
        <row r="81">
          <cell r="A81">
            <v>8</v>
          </cell>
        </row>
        <row r="90">
          <cell r="E90">
            <v>249.72</v>
          </cell>
          <cell r="F90">
            <v>214.26</v>
          </cell>
          <cell r="G90">
            <v>190.57</v>
          </cell>
          <cell r="H90">
            <v>212.99</v>
          </cell>
          <cell r="I90">
            <v>163</v>
          </cell>
          <cell r="J90"/>
        </row>
        <row r="92">
          <cell r="E92">
            <v>0</v>
          </cell>
          <cell r="F92">
            <v>0</v>
          </cell>
          <cell r="G92">
            <v>0</v>
          </cell>
          <cell r="H92">
            <v>0</v>
          </cell>
          <cell r="I92">
            <v>0</v>
          </cell>
          <cell r="J92"/>
        </row>
      </sheetData>
      <sheetData sheetId="48" refreshError="1"/>
      <sheetData sheetId="49" refreshError="1">
        <row r="12">
          <cell r="M12">
            <v>45</v>
          </cell>
        </row>
        <row r="13">
          <cell r="M13">
            <v>55</v>
          </cell>
        </row>
        <row r="32">
          <cell r="O32">
            <v>1110000</v>
          </cell>
        </row>
        <row r="42">
          <cell r="C42" t="str">
            <v>NOI Per SF</v>
          </cell>
          <cell r="D42" t="str">
            <v>Price Per SF</v>
          </cell>
        </row>
        <row r="43">
          <cell r="C43">
            <v>14.283599999999998</v>
          </cell>
          <cell r="D43">
            <v>155.38142703497275</v>
          </cell>
        </row>
        <row r="44">
          <cell r="C44">
            <v>6.23</v>
          </cell>
          <cell r="D44">
            <v>92.7</v>
          </cell>
        </row>
        <row r="46">
          <cell r="C46">
            <v>7.62</v>
          </cell>
          <cell r="D46">
            <v>95.92</v>
          </cell>
        </row>
        <row r="47">
          <cell r="C47">
            <v>6.89</v>
          </cell>
          <cell r="D47">
            <v>86.64</v>
          </cell>
        </row>
        <row r="48">
          <cell r="C48">
            <v>8.11</v>
          </cell>
          <cell r="D48">
            <v>108.2</v>
          </cell>
        </row>
      </sheetData>
      <sheetData sheetId="50" refreshError="1"/>
      <sheetData sheetId="51" refreshError="1"/>
      <sheetData sheetId="52" refreshError="1"/>
      <sheetData sheetId="53" refreshError="1">
        <row r="2">
          <cell r="B2">
            <v>1</v>
          </cell>
        </row>
        <row r="35">
          <cell r="D35" t="str">
            <v>...attributable to:</v>
          </cell>
          <cell r="E35" t="str">
            <v>the additional business interest purchase</v>
          </cell>
        </row>
        <row r="37">
          <cell r="D37" t="str">
            <v>…due to:</v>
          </cell>
          <cell r="E37" t="str">
            <v>favorable owner financing</v>
          </cell>
        </row>
        <row r="39">
          <cell r="D39" t="str">
            <v>…due to:</v>
          </cell>
          <cell r="E39" t="str">
            <v>the buyer being an adjacent property owner</v>
          </cell>
        </row>
        <row r="41">
          <cell r="D41" t="str">
            <v>...reflects:</v>
          </cell>
          <cell r="E41" t="str">
            <v>the improved market conditions since the date of sale</v>
          </cell>
        </row>
        <row r="46">
          <cell r="D46" t="str">
            <v>…with respect to:</v>
          </cell>
          <cell r="E46" t="str">
            <v>employment center proximity</v>
          </cell>
        </row>
        <row r="48">
          <cell r="D48" t="str">
            <v>…due to:</v>
          </cell>
          <cell r="E48" t="str">
            <v>its larger square footage</v>
          </cell>
        </row>
        <row r="50">
          <cell r="D50" t="str">
            <v>…due to:</v>
          </cell>
          <cell r="E50" t="str">
            <v>its older year of construction</v>
          </cell>
        </row>
        <row r="52">
          <cell r="D52" t="str">
            <v>…based upon:</v>
          </cell>
          <cell r="E52" t="str">
            <v>the differences in construction class</v>
          </cell>
        </row>
        <row r="54">
          <cell r="D54" t="str">
            <v>…given:</v>
          </cell>
          <cell r="E54" t="str">
            <v>its mediocre traffic counts</v>
          </cell>
        </row>
        <row r="56">
          <cell r="D56" t="str">
            <v>…due to:</v>
          </cell>
          <cell r="E56" t="str">
            <v>its lower parking ratio</v>
          </cell>
        </row>
        <row r="58">
          <cell r="D58" t="str">
            <v>…because of:</v>
          </cell>
          <cell r="E58" t="str">
            <v>the tenants credit strength</v>
          </cell>
        </row>
        <row r="60">
          <cell r="D60" t="str">
            <v>…given:</v>
          </cell>
          <cell r="E60" t="str">
            <v>its xxxxxx</v>
          </cell>
          <cell r="N60">
            <v>1</v>
          </cell>
        </row>
        <row r="62">
          <cell r="D62" t="str">
            <v>…due to:</v>
          </cell>
          <cell r="N62">
            <v>3</v>
          </cell>
        </row>
        <row r="64">
          <cell r="D64" t="str">
            <v>…due to:</v>
          </cell>
          <cell r="N64">
            <v>5</v>
          </cell>
        </row>
        <row r="66">
          <cell r="D66" t="str">
            <v>…due to:</v>
          </cell>
          <cell r="N66">
            <v>7</v>
          </cell>
        </row>
        <row r="68">
          <cell r="D68" t="str">
            <v>…due to:</v>
          </cell>
          <cell r="N68">
            <v>9</v>
          </cell>
        </row>
        <row r="70">
          <cell r="D70" t="str">
            <v>…due to:</v>
          </cell>
          <cell r="N70">
            <v>11</v>
          </cell>
        </row>
        <row r="72">
          <cell r="D72" t="str">
            <v>…due to:</v>
          </cell>
          <cell r="N72">
            <v>13</v>
          </cell>
        </row>
        <row r="74">
          <cell r="D74" t="str">
            <v>…due to:</v>
          </cell>
          <cell r="N74">
            <v>15</v>
          </cell>
        </row>
      </sheetData>
      <sheetData sheetId="54" refreshError="1"/>
      <sheetData sheetId="55" refreshError="1"/>
      <sheetData sheetId="56" refreshError="1">
        <row r="2">
          <cell r="C2">
            <v>1</v>
          </cell>
        </row>
      </sheetData>
      <sheetData sheetId="57" refreshError="1"/>
      <sheetData sheetId="58" refreshError="1"/>
      <sheetData sheetId="59" refreshError="1"/>
      <sheetData sheetId="60" refreshError="1">
        <row r="2">
          <cell r="C2">
            <v>1</v>
          </cell>
        </row>
      </sheetData>
      <sheetData sheetId="61" refreshError="1"/>
      <sheetData sheetId="62" refreshError="1"/>
      <sheetData sheetId="63" refreshError="1"/>
      <sheetData sheetId="64" refreshError="1"/>
      <sheetData sheetId="65" refreshError="1">
        <row r="70">
          <cell r="BN70">
            <v>74880</v>
          </cell>
        </row>
        <row r="85">
          <cell r="BE85">
            <v>944700</v>
          </cell>
        </row>
      </sheetData>
      <sheetData sheetId="66" refreshError="1">
        <row r="3">
          <cell r="AI3" t="b">
            <v>0</v>
          </cell>
          <cell r="AJ3" t="b">
            <v>0</v>
          </cell>
          <cell r="AK3" t="b">
            <v>0</v>
          </cell>
          <cell r="AL3" t="b">
            <v>0</v>
          </cell>
        </row>
        <row r="5">
          <cell r="G5" t="str">
            <v>Year-Occupancy</v>
          </cell>
          <cell r="H5">
            <v>2004</v>
          </cell>
          <cell r="J5">
            <v>0.61799999999999999</v>
          </cell>
          <cell r="M5">
            <v>2005</v>
          </cell>
          <cell r="O5">
            <v>0.69499999999999995</v>
          </cell>
          <cell r="R5" t="str">
            <v>2006 Annualized</v>
          </cell>
          <cell r="T5">
            <v>0.65800000000000003</v>
          </cell>
          <cell r="W5" t="str">
            <v>2007 Budget</v>
          </cell>
          <cell r="Y5">
            <v>0.68400000000000005</v>
          </cell>
        </row>
        <row r="6">
          <cell r="H6" t="str">
            <v>Total</v>
          </cell>
          <cell r="I6" t="str">
            <v>% EGI</v>
          </cell>
          <cell r="J6" t="str">
            <v>$/Unit</v>
          </cell>
          <cell r="K6" t="str">
            <v>$/SF</v>
          </cell>
          <cell r="M6" t="str">
            <v>Total</v>
          </cell>
          <cell r="N6" t="str">
            <v>% EGI</v>
          </cell>
          <cell r="O6" t="str">
            <v>$/Unit</v>
          </cell>
          <cell r="P6" t="str">
            <v>$/SF</v>
          </cell>
          <cell r="R6" t="str">
            <v>Total</v>
          </cell>
          <cell r="S6" t="str">
            <v>% EGI</v>
          </cell>
          <cell r="T6" t="str">
            <v>$/Unit</v>
          </cell>
          <cell r="U6" t="str">
            <v>$/SF</v>
          </cell>
          <cell r="W6" t="str">
            <v>Total</v>
          </cell>
          <cell r="X6" t="str">
            <v>% EGI</v>
          </cell>
          <cell r="Y6" t="str">
            <v>$/Unit</v>
          </cell>
          <cell r="Z6" t="str">
            <v>$/SF</v>
          </cell>
        </row>
        <row r="7">
          <cell r="G7" t="str">
            <v>Income</v>
          </cell>
        </row>
        <row r="8">
          <cell r="G8" t="str">
            <v>Rental Income</v>
          </cell>
          <cell r="H8">
            <v>358295</v>
          </cell>
          <cell r="I8">
            <v>1</v>
          </cell>
          <cell r="J8">
            <v>358295</v>
          </cell>
          <cell r="K8">
            <v>76.558760683760681</v>
          </cell>
          <cell r="M8">
            <v>367810</v>
          </cell>
          <cell r="N8">
            <v>1</v>
          </cell>
          <cell r="O8">
            <v>367810</v>
          </cell>
          <cell r="P8">
            <v>78.591880341880341</v>
          </cell>
          <cell r="R8">
            <v>385917</v>
          </cell>
          <cell r="S8">
            <v>1</v>
          </cell>
          <cell r="T8">
            <v>385917</v>
          </cell>
          <cell r="U8">
            <v>82.460897435897436</v>
          </cell>
          <cell r="W8">
            <v>416189</v>
          </cell>
          <cell r="X8">
            <v>1</v>
          </cell>
          <cell r="Y8">
            <v>416189</v>
          </cell>
          <cell r="Z8">
            <v>88.92927350427351</v>
          </cell>
        </row>
        <row r="9">
          <cell r="G9"/>
          <cell r="H9">
            <v>0</v>
          </cell>
          <cell r="I9">
            <v>0</v>
          </cell>
          <cell r="J9">
            <v>0</v>
          </cell>
          <cell r="K9">
            <v>0</v>
          </cell>
          <cell r="M9">
            <v>0</v>
          </cell>
          <cell r="N9">
            <v>0</v>
          </cell>
          <cell r="O9">
            <v>0</v>
          </cell>
          <cell r="P9">
            <v>0</v>
          </cell>
          <cell r="R9">
            <v>0</v>
          </cell>
          <cell r="S9">
            <v>0</v>
          </cell>
          <cell r="T9">
            <v>0</v>
          </cell>
          <cell r="U9">
            <v>0</v>
          </cell>
          <cell r="W9">
            <v>0</v>
          </cell>
          <cell r="X9">
            <v>0</v>
          </cell>
          <cell r="Y9">
            <v>0</v>
          </cell>
          <cell r="Z9">
            <v>0</v>
          </cell>
        </row>
        <row r="10">
          <cell r="G10"/>
          <cell r="H10">
            <v>0</v>
          </cell>
          <cell r="I10">
            <v>0</v>
          </cell>
          <cell r="J10">
            <v>0</v>
          </cell>
          <cell r="K10">
            <v>0</v>
          </cell>
          <cell r="M10">
            <v>0</v>
          </cell>
          <cell r="N10">
            <v>0</v>
          </cell>
          <cell r="O10">
            <v>0</v>
          </cell>
          <cell r="P10">
            <v>0</v>
          </cell>
          <cell r="R10">
            <v>0</v>
          </cell>
          <cell r="S10">
            <v>0</v>
          </cell>
          <cell r="T10">
            <v>0</v>
          </cell>
          <cell r="U10">
            <v>0</v>
          </cell>
          <cell r="W10">
            <v>0</v>
          </cell>
          <cell r="X10">
            <v>0</v>
          </cell>
          <cell r="Y10">
            <v>0</v>
          </cell>
          <cell r="Z10">
            <v>0</v>
          </cell>
        </row>
        <row r="11">
          <cell r="G11"/>
          <cell r="H11">
            <v>0</v>
          </cell>
          <cell r="I11">
            <v>0</v>
          </cell>
          <cell r="J11">
            <v>0</v>
          </cell>
          <cell r="K11">
            <v>0</v>
          </cell>
          <cell r="M11">
            <v>0</v>
          </cell>
          <cell r="N11">
            <v>0</v>
          </cell>
          <cell r="O11">
            <v>0</v>
          </cell>
          <cell r="P11">
            <v>0</v>
          </cell>
          <cell r="R11">
            <v>0</v>
          </cell>
          <cell r="S11">
            <v>0</v>
          </cell>
          <cell r="T11">
            <v>0</v>
          </cell>
          <cell r="U11">
            <v>0</v>
          </cell>
          <cell r="W11">
            <v>0</v>
          </cell>
          <cell r="X11">
            <v>0</v>
          </cell>
          <cell r="Y11">
            <v>0</v>
          </cell>
          <cell r="Z11">
            <v>0</v>
          </cell>
        </row>
        <row r="12">
          <cell r="G12"/>
          <cell r="H12">
            <v>0</v>
          </cell>
          <cell r="I12">
            <v>0</v>
          </cell>
          <cell r="J12">
            <v>0</v>
          </cell>
          <cell r="K12">
            <v>0</v>
          </cell>
          <cell r="M12">
            <v>0</v>
          </cell>
          <cell r="N12">
            <v>0</v>
          </cell>
          <cell r="O12">
            <v>0</v>
          </cell>
          <cell r="P12">
            <v>0</v>
          </cell>
          <cell r="R12">
            <v>0</v>
          </cell>
          <cell r="S12">
            <v>0</v>
          </cell>
          <cell r="T12">
            <v>0</v>
          </cell>
          <cell r="U12">
            <v>0</v>
          </cell>
          <cell r="W12">
            <v>0</v>
          </cell>
          <cell r="X12">
            <v>0</v>
          </cell>
          <cell r="Y12">
            <v>0</v>
          </cell>
          <cell r="Z12">
            <v>0</v>
          </cell>
        </row>
        <row r="13">
          <cell r="G13"/>
          <cell r="H13">
            <v>0</v>
          </cell>
          <cell r="I13">
            <v>0</v>
          </cell>
          <cell r="J13">
            <v>0</v>
          </cell>
          <cell r="K13">
            <v>0</v>
          </cell>
          <cell r="M13">
            <v>0</v>
          </cell>
          <cell r="N13">
            <v>0</v>
          </cell>
          <cell r="O13">
            <v>0</v>
          </cell>
          <cell r="P13">
            <v>0</v>
          </cell>
          <cell r="R13">
            <v>0</v>
          </cell>
          <cell r="S13">
            <v>0</v>
          </cell>
          <cell r="T13">
            <v>0</v>
          </cell>
          <cell r="U13">
            <v>0</v>
          </cell>
          <cell r="W13">
            <v>0</v>
          </cell>
          <cell r="X13">
            <v>0</v>
          </cell>
          <cell r="Y13">
            <v>0</v>
          </cell>
          <cell r="Z13">
            <v>0</v>
          </cell>
        </row>
        <row r="14">
          <cell r="G14"/>
          <cell r="H14">
            <v>0</v>
          </cell>
          <cell r="I14">
            <v>0</v>
          </cell>
          <cell r="J14">
            <v>0</v>
          </cell>
          <cell r="K14">
            <v>0</v>
          </cell>
          <cell r="M14">
            <v>0</v>
          </cell>
          <cell r="N14">
            <v>0</v>
          </cell>
          <cell r="O14">
            <v>0</v>
          </cell>
          <cell r="P14">
            <v>0</v>
          </cell>
          <cell r="R14">
            <v>0</v>
          </cell>
          <cell r="S14">
            <v>0</v>
          </cell>
          <cell r="T14">
            <v>0</v>
          </cell>
          <cell r="U14">
            <v>0</v>
          </cell>
          <cell r="W14">
            <v>0</v>
          </cell>
          <cell r="X14">
            <v>0</v>
          </cell>
          <cell r="Y14">
            <v>0</v>
          </cell>
          <cell r="Z14">
            <v>0</v>
          </cell>
        </row>
        <row r="15">
          <cell r="G15"/>
          <cell r="H15">
            <v>0</v>
          </cell>
          <cell r="I15">
            <v>0</v>
          </cell>
          <cell r="J15">
            <v>0</v>
          </cell>
          <cell r="K15">
            <v>0</v>
          </cell>
          <cell r="M15">
            <v>0</v>
          </cell>
          <cell r="N15">
            <v>0</v>
          </cell>
          <cell r="O15">
            <v>0</v>
          </cell>
          <cell r="P15">
            <v>0</v>
          </cell>
          <cell r="R15">
            <v>0</v>
          </cell>
          <cell r="S15">
            <v>0</v>
          </cell>
          <cell r="T15">
            <v>0</v>
          </cell>
          <cell r="U15">
            <v>0</v>
          </cell>
          <cell r="W15">
            <v>0</v>
          </cell>
          <cell r="X15">
            <v>0</v>
          </cell>
          <cell r="Y15">
            <v>0</v>
          </cell>
          <cell r="Z15">
            <v>0</v>
          </cell>
        </row>
        <row r="16">
          <cell r="G16" t="str">
            <v>Effective Gross Income</v>
          </cell>
          <cell r="H16">
            <v>358295</v>
          </cell>
          <cell r="I16">
            <v>1</v>
          </cell>
          <cell r="J16">
            <v>358295</v>
          </cell>
          <cell r="K16">
            <v>76.558760683760681</v>
          </cell>
          <cell r="M16">
            <v>367810</v>
          </cell>
          <cell r="N16">
            <v>1</v>
          </cell>
          <cell r="O16">
            <v>367810</v>
          </cell>
          <cell r="P16">
            <v>78.591880341880341</v>
          </cell>
          <cell r="R16">
            <v>385917</v>
          </cell>
          <cell r="S16">
            <v>1</v>
          </cell>
          <cell r="T16">
            <v>385917</v>
          </cell>
          <cell r="U16">
            <v>82.460897435897436</v>
          </cell>
          <cell r="W16">
            <v>416189</v>
          </cell>
          <cell r="X16">
            <v>1</v>
          </cell>
          <cell r="Y16">
            <v>416189</v>
          </cell>
          <cell r="Z16">
            <v>88.92927350427351</v>
          </cell>
        </row>
        <row r="17">
          <cell r="G17" t="str">
            <v>Expenses</v>
          </cell>
        </row>
        <row r="18">
          <cell r="G18"/>
          <cell r="H18">
            <v>0</v>
          </cell>
          <cell r="I18">
            <v>0</v>
          </cell>
          <cell r="J18">
            <v>0</v>
          </cell>
          <cell r="K18">
            <v>0</v>
          </cell>
          <cell r="M18">
            <v>0</v>
          </cell>
          <cell r="N18">
            <v>0</v>
          </cell>
          <cell r="O18">
            <v>0</v>
          </cell>
          <cell r="P18">
            <v>0</v>
          </cell>
          <cell r="R18">
            <v>0</v>
          </cell>
          <cell r="S18">
            <v>0</v>
          </cell>
          <cell r="T18">
            <v>0</v>
          </cell>
          <cell r="U18">
            <v>0</v>
          </cell>
          <cell r="W18">
            <v>0</v>
          </cell>
          <cell r="X18">
            <v>0</v>
          </cell>
          <cell r="Y18">
            <v>0</v>
          </cell>
          <cell r="Z18">
            <v>0</v>
          </cell>
        </row>
        <row r="19">
          <cell r="G19"/>
          <cell r="H19">
            <v>0</v>
          </cell>
          <cell r="I19">
            <v>0</v>
          </cell>
          <cell r="J19">
            <v>0</v>
          </cell>
          <cell r="K19">
            <v>0</v>
          </cell>
          <cell r="M19">
            <v>0</v>
          </cell>
          <cell r="N19">
            <v>0</v>
          </cell>
          <cell r="O19">
            <v>0</v>
          </cell>
          <cell r="P19">
            <v>0</v>
          </cell>
          <cell r="R19">
            <v>0</v>
          </cell>
          <cell r="S19">
            <v>0</v>
          </cell>
          <cell r="T19">
            <v>0</v>
          </cell>
          <cell r="U19">
            <v>0</v>
          </cell>
          <cell r="W19">
            <v>0</v>
          </cell>
          <cell r="X19">
            <v>0</v>
          </cell>
          <cell r="Y19">
            <v>0</v>
          </cell>
          <cell r="Z19">
            <v>0</v>
          </cell>
        </row>
        <row r="20">
          <cell r="G20"/>
          <cell r="H20">
            <v>0</v>
          </cell>
          <cell r="I20">
            <v>0</v>
          </cell>
          <cell r="J20">
            <v>0</v>
          </cell>
          <cell r="K20">
            <v>0</v>
          </cell>
          <cell r="M20">
            <v>0</v>
          </cell>
          <cell r="N20">
            <v>0</v>
          </cell>
          <cell r="O20">
            <v>0</v>
          </cell>
          <cell r="P20">
            <v>0</v>
          </cell>
          <cell r="R20">
            <v>0</v>
          </cell>
          <cell r="S20">
            <v>0</v>
          </cell>
          <cell r="T20">
            <v>0</v>
          </cell>
          <cell r="U20">
            <v>0</v>
          </cell>
          <cell r="W20">
            <v>0</v>
          </cell>
          <cell r="X20">
            <v>0</v>
          </cell>
          <cell r="Y20">
            <v>0</v>
          </cell>
          <cell r="Z20">
            <v>0</v>
          </cell>
        </row>
        <row r="21">
          <cell r="G21"/>
          <cell r="H21">
            <v>0</v>
          </cell>
          <cell r="I21">
            <v>0</v>
          </cell>
          <cell r="J21">
            <v>0</v>
          </cell>
          <cell r="K21">
            <v>0</v>
          </cell>
          <cell r="M21">
            <v>0</v>
          </cell>
          <cell r="N21">
            <v>0</v>
          </cell>
          <cell r="O21">
            <v>0</v>
          </cell>
          <cell r="P21">
            <v>0</v>
          </cell>
          <cell r="R21">
            <v>0</v>
          </cell>
          <cell r="S21">
            <v>0</v>
          </cell>
          <cell r="T21">
            <v>0</v>
          </cell>
          <cell r="U21">
            <v>0</v>
          </cell>
          <cell r="W21">
            <v>0</v>
          </cell>
          <cell r="X21">
            <v>0</v>
          </cell>
          <cell r="Y21">
            <v>0</v>
          </cell>
          <cell r="Z21">
            <v>0</v>
          </cell>
        </row>
        <row r="22">
          <cell r="G22"/>
          <cell r="H22">
            <v>0</v>
          </cell>
          <cell r="I22">
            <v>0</v>
          </cell>
          <cell r="J22">
            <v>0</v>
          </cell>
          <cell r="K22">
            <v>0</v>
          </cell>
          <cell r="M22">
            <v>0</v>
          </cell>
          <cell r="N22">
            <v>0</v>
          </cell>
          <cell r="O22">
            <v>0</v>
          </cell>
          <cell r="P22">
            <v>0</v>
          </cell>
          <cell r="R22">
            <v>0</v>
          </cell>
          <cell r="S22">
            <v>0</v>
          </cell>
          <cell r="T22">
            <v>0</v>
          </cell>
          <cell r="U22">
            <v>0</v>
          </cell>
          <cell r="W22">
            <v>0</v>
          </cell>
          <cell r="X22">
            <v>0</v>
          </cell>
          <cell r="Y22">
            <v>0</v>
          </cell>
          <cell r="Z22">
            <v>0</v>
          </cell>
        </row>
        <row r="23">
          <cell r="G23"/>
          <cell r="H23">
            <v>0</v>
          </cell>
          <cell r="I23">
            <v>0</v>
          </cell>
          <cell r="J23">
            <v>0</v>
          </cell>
          <cell r="K23">
            <v>0</v>
          </cell>
          <cell r="M23">
            <v>0</v>
          </cell>
          <cell r="N23">
            <v>0</v>
          </cell>
          <cell r="O23">
            <v>0</v>
          </cell>
          <cell r="P23">
            <v>0</v>
          </cell>
          <cell r="R23">
            <v>0</v>
          </cell>
          <cell r="S23">
            <v>0</v>
          </cell>
          <cell r="T23">
            <v>0</v>
          </cell>
          <cell r="U23">
            <v>0</v>
          </cell>
          <cell r="W23">
            <v>0</v>
          </cell>
          <cell r="X23">
            <v>0</v>
          </cell>
          <cell r="Y23">
            <v>0</v>
          </cell>
          <cell r="Z23">
            <v>0</v>
          </cell>
        </row>
        <row r="24">
          <cell r="G24"/>
          <cell r="H24">
            <v>0</v>
          </cell>
          <cell r="I24">
            <v>0</v>
          </cell>
          <cell r="J24">
            <v>0</v>
          </cell>
          <cell r="K24">
            <v>0</v>
          </cell>
          <cell r="M24">
            <v>0</v>
          </cell>
          <cell r="N24">
            <v>0</v>
          </cell>
          <cell r="O24">
            <v>0</v>
          </cell>
          <cell r="P24">
            <v>0</v>
          </cell>
          <cell r="R24">
            <v>0</v>
          </cell>
          <cell r="S24">
            <v>0</v>
          </cell>
          <cell r="T24">
            <v>0</v>
          </cell>
          <cell r="U24">
            <v>0</v>
          </cell>
          <cell r="W24">
            <v>0</v>
          </cell>
          <cell r="X24">
            <v>0</v>
          </cell>
          <cell r="Y24">
            <v>0</v>
          </cell>
          <cell r="Z24">
            <v>0</v>
          </cell>
        </row>
        <row r="25">
          <cell r="G25"/>
          <cell r="H25">
            <v>0</v>
          </cell>
          <cell r="I25">
            <v>0</v>
          </cell>
          <cell r="J25">
            <v>0</v>
          </cell>
          <cell r="K25">
            <v>0</v>
          </cell>
          <cell r="M25">
            <v>0</v>
          </cell>
          <cell r="N25">
            <v>0</v>
          </cell>
          <cell r="O25">
            <v>0</v>
          </cell>
          <cell r="P25">
            <v>0</v>
          </cell>
          <cell r="R25">
            <v>0</v>
          </cell>
          <cell r="S25">
            <v>0</v>
          </cell>
          <cell r="T25">
            <v>0</v>
          </cell>
          <cell r="U25">
            <v>0</v>
          </cell>
          <cell r="W25">
            <v>0</v>
          </cell>
          <cell r="X25">
            <v>0</v>
          </cell>
          <cell r="Y25">
            <v>0</v>
          </cell>
          <cell r="Z25">
            <v>0</v>
          </cell>
        </row>
        <row r="26">
          <cell r="G26"/>
          <cell r="H26">
            <v>0</v>
          </cell>
          <cell r="I26">
            <v>0</v>
          </cell>
          <cell r="J26">
            <v>0</v>
          </cell>
          <cell r="K26">
            <v>0</v>
          </cell>
          <cell r="M26">
            <v>0</v>
          </cell>
          <cell r="N26">
            <v>0</v>
          </cell>
          <cell r="O26">
            <v>0</v>
          </cell>
          <cell r="P26">
            <v>0</v>
          </cell>
          <cell r="R26">
            <v>0</v>
          </cell>
          <cell r="S26">
            <v>0</v>
          </cell>
          <cell r="T26">
            <v>0</v>
          </cell>
          <cell r="U26">
            <v>0</v>
          </cell>
          <cell r="W26">
            <v>0</v>
          </cell>
          <cell r="X26">
            <v>0</v>
          </cell>
          <cell r="Y26">
            <v>0</v>
          </cell>
          <cell r="Z26">
            <v>0</v>
          </cell>
        </row>
        <row r="27">
          <cell r="G27"/>
          <cell r="H27">
            <v>0</v>
          </cell>
          <cell r="I27">
            <v>0</v>
          </cell>
          <cell r="J27">
            <v>0</v>
          </cell>
          <cell r="K27">
            <v>0</v>
          </cell>
          <cell r="M27">
            <v>0</v>
          </cell>
          <cell r="N27">
            <v>0</v>
          </cell>
          <cell r="O27">
            <v>0</v>
          </cell>
          <cell r="P27">
            <v>0</v>
          </cell>
          <cell r="R27">
            <v>0</v>
          </cell>
          <cell r="S27">
            <v>0</v>
          </cell>
          <cell r="T27">
            <v>0</v>
          </cell>
          <cell r="U27">
            <v>0</v>
          </cell>
          <cell r="W27">
            <v>0</v>
          </cell>
          <cell r="X27">
            <v>0</v>
          </cell>
          <cell r="Y27">
            <v>0</v>
          </cell>
          <cell r="Z27">
            <v>0</v>
          </cell>
        </row>
        <row r="28">
          <cell r="G28"/>
          <cell r="H28">
            <v>0</v>
          </cell>
          <cell r="I28">
            <v>0</v>
          </cell>
          <cell r="J28">
            <v>0</v>
          </cell>
          <cell r="K28">
            <v>0</v>
          </cell>
          <cell r="M28">
            <v>0</v>
          </cell>
          <cell r="N28">
            <v>0</v>
          </cell>
          <cell r="O28">
            <v>0</v>
          </cell>
          <cell r="P28">
            <v>0</v>
          </cell>
          <cell r="R28">
            <v>0</v>
          </cell>
          <cell r="S28">
            <v>0</v>
          </cell>
          <cell r="T28">
            <v>0</v>
          </cell>
          <cell r="U28">
            <v>0</v>
          </cell>
          <cell r="W28">
            <v>0</v>
          </cell>
          <cell r="X28">
            <v>0</v>
          </cell>
          <cell r="Y28">
            <v>0</v>
          </cell>
          <cell r="Z28">
            <v>0</v>
          </cell>
        </row>
        <row r="29">
          <cell r="G29"/>
          <cell r="H29">
            <v>0</v>
          </cell>
          <cell r="I29">
            <v>0</v>
          </cell>
          <cell r="J29">
            <v>0</v>
          </cell>
          <cell r="K29">
            <v>0</v>
          </cell>
          <cell r="M29">
            <v>0</v>
          </cell>
          <cell r="N29">
            <v>0</v>
          </cell>
          <cell r="O29">
            <v>0</v>
          </cell>
          <cell r="P29">
            <v>0</v>
          </cell>
          <cell r="R29">
            <v>0</v>
          </cell>
          <cell r="S29">
            <v>0</v>
          </cell>
          <cell r="T29">
            <v>0</v>
          </cell>
          <cell r="U29">
            <v>0</v>
          </cell>
          <cell r="W29">
            <v>0</v>
          </cell>
          <cell r="X29">
            <v>0</v>
          </cell>
          <cell r="Y29">
            <v>0</v>
          </cell>
          <cell r="Z29">
            <v>0</v>
          </cell>
        </row>
        <row r="30">
          <cell r="G30" t="str">
            <v>Management Fee</v>
          </cell>
          <cell r="H30">
            <v>0</v>
          </cell>
          <cell r="I30">
            <v>0</v>
          </cell>
          <cell r="J30">
            <v>0</v>
          </cell>
          <cell r="K30">
            <v>0</v>
          </cell>
          <cell r="M30">
            <v>0</v>
          </cell>
          <cell r="N30">
            <v>0</v>
          </cell>
          <cell r="O30">
            <v>0</v>
          </cell>
          <cell r="P30">
            <v>0</v>
          </cell>
          <cell r="R30">
            <v>0</v>
          </cell>
          <cell r="S30">
            <v>0</v>
          </cell>
          <cell r="T30">
            <v>0</v>
          </cell>
          <cell r="U30">
            <v>0</v>
          </cell>
          <cell r="W30">
            <v>0</v>
          </cell>
          <cell r="X30">
            <v>0</v>
          </cell>
          <cell r="Y30">
            <v>0</v>
          </cell>
          <cell r="Z30">
            <v>0</v>
          </cell>
        </row>
        <row r="31">
          <cell r="G31"/>
          <cell r="H31">
            <v>0</v>
          </cell>
          <cell r="I31">
            <v>0</v>
          </cell>
          <cell r="J31">
            <v>0</v>
          </cell>
          <cell r="K31">
            <v>0</v>
          </cell>
          <cell r="M31">
            <v>0</v>
          </cell>
          <cell r="N31">
            <v>0</v>
          </cell>
          <cell r="O31">
            <v>0</v>
          </cell>
          <cell r="P31">
            <v>0</v>
          </cell>
          <cell r="R31">
            <v>0</v>
          </cell>
          <cell r="S31">
            <v>0</v>
          </cell>
          <cell r="T31">
            <v>0</v>
          </cell>
          <cell r="U31">
            <v>0</v>
          </cell>
          <cell r="W31">
            <v>0</v>
          </cell>
          <cell r="X31">
            <v>0</v>
          </cell>
          <cell r="Y31">
            <v>0</v>
          </cell>
          <cell r="Z31">
            <v>0</v>
          </cell>
        </row>
        <row r="32">
          <cell r="G32"/>
          <cell r="H32">
            <v>0</v>
          </cell>
          <cell r="I32">
            <v>0</v>
          </cell>
          <cell r="J32">
            <v>0</v>
          </cell>
          <cell r="K32">
            <v>0</v>
          </cell>
          <cell r="M32">
            <v>0</v>
          </cell>
          <cell r="N32">
            <v>0</v>
          </cell>
          <cell r="O32">
            <v>0</v>
          </cell>
          <cell r="P32">
            <v>0</v>
          </cell>
          <cell r="R32">
            <v>0</v>
          </cell>
          <cell r="S32">
            <v>0</v>
          </cell>
          <cell r="T32">
            <v>0</v>
          </cell>
          <cell r="U32">
            <v>0</v>
          </cell>
          <cell r="W32">
            <v>0</v>
          </cell>
          <cell r="X32">
            <v>0</v>
          </cell>
          <cell r="Y32">
            <v>0</v>
          </cell>
          <cell r="Z32">
            <v>0</v>
          </cell>
        </row>
        <row r="33">
          <cell r="G33"/>
          <cell r="H33">
            <v>0</v>
          </cell>
          <cell r="I33">
            <v>0</v>
          </cell>
          <cell r="J33">
            <v>0</v>
          </cell>
          <cell r="K33">
            <v>0</v>
          </cell>
          <cell r="M33">
            <v>0</v>
          </cell>
          <cell r="N33">
            <v>0</v>
          </cell>
          <cell r="O33">
            <v>0</v>
          </cell>
          <cell r="P33">
            <v>0</v>
          </cell>
          <cell r="R33">
            <v>0</v>
          </cell>
          <cell r="S33">
            <v>0</v>
          </cell>
          <cell r="T33">
            <v>0</v>
          </cell>
          <cell r="U33">
            <v>0</v>
          </cell>
          <cell r="W33">
            <v>0</v>
          </cell>
          <cell r="X33">
            <v>0</v>
          </cell>
          <cell r="Y33">
            <v>0</v>
          </cell>
          <cell r="Z33">
            <v>0</v>
          </cell>
        </row>
        <row r="34">
          <cell r="G34"/>
          <cell r="H34">
            <v>0</v>
          </cell>
          <cell r="I34">
            <v>0</v>
          </cell>
          <cell r="J34">
            <v>0</v>
          </cell>
          <cell r="K34">
            <v>0</v>
          </cell>
          <cell r="M34">
            <v>0</v>
          </cell>
          <cell r="N34">
            <v>0</v>
          </cell>
          <cell r="O34">
            <v>0</v>
          </cell>
          <cell r="P34">
            <v>0</v>
          </cell>
          <cell r="R34">
            <v>0</v>
          </cell>
          <cell r="S34">
            <v>0</v>
          </cell>
          <cell r="T34">
            <v>0</v>
          </cell>
          <cell r="U34">
            <v>0</v>
          </cell>
          <cell r="W34">
            <v>0</v>
          </cell>
          <cell r="X34">
            <v>0</v>
          </cell>
          <cell r="Y34">
            <v>0</v>
          </cell>
          <cell r="Z34">
            <v>0</v>
          </cell>
        </row>
        <row r="35">
          <cell r="G35"/>
          <cell r="H35">
            <v>0</v>
          </cell>
          <cell r="I35">
            <v>0</v>
          </cell>
          <cell r="J35">
            <v>0</v>
          </cell>
          <cell r="K35">
            <v>0</v>
          </cell>
          <cell r="M35">
            <v>0</v>
          </cell>
          <cell r="N35">
            <v>0</v>
          </cell>
          <cell r="O35">
            <v>0</v>
          </cell>
          <cell r="P35">
            <v>0</v>
          </cell>
          <cell r="R35">
            <v>0</v>
          </cell>
          <cell r="S35">
            <v>0</v>
          </cell>
          <cell r="T35">
            <v>0</v>
          </cell>
          <cell r="U35">
            <v>0</v>
          </cell>
          <cell r="W35">
            <v>0</v>
          </cell>
          <cell r="X35">
            <v>0</v>
          </cell>
          <cell r="Y35">
            <v>0</v>
          </cell>
          <cell r="Z35">
            <v>0</v>
          </cell>
        </row>
        <row r="36">
          <cell r="G36"/>
          <cell r="H36">
            <v>0</v>
          </cell>
          <cell r="I36">
            <v>0</v>
          </cell>
          <cell r="J36">
            <v>0</v>
          </cell>
          <cell r="K36">
            <v>0</v>
          </cell>
          <cell r="M36">
            <v>0</v>
          </cell>
          <cell r="N36">
            <v>0</v>
          </cell>
          <cell r="O36">
            <v>0</v>
          </cell>
          <cell r="P36">
            <v>0</v>
          </cell>
          <cell r="R36">
            <v>0</v>
          </cell>
          <cell r="S36">
            <v>0</v>
          </cell>
          <cell r="T36">
            <v>0</v>
          </cell>
          <cell r="U36">
            <v>0</v>
          </cell>
          <cell r="W36">
            <v>0</v>
          </cell>
          <cell r="X36">
            <v>0</v>
          </cell>
          <cell r="Y36">
            <v>0</v>
          </cell>
          <cell r="Z36">
            <v>0</v>
          </cell>
        </row>
        <row r="37">
          <cell r="G37" t="str">
            <v>Reserves for Replacement</v>
          </cell>
          <cell r="H37">
            <v>0</v>
          </cell>
          <cell r="I37">
            <v>0</v>
          </cell>
          <cell r="J37">
            <v>0</v>
          </cell>
          <cell r="K37">
            <v>0</v>
          </cell>
          <cell r="M37">
            <v>0</v>
          </cell>
          <cell r="N37">
            <v>0</v>
          </cell>
          <cell r="O37">
            <v>0</v>
          </cell>
          <cell r="P37">
            <v>0</v>
          </cell>
          <cell r="R37">
            <v>0</v>
          </cell>
          <cell r="S37">
            <v>0</v>
          </cell>
          <cell r="T37">
            <v>0</v>
          </cell>
          <cell r="U37">
            <v>0</v>
          </cell>
          <cell r="W37">
            <v>0</v>
          </cell>
          <cell r="X37">
            <v>0</v>
          </cell>
          <cell r="Y37">
            <v>0</v>
          </cell>
          <cell r="Z37">
            <v>0</v>
          </cell>
        </row>
        <row r="38">
          <cell r="G38" t="str">
            <v>Operating Expenses</v>
          </cell>
          <cell r="H38">
            <v>0</v>
          </cell>
          <cell r="I38">
            <v>0</v>
          </cell>
          <cell r="J38">
            <v>0</v>
          </cell>
          <cell r="K38">
            <v>0</v>
          </cell>
          <cell r="M38">
            <v>0</v>
          </cell>
          <cell r="N38">
            <v>0</v>
          </cell>
          <cell r="O38">
            <v>0</v>
          </cell>
          <cell r="P38">
            <v>0</v>
          </cell>
          <cell r="R38">
            <v>0</v>
          </cell>
          <cell r="S38">
            <v>0</v>
          </cell>
          <cell r="T38">
            <v>0</v>
          </cell>
          <cell r="U38">
            <v>0</v>
          </cell>
          <cell r="W38">
            <v>0</v>
          </cell>
          <cell r="X38">
            <v>0</v>
          </cell>
          <cell r="Y38">
            <v>0</v>
          </cell>
          <cell r="Z38">
            <v>0</v>
          </cell>
        </row>
        <row r="39">
          <cell r="G39" t="str">
            <v>Net Operating Income</v>
          </cell>
          <cell r="H39">
            <v>358295</v>
          </cell>
          <cell r="I39">
            <v>1</v>
          </cell>
          <cell r="J39">
            <v>358295</v>
          </cell>
          <cell r="K39">
            <v>76.558760683760681</v>
          </cell>
          <cell r="M39">
            <v>367810</v>
          </cell>
          <cell r="N39">
            <v>1</v>
          </cell>
          <cell r="O39">
            <v>367810</v>
          </cell>
          <cell r="P39">
            <v>78.591880341880341</v>
          </cell>
          <cell r="R39">
            <v>385917</v>
          </cell>
          <cell r="S39">
            <v>1</v>
          </cell>
          <cell r="T39">
            <v>385917</v>
          </cell>
          <cell r="U39">
            <v>82.460897435897436</v>
          </cell>
          <cell r="W39">
            <v>416189</v>
          </cell>
          <cell r="X39">
            <v>1</v>
          </cell>
          <cell r="Y39">
            <v>416189</v>
          </cell>
          <cell r="Z39">
            <v>88.92927350427351</v>
          </cell>
        </row>
      </sheetData>
      <sheetData sheetId="67" refreshError="1"/>
      <sheetData sheetId="68" refreshError="1">
        <row r="5">
          <cell r="C5" t="str">
            <v>Comparable Number</v>
          </cell>
          <cell r="F5">
            <v>1</v>
          </cell>
          <cell r="G5">
            <v>1</v>
          </cell>
          <cell r="J5">
            <v>2</v>
          </cell>
          <cell r="K5">
            <v>2</v>
          </cell>
          <cell r="N5">
            <v>3</v>
          </cell>
          <cell r="O5">
            <v>3</v>
          </cell>
          <cell r="Q5" t="str">
            <v>IREM</v>
          </cell>
          <cell r="R5" t="str">
            <v>IREM</v>
          </cell>
          <cell r="S5" t="str">
            <v>NAIOP</v>
          </cell>
        </row>
        <row r="6">
          <cell r="C6" t="str">
            <v>Location</v>
          </cell>
          <cell r="F6" t="str">
            <v>Sample 1</v>
          </cell>
          <cell r="G6" t="str">
            <v>West Houston</v>
          </cell>
          <cell r="J6" t="str">
            <v>Sample 2</v>
          </cell>
          <cell r="K6" t="str">
            <v>West Houston</v>
          </cell>
          <cell r="N6" t="str">
            <v>Sample 3</v>
          </cell>
          <cell r="O6" t="str">
            <v>West Houston</v>
          </cell>
          <cell r="Q6" t="str">
            <v>Houston</v>
          </cell>
          <cell r="R6" t="str">
            <v>Houston</v>
          </cell>
          <cell r="S6" t="str">
            <v>South</v>
          </cell>
        </row>
        <row r="7">
          <cell r="C7" t="str">
            <v>No. Units</v>
          </cell>
          <cell r="F7">
            <v>10</v>
          </cell>
          <cell r="G7">
            <v>125</v>
          </cell>
          <cell r="J7">
            <v>10</v>
          </cell>
          <cell r="K7">
            <v>125</v>
          </cell>
          <cell r="N7">
            <v>10</v>
          </cell>
          <cell r="O7">
            <v>125</v>
          </cell>
        </row>
        <row r="8">
          <cell r="C8" t="str">
            <v>GLA (SF)</v>
          </cell>
          <cell r="F8">
            <v>1000</v>
          </cell>
          <cell r="G8">
            <v>834081</v>
          </cell>
          <cell r="J8">
            <v>1000</v>
          </cell>
          <cell r="K8">
            <v>834081</v>
          </cell>
          <cell r="N8">
            <v>1000</v>
          </cell>
          <cell r="O8">
            <v>834081</v>
          </cell>
        </row>
        <row r="9">
          <cell r="C9" t="str">
            <v>Expense Year</v>
          </cell>
          <cell r="F9">
            <v>2006</v>
          </cell>
          <cell r="G9">
            <v>1996</v>
          </cell>
          <cell r="J9">
            <v>2006</v>
          </cell>
          <cell r="K9">
            <v>1996</v>
          </cell>
          <cell r="N9">
            <v>2006</v>
          </cell>
          <cell r="O9">
            <v>1996</v>
          </cell>
          <cell r="Q9">
            <v>1997</v>
          </cell>
          <cell r="R9">
            <v>1997</v>
          </cell>
          <cell r="S9" t="str">
            <v>2001/02</v>
          </cell>
        </row>
        <row r="11">
          <cell r="C11" t="str">
            <v>Effective Gross Income</v>
          </cell>
          <cell r="E11">
            <v>20000</v>
          </cell>
          <cell r="F11">
            <v>2000</v>
          </cell>
          <cell r="G11">
            <v>2.3978486501910486E-2</v>
          </cell>
          <cell r="I11">
            <v>20000</v>
          </cell>
          <cell r="J11">
            <v>2000</v>
          </cell>
          <cell r="K11">
            <v>2.3978486501910486E-2</v>
          </cell>
          <cell r="M11">
            <v>20000</v>
          </cell>
          <cell r="N11">
            <v>2000</v>
          </cell>
          <cell r="O11">
            <v>2.3978486501910486E-2</v>
          </cell>
          <cell r="Q11">
            <v>0</v>
          </cell>
          <cell r="R11">
            <v>0</v>
          </cell>
          <cell r="S11">
            <v>0</v>
          </cell>
        </row>
        <row r="12">
          <cell r="C12" t="str">
            <v>Expenses</v>
          </cell>
          <cell r="E12" t="str">
            <v>Total</v>
          </cell>
          <cell r="F12" t="str">
            <v>$/Unit</v>
          </cell>
          <cell r="G12" t="str">
            <v>$/SF</v>
          </cell>
          <cell r="I12" t="str">
            <v>Total</v>
          </cell>
          <cell r="J12" t="str">
            <v>$/Unit</v>
          </cell>
          <cell r="K12" t="str">
            <v>$/SF</v>
          </cell>
          <cell r="M12" t="str">
            <v>Total</v>
          </cell>
          <cell r="N12" t="str">
            <v>$/Unit</v>
          </cell>
          <cell r="O12" t="str">
            <v>$/SF</v>
          </cell>
          <cell r="Q12" t="str">
            <v>$/Unit</v>
          </cell>
          <cell r="R12" t="str">
            <v>$/SF</v>
          </cell>
          <cell r="S12" t="str">
            <v>$/SF</v>
          </cell>
        </row>
        <row r="14">
          <cell r="C14"/>
          <cell r="E14">
            <v>0</v>
          </cell>
          <cell r="F14">
            <v>0</v>
          </cell>
          <cell r="G14">
            <v>0</v>
          </cell>
          <cell r="I14">
            <v>0</v>
          </cell>
          <cell r="J14">
            <v>0</v>
          </cell>
          <cell r="K14">
            <v>0</v>
          </cell>
          <cell r="M14">
            <v>0</v>
          </cell>
          <cell r="N14">
            <v>0</v>
          </cell>
          <cell r="O14">
            <v>0</v>
          </cell>
          <cell r="Q14">
            <v>0</v>
          </cell>
          <cell r="R14">
            <v>0</v>
          </cell>
          <cell r="S14">
            <v>0</v>
          </cell>
        </row>
        <row r="15">
          <cell r="C15"/>
          <cell r="E15">
            <v>0</v>
          </cell>
          <cell r="F15">
            <v>0</v>
          </cell>
          <cell r="G15">
            <v>0</v>
          </cell>
          <cell r="I15">
            <v>0</v>
          </cell>
          <cell r="J15">
            <v>0</v>
          </cell>
          <cell r="K15">
            <v>0</v>
          </cell>
          <cell r="M15">
            <v>0</v>
          </cell>
          <cell r="N15">
            <v>0</v>
          </cell>
          <cell r="O15">
            <v>0</v>
          </cell>
          <cell r="Q15">
            <v>0</v>
          </cell>
          <cell r="R15">
            <v>0</v>
          </cell>
          <cell r="S15">
            <v>0</v>
          </cell>
        </row>
        <row r="16">
          <cell r="C16"/>
          <cell r="E16">
            <v>0</v>
          </cell>
          <cell r="F16">
            <v>0</v>
          </cell>
          <cell r="G16">
            <v>0</v>
          </cell>
          <cell r="I16">
            <v>0</v>
          </cell>
          <cell r="J16">
            <v>0</v>
          </cell>
          <cell r="K16">
            <v>0</v>
          </cell>
          <cell r="M16">
            <v>0</v>
          </cell>
          <cell r="N16">
            <v>0</v>
          </cell>
          <cell r="O16">
            <v>0</v>
          </cell>
          <cell r="Q16">
            <v>0</v>
          </cell>
          <cell r="R16">
            <v>0</v>
          </cell>
          <cell r="S16">
            <v>0</v>
          </cell>
        </row>
        <row r="17">
          <cell r="C17"/>
          <cell r="E17">
            <v>0</v>
          </cell>
          <cell r="F17">
            <v>0</v>
          </cell>
          <cell r="G17">
            <v>0</v>
          </cell>
          <cell r="I17">
            <v>0</v>
          </cell>
          <cell r="J17">
            <v>0</v>
          </cell>
          <cell r="K17">
            <v>0</v>
          </cell>
          <cell r="M17">
            <v>0</v>
          </cell>
          <cell r="N17">
            <v>0</v>
          </cell>
          <cell r="O17">
            <v>0</v>
          </cell>
          <cell r="Q17">
            <v>0</v>
          </cell>
          <cell r="R17">
            <v>0</v>
          </cell>
          <cell r="S17">
            <v>0</v>
          </cell>
        </row>
        <row r="18">
          <cell r="C18"/>
          <cell r="E18">
            <v>0</v>
          </cell>
          <cell r="F18">
            <v>0</v>
          </cell>
          <cell r="G18">
            <v>0</v>
          </cell>
          <cell r="I18">
            <v>0</v>
          </cell>
          <cell r="J18">
            <v>0</v>
          </cell>
          <cell r="K18">
            <v>0</v>
          </cell>
          <cell r="M18">
            <v>0</v>
          </cell>
          <cell r="N18">
            <v>0</v>
          </cell>
          <cell r="O18">
            <v>0</v>
          </cell>
          <cell r="Q18">
            <v>0</v>
          </cell>
          <cell r="R18">
            <v>0</v>
          </cell>
          <cell r="S18">
            <v>0</v>
          </cell>
        </row>
        <row r="19">
          <cell r="C19"/>
          <cell r="E19">
            <v>0</v>
          </cell>
          <cell r="F19">
            <v>0</v>
          </cell>
          <cell r="G19">
            <v>0</v>
          </cell>
          <cell r="I19">
            <v>0</v>
          </cell>
          <cell r="J19">
            <v>0</v>
          </cell>
          <cell r="K19">
            <v>0</v>
          </cell>
          <cell r="M19">
            <v>0</v>
          </cell>
          <cell r="N19">
            <v>0</v>
          </cell>
          <cell r="O19">
            <v>0</v>
          </cell>
          <cell r="Q19">
            <v>0</v>
          </cell>
          <cell r="R19">
            <v>0</v>
          </cell>
          <cell r="S19">
            <v>0</v>
          </cell>
        </row>
        <row r="20">
          <cell r="C20"/>
          <cell r="E20">
            <v>0</v>
          </cell>
          <cell r="F20">
            <v>0</v>
          </cell>
          <cell r="G20">
            <v>0</v>
          </cell>
          <cell r="I20">
            <v>0</v>
          </cell>
          <cell r="J20">
            <v>0</v>
          </cell>
          <cell r="K20">
            <v>0</v>
          </cell>
          <cell r="M20">
            <v>0</v>
          </cell>
          <cell r="N20">
            <v>0</v>
          </cell>
          <cell r="O20">
            <v>0</v>
          </cell>
          <cell r="Q20">
            <v>0</v>
          </cell>
          <cell r="R20">
            <v>0</v>
          </cell>
          <cell r="S20">
            <v>0</v>
          </cell>
        </row>
        <row r="21">
          <cell r="C21"/>
          <cell r="E21">
            <v>0</v>
          </cell>
          <cell r="F21">
            <v>0</v>
          </cell>
          <cell r="G21">
            <v>0</v>
          </cell>
          <cell r="I21">
            <v>0</v>
          </cell>
          <cell r="J21">
            <v>0</v>
          </cell>
          <cell r="K21">
            <v>0</v>
          </cell>
          <cell r="M21">
            <v>0</v>
          </cell>
          <cell r="N21">
            <v>0</v>
          </cell>
          <cell r="O21">
            <v>0</v>
          </cell>
          <cell r="Q21">
            <v>0</v>
          </cell>
          <cell r="R21">
            <v>0</v>
          </cell>
          <cell r="S21">
            <v>0</v>
          </cell>
        </row>
        <row r="22">
          <cell r="C22"/>
          <cell r="E22">
            <v>0</v>
          </cell>
          <cell r="F22">
            <v>0</v>
          </cell>
          <cell r="G22">
            <v>0</v>
          </cell>
          <cell r="I22">
            <v>0</v>
          </cell>
          <cell r="J22">
            <v>0</v>
          </cell>
          <cell r="K22">
            <v>0</v>
          </cell>
          <cell r="M22">
            <v>0</v>
          </cell>
          <cell r="N22">
            <v>0</v>
          </cell>
          <cell r="O22">
            <v>0</v>
          </cell>
          <cell r="Q22">
            <v>0</v>
          </cell>
          <cell r="R22">
            <v>0</v>
          </cell>
          <cell r="S22">
            <v>0</v>
          </cell>
        </row>
        <row r="23">
          <cell r="C23"/>
          <cell r="E23">
            <v>0</v>
          </cell>
          <cell r="F23">
            <v>0</v>
          </cell>
          <cell r="G23">
            <v>0</v>
          </cell>
          <cell r="I23">
            <v>0</v>
          </cell>
          <cell r="J23">
            <v>0</v>
          </cell>
          <cell r="K23">
            <v>0</v>
          </cell>
          <cell r="M23">
            <v>0</v>
          </cell>
          <cell r="N23">
            <v>0</v>
          </cell>
          <cell r="O23">
            <v>0</v>
          </cell>
          <cell r="Q23">
            <v>0</v>
          </cell>
          <cell r="R23">
            <v>0</v>
          </cell>
          <cell r="S23">
            <v>0</v>
          </cell>
        </row>
        <row r="24">
          <cell r="C24"/>
          <cell r="E24">
            <v>0</v>
          </cell>
          <cell r="F24">
            <v>0</v>
          </cell>
          <cell r="G24">
            <v>0</v>
          </cell>
          <cell r="I24">
            <v>0</v>
          </cell>
          <cell r="J24">
            <v>0</v>
          </cell>
          <cell r="K24">
            <v>0</v>
          </cell>
          <cell r="M24">
            <v>0</v>
          </cell>
          <cell r="N24">
            <v>0</v>
          </cell>
          <cell r="O24">
            <v>0</v>
          </cell>
          <cell r="Q24">
            <v>0</v>
          </cell>
          <cell r="R24">
            <v>0</v>
          </cell>
          <cell r="S24">
            <v>0</v>
          </cell>
        </row>
        <row r="25">
          <cell r="C25"/>
          <cell r="E25">
            <v>0</v>
          </cell>
          <cell r="F25">
            <v>0</v>
          </cell>
          <cell r="G25">
            <v>0</v>
          </cell>
          <cell r="I25">
            <v>0</v>
          </cell>
          <cell r="J25">
            <v>0</v>
          </cell>
          <cell r="K25">
            <v>0</v>
          </cell>
          <cell r="M25">
            <v>0</v>
          </cell>
          <cell r="N25">
            <v>0</v>
          </cell>
          <cell r="O25">
            <v>0</v>
          </cell>
          <cell r="Q25">
            <v>0</v>
          </cell>
          <cell r="R25">
            <v>0</v>
          </cell>
          <cell r="S25">
            <v>0</v>
          </cell>
        </row>
        <row r="26">
          <cell r="C26" t="str">
            <v>Management Fee</v>
          </cell>
          <cell r="E26">
            <v>1000</v>
          </cell>
          <cell r="F26">
            <v>100</v>
          </cell>
          <cell r="G26">
            <v>1.1989243250955244E-3</v>
          </cell>
          <cell r="I26">
            <v>1000</v>
          </cell>
          <cell r="J26">
            <v>100</v>
          </cell>
          <cell r="K26">
            <v>1.1989243250955244E-3</v>
          </cell>
          <cell r="M26">
            <v>1000</v>
          </cell>
          <cell r="N26">
            <v>100</v>
          </cell>
          <cell r="O26">
            <v>1.1989243250955244E-3</v>
          </cell>
          <cell r="R26">
            <v>0.25</v>
          </cell>
          <cell r="S26">
            <v>0.18</v>
          </cell>
        </row>
        <row r="27">
          <cell r="D27" t="str">
            <v>(as a % of EGI)</v>
          </cell>
          <cell r="F27">
            <v>0.05</v>
          </cell>
          <cell r="G27">
            <v>0.05</v>
          </cell>
          <cell r="J27">
            <v>0.05</v>
          </cell>
          <cell r="K27">
            <v>0.05</v>
          </cell>
          <cell r="N27">
            <v>0.05</v>
          </cell>
          <cell r="O27">
            <v>0.05</v>
          </cell>
        </row>
        <row r="28">
          <cell r="C28"/>
          <cell r="E28">
            <v>0</v>
          </cell>
          <cell r="F28">
            <v>0</v>
          </cell>
          <cell r="G28">
            <v>0</v>
          </cell>
          <cell r="I28">
            <v>0</v>
          </cell>
          <cell r="J28">
            <v>0</v>
          </cell>
          <cell r="K28">
            <v>0</v>
          </cell>
          <cell r="M28">
            <v>0</v>
          </cell>
          <cell r="N28">
            <v>0</v>
          </cell>
          <cell r="O28">
            <v>0</v>
          </cell>
          <cell r="Q28">
            <v>0</v>
          </cell>
          <cell r="R28">
            <v>0</v>
          </cell>
          <cell r="S28">
            <v>0</v>
          </cell>
        </row>
        <row r="29">
          <cell r="C29"/>
          <cell r="E29">
            <v>0</v>
          </cell>
          <cell r="F29">
            <v>0</v>
          </cell>
          <cell r="G29">
            <v>0</v>
          </cell>
          <cell r="I29">
            <v>0</v>
          </cell>
          <cell r="J29">
            <v>0</v>
          </cell>
          <cell r="K29">
            <v>0</v>
          </cell>
          <cell r="M29">
            <v>0</v>
          </cell>
          <cell r="N29">
            <v>0</v>
          </cell>
          <cell r="O29">
            <v>0</v>
          </cell>
          <cell r="Q29">
            <v>0</v>
          </cell>
          <cell r="R29">
            <v>0</v>
          </cell>
          <cell r="S29">
            <v>0</v>
          </cell>
        </row>
        <row r="30">
          <cell r="C30"/>
          <cell r="E30">
            <v>0</v>
          </cell>
          <cell r="F30">
            <v>0</v>
          </cell>
          <cell r="G30">
            <v>0</v>
          </cell>
          <cell r="I30">
            <v>0</v>
          </cell>
          <cell r="J30">
            <v>0</v>
          </cell>
          <cell r="K30">
            <v>0</v>
          </cell>
          <cell r="M30">
            <v>0</v>
          </cell>
          <cell r="N30">
            <v>0</v>
          </cell>
          <cell r="O30">
            <v>0</v>
          </cell>
          <cell r="Q30">
            <v>0</v>
          </cell>
          <cell r="R30">
            <v>0</v>
          </cell>
          <cell r="S30">
            <v>0</v>
          </cell>
        </row>
        <row r="31">
          <cell r="C31"/>
          <cell r="E31">
            <v>0</v>
          </cell>
          <cell r="F31">
            <v>0</v>
          </cell>
          <cell r="G31">
            <v>0</v>
          </cell>
          <cell r="I31">
            <v>0</v>
          </cell>
          <cell r="J31">
            <v>0</v>
          </cell>
          <cell r="K31">
            <v>0</v>
          </cell>
          <cell r="M31">
            <v>0</v>
          </cell>
          <cell r="N31">
            <v>0</v>
          </cell>
          <cell r="O31">
            <v>0</v>
          </cell>
          <cell r="Q31">
            <v>0</v>
          </cell>
          <cell r="R31">
            <v>0</v>
          </cell>
          <cell r="S31">
            <v>0</v>
          </cell>
        </row>
        <row r="32">
          <cell r="C32"/>
          <cell r="E32">
            <v>0</v>
          </cell>
          <cell r="F32">
            <v>0</v>
          </cell>
          <cell r="G32">
            <v>0</v>
          </cell>
          <cell r="I32">
            <v>0</v>
          </cell>
          <cell r="J32">
            <v>0</v>
          </cell>
          <cell r="K32">
            <v>0</v>
          </cell>
          <cell r="M32">
            <v>0</v>
          </cell>
          <cell r="N32">
            <v>0</v>
          </cell>
          <cell r="O32">
            <v>0</v>
          </cell>
          <cell r="Q32">
            <v>0</v>
          </cell>
          <cell r="R32">
            <v>0</v>
          </cell>
          <cell r="S32">
            <v>0</v>
          </cell>
        </row>
        <row r="33">
          <cell r="C33"/>
          <cell r="E33">
            <v>0</v>
          </cell>
          <cell r="F33">
            <v>0</v>
          </cell>
          <cell r="G33">
            <v>0</v>
          </cell>
          <cell r="I33">
            <v>0</v>
          </cell>
          <cell r="J33">
            <v>0</v>
          </cell>
          <cell r="K33">
            <v>0</v>
          </cell>
          <cell r="M33">
            <v>0</v>
          </cell>
          <cell r="N33">
            <v>0</v>
          </cell>
          <cell r="O33">
            <v>0</v>
          </cell>
          <cell r="Q33">
            <v>0</v>
          </cell>
          <cell r="R33">
            <v>0</v>
          </cell>
          <cell r="S33">
            <v>0</v>
          </cell>
        </row>
        <row r="34">
          <cell r="C34" t="str">
            <v>Reserves for Replacement</v>
          </cell>
          <cell r="E34">
            <v>1000</v>
          </cell>
          <cell r="F34">
            <v>100</v>
          </cell>
          <cell r="G34">
            <v>1.1989243250955244E-3</v>
          </cell>
          <cell r="I34">
            <v>1000</v>
          </cell>
          <cell r="J34">
            <v>100</v>
          </cell>
          <cell r="K34">
            <v>1.1989243250955244E-3</v>
          </cell>
          <cell r="M34">
            <v>1000</v>
          </cell>
          <cell r="N34">
            <v>100</v>
          </cell>
          <cell r="O34">
            <v>1.1989243250955244E-3</v>
          </cell>
          <cell r="Q34">
            <v>219</v>
          </cell>
          <cell r="R34">
            <v>0.27</v>
          </cell>
          <cell r="S34">
            <v>0</v>
          </cell>
        </row>
        <row r="35">
          <cell r="C35" t="str">
            <v>Operating Expenses</v>
          </cell>
          <cell r="E35">
            <v>2000</v>
          </cell>
          <cell r="F35">
            <v>200</v>
          </cell>
          <cell r="G35">
            <v>2.3978486501910487E-3</v>
          </cell>
          <cell r="I35">
            <v>2000</v>
          </cell>
          <cell r="J35">
            <v>200</v>
          </cell>
          <cell r="K35">
            <v>2.3978486501910487E-3</v>
          </cell>
          <cell r="M35">
            <v>2000</v>
          </cell>
          <cell r="N35">
            <v>200</v>
          </cell>
          <cell r="O35">
            <v>2.3978486501910487E-3</v>
          </cell>
          <cell r="Q35">
            <v>2874</v>
          </cell>
          <cell r="R35">
            <v>4.5</v>
          </cell>
          <cell r="S35">
            <v>1.3</v>
          </cell>
        </row>
      </sheetData>
      <sheetData sheetId="69" refreshError="1">
        <row r="1">
          <cell r="F1"/>
          <cell r="K1"/>
        </row>
        <row r="4">
          <cell r="F4" t="str">
            <v xml:space="preserve">% PGI   </v>
          </cell>
          <cell r="I4" t="str">
            <v xml:space="preserve">Total      </v>
          </cell>
          <cell r="K4" t="str">
            <v xml:space="preserve">$/SF   </v>
          </cell>
        </row>
        <row r="5">
          <cell r="F5">
            <v>0.61799999999999999</v>
          </cell>
          <cell r="I5">
            <v>0</v>
          </cell>
          <cell r="K5">
            <v>0</v>
          </cell>
          <cell r="M5" t="str">
            <v>Hide</v>
          </cell>
        </row>
        <row r="6">
          <cell r="C6">
            <v>2005</v>
          </cell>
          <cell r="E6">
            <v>0.69499999999999995</v>
          </cell>
          <cell r="F6">
            <v>0.69499999999999995</v>
          </cell>
          <cell r="H6">
            <v>2005</v>
          </cell>
          <cell r="I6">
            <v>0</v>
          </cell>
          <cell r="J6">
            <v>0</v>
          </cell>
          <cell r="K6">
            <v>0</v>
          </cell>
          <cell r="M6" t="str">
            <v>Hide</v>
          </cell>
        </row>
        <row r="7">
          <cell r="C7" t="str">
            <v>2006 Annualized</v>
          </cell>
          <cell r="E7">
            <v>0.65800000000000003</v>
          </cell>
          <cell r="F7">
            <v>0.65800000000000003</v>
          </cell>
          <cell r="H7" t="str">
            <v>2006 Annualized</v>
          </cell>
          <cell r="I7">
            <v>0</v>
          </cell>
          <cell r="J7">
            <v>0</v>
          </cell>
          <cell r="K7">
            <v>0</v>
          </cell>
          <cell r="M7" t="str">
            <v>Hide</v>
          </cell>
        </row>
        <row r="8">
          <cell r="C8" t="str">
            <v>2007 Budget</v>
          </cell>
          <cell r="E8">
            <v>0.68400000000000005</v>
          </cell>
          <cell r="F8">
            <v>0.68400000000000005</v>
          </cell>
          <cell r="H8" t="str">
            <v>2007 Budget</v>
          </cell>
          <cell r="I8">
            <v>0</v>
          </cell>
          <cell r="J8">
            <v>0</v>
          </cell>
          <cell r="K8">
            <v>0</v>
          </cell>
          <cell r="M8" t="str">
            <v>Hide</v>
          </cell>
        </row>
        <row r="9">
          <cell r="F9">
            <v>0.92999999999999994</v>
          </cell>
          <cell r="I9">
            <v>0</v>
          </cell>
          <cell r="K9">
            <v>0</v>
          </cell>
        </row>
        <row r="13">
          <cell r="D13" t="str">
            <v xml:space="preserve">Total      </v>
          </cell>
          <cell r="F13" t="str">
            <v xml:space="preserve">$/SF   </v>
          </cell>
          <cell r="I13" t="str">
            <v xml:space="preserve">Total      </v>
          </cell>
          <cell r="K13" t="str">
            <v xml:space="preserve">$/SF   </v>
          </cell>
        </row>
        <row r="14">
          <cell r="D14">
            <v>0</v>
          </cell>
          <cell r="F14">
            <v>0</v>
          </cell>
          <cell r="I14">
            <v>0</v>
          </cell>
          <cell r="K14">
            <v>0</v>
          </cell>
          <cell r="M14" t="str">
            <v>Hide</v>
          </cell>
        </row>
        <row r="15">
          <cell r="C15">
            <v>2005</v>
          </cell>
          <cell r="D15">
            <v>0</v>
          </cell>
          <cell r="E15">
            <v>0</v>
          </cell>
          <cell r="F15">
            <v>0</v>
          </cell>
          <cell r="H15">
            <v>2005</v>
          </cell>
          <cell r="I15">
            <v>0</v>
          </cell>
          <cell r="J15">
            <v>0</v>
          </cell>
          <cell r="K15">
            <v>0</v>
          </cell>
          <cell r="M15" t="str">
            <v>Hide</v>
          </cell>
        </row>
        <row r="16">
          <cell r="C16" t="str">
            <v>2006 Annualized</v>
          </cell>
          <cell r="D16">
            <v>0</v>
          </cell>
          <cell r="E16">
            <v>0</v>
          </cell>
          <cell r="F16">
            <v>0</v>
          </cell>
          <cell r="H16" t="str">
            <v>2006 Annualized</v>
          </cell>
          <cell r="I16">
            <v>0</v>
          </cell>
          <cell r="J16">
            <v>0</v>
          </cell>
          <cell r="K16">
            <v>0</v>
          </cell>
          <cell r="M16" t="str">
            <v>Hide</v>
          </cell>
        </row>
        <row r="17">
          <cell r="C17" t="str">
            <v>2007 Budget</v>
          </cell>
          <cell r="D17">
            <v>0</v>
          </cell>
          <cell r="E17">
            <v>0</v>
          </cell>
          <cell r="F17">
            <v>0</v>
          </cell>
          <cell r="H17" t="str">
            <v>2007 Budget</v>
          </cell>
          <cell r="I17">
            <v>0</v>
          </cell>
          <cell r="J17">
            <v>0</v>
          </cell>
          <cell r="K17">
            <v>0</v>
          </cell>
          <cell r="M17" t="str">
            <v>Hide</v>
          </cell>
        </row>
        <row r="18">
          <cell r="D18">
            <v>0</v>
          </cell>
          <cell r="F18">
            <v>0</v>
          </cell>
          <cell r="I18">
            <v>0</v>
          </cell>
          <cell r="K18">
            <v>0</v>
          </cell>
        </row>
        <row r="22">
          <cell r="D22" t="str">
            <v xml:space="preserve">Total      </v>
          </cell>
          <cell r="F22" t="str">
            <v xml:space="preserve">$/SF   </v>
          </cell>
          <cell r="I22" t="str">
            <v xml:space="preserve">Total      </v>
          </cell>
          <cell r="K22" t="str">
            <v xml:space="preserve">$/SF   </v>
          </cell>
        </row>
        <row r="23">
          <cell r="D23">
            <v>0</v>
          </cell>
          <cell r="F23">
            <v>0</v>
          </cell>
          <cell r="I23">
            <v>0</v>
          </cell>
          <cell r="K23">
            <v>0</v>
          </cell>
          <cell r="M23" t="str">
            <v>Hide</v>
          </cell>
        </row>
        <row r="24">
          <cell r="C24">
            <v>2005</v>
          </cell>
          <cell r="D24">
            <v>0</v>
          </cell>
          <cell r="E24">
            <v>0</v>
          </cell>
          <cell r="F24">
            <v>0</v>
          </cell>
          <cell r="H24">
            <v>2005</v>
          </cell>
          <cell r="I24">
            <v>0</v>
          </cell>
          <cell r="J24">
            <v>0</v>
          </cell>
          <cell r="K24">
            <v>0</v>
          </cell>
          <cell r="M24" t="str">
            <v>Hide</v>
          </cell>
        </row>
        <row r="25">
          <cell r="C25" t="str">
            <v>2006 Annualized</v>
          </cell>
          <cell r="D25">
            <v>0</v>
          </cell>
          <cell r="E25">
            <v>0</v>
          </cell>
          <cell r="F25">
            <v>0</v>
          </cell>
          <cell r="H25" t="str">
            <v>2006 Annualized</v>
          </cell>
          <cell r="I25">
            <v>0</v>
          </cell>
          <cell r="J25">
            <v>0</v>
          </cell>
          <cell r="K25">
            <v>0</v>
          </cell>
          <cell r="M25" t="str">
            <v>Hide</v>
          </cell>
        </row>
        <row r="26">
          <cell r="C26" t="str">
            <v>2007 Budget</v>
          </cell>
          <cell r="D26">
            <v>0</v>
          </cell>
          <cell r="E26">
            <v>0</v>
          </cell>
          <cell r="F26">
            <v>0</v>
          </cell>
          <cell r="H26" t="str">
            <v>2007 Budget</v>
          </cell>
          <cell r="I26">
            <v>0</v>
          </cell>
          <cell r="J26">
            <v>0</v>
          </cell>
          <cell r="K26">
            <v>0</v>
          </cell>
          <cell r="M26" t="str">
            <v>Hide</v>
          </cell>
        </row>
        <row r="27">
          <cell r="D27">
            <v>0</v>
          </cell>
          <cell r="F27">
            <v>0</v>
          </cell>
          <cell r="I27">
            <v>0</v>
          </cell>
          <cell r="K27">
            <v>0</v>
          </cell>
        </row>
        <row r="31">
          <cell r="D31" t="str">
            <v xml:space="preserve">Total      </v>
          </cell>
          <cell r="F31" t="str">
            <v xml:space="preserve">$/SF   </v>
          </cell>
          <cell r="I31" t="str">
            <v xml:space="preserve">Total      </v>
          </cell>
          <cell r="K31" t="str">
            <v xml:space="preserve">% EGI   </v>
          </cell>
        </row>
        <row r="32">
          <cell r="D32">
            <v>0</v>
          </cell>
          <cell r="F32">
            <v>0</v>
          </cell>
          <cell r="I32">
            <v>0</v>
          </cell>
          <cell r="K32">
            <v>0</v>
          </cell>
          <cell r="M32" t="str">
            <v>Hide</v>
          </cell>
        </row>
        <row r="33">
          <cell r="C33">
            <v>2005</v>
          </cell>
          <cell r="D33">
            <v>0</v>
          </cell>
          <cell r="E33">
            <v>0</v>
          </cell>
          <cell r="F33">
            <v>0</v>
          </cell>
          <cell r="H33">
            <v>2005</v>
          </cell>
          <cell r="I33">
            <v>0</v>
          </cell>
          <cell r="J33">
            <v>0</v>
          </cell>
          <cell r="K33">
            <v>0</v>
          </cell>
          <cell r="M33" t="str">
            <v>Hide</v>
          </cell>
        </row>
        <row r="34">
          <cell r="C34" t="str">
            <v>2006 Annualized</v>
          </cell>
          <cell r="D34">
            <v>0</v>
          </cell>
          <cell r="E34">
            <v>0</v>
          </cell>
          <cell r="F34">
            <v>0</v>
          </cell>
          <cell r="H34" t="str">
            <v>2006 Annualized</v>
          </cell>
          <cell r="I34">
            <v>0</v>
          </cell>
          <cell r="J34">
            <v>0</v>
          </cell>
          <cell r="K34">
            <v>0</v>
          </cell>
          <cell r="M34" t="str">
            <v>Hide</v>
          </cell>
        </row>
        <row r="35">
          <cell r="C35" t="str">
            <v>2007 Budget</v>
          </cell>
          <cell r="D35">
            <v>0</v>
          </cell>
          <cell r="E35">
            <v>0</v>
          </cell>
          <cell r="F35">
            <v>0</v>
          </cell>
          <cell r="H35" t="str">
            <v>2007 Budget</v>
          </cell>
          <cell r="I35">
            <v>0</v>
          </cell>
          <cell r="J35">
            <v>0</v>
          </cell>
          <cell r="K35">
            <v>0</v>
          </cell>
          <cell r="M35" t="str">
            <v>Hide</v>
          </cell>
        </row>
        <row r="36">
          <cell r="D36">
            <v>0</v>
          </cell>
          <cell r="F36">
            <v>0</v>
          </cell>
          <cell r="I36">
            <v>2089.1519999999996</v>
          </cell>
          <cell r="K36">
            <v>2.9999999999999995E-2</v>
          </cell>
        </row>
        <row r="40">
          <cell r="D40" t="str">
            <v xml:space="preserve">Total      </v>
          </cell>
          <cell r="F40" t="str">
            <v xml:space="preserve">$/SF   </v>
          </cell>
          <cell r="I40" t="str">
            <v xml:space="preserve">Total      </v>
          </cell>
          <cell r="K40" t="str">
            <v xml:space="preserve">$/SF   </v>
          </cell>
          <cell r="N40">
            <v>1</v>
          </cell>
        </row>
        <row r="41">
          <cell r="D41">
            <v>0</v>
          </cell>
          <cell r="F41">
            <v>0</v>
          </cell>
          <cell r="I41">
            <v>0</v>
          </cell>
          <cell r="K41">
            <v>0</v>
          </cell>
          <cell r="M41" t="str">
            <v>Hide</v>
          </cell>
        </row>
        <row r="42">
          <cell r="C42">
            <v>2005</v>
          </cell>
          <cell r="D42">
            <v>0</v>
          </cell>
          <cell r="E42">
            <v>0</v>
          </cell>
          <cell r="F42">
            <v>0</v>
          </cell>
          <cell r="H42">
            <v>2005</v>
          </cell>
          <cell r="I42">
            <v>0</v>
          </cell>
          <cell r="J42">
            <v>0</v>
          </cell>
          <cell r="K42">
            <v>0</v>
          </cell>
          <cell r="M42" t="str">
            <v>Hide</v>
          </cell>
          <cell r="N42" t="b">
            <v>0</v>
          </cell>
        </row>
        <row r="43">
          <cell r="C43" t="str">
            <v>2006 Annualized</v>
          </cell>
          <cell r="D43">
            <v>0</v>
          </cell>
          <cell r="E43">
            <v>0</v>
          </cell>
          <cell r="F43">
            <v>0</v>
          </cell>
          <cell r="H43" t="str">
            <v>2006 Annualized</v>
          </cell>
          <cell r="I43">
            <v>0</v>
          </cell>
          <cell r="J43">
            <v>0</v>
          </cell>
          <cell r="K43">
            <v>0</v>
          </cell>
          <cell r="M43" t="str">
            <v>Hide</v>
          </cell>
          <cell r="N43" t="b">
            <v>0</v>
          </cell>
        </row>
        <row r="44">
          <cell r="C44" t="str">
            <v>2007 Budget</v>
          </cell>
          <cell r="D44">
            <v>0</v>
          </cell>
          <cell r="E44">
            <v>0</v>
          </cell>
          <cell r="F44">
            <v>0</v>
          </cell>
          <cell r="H44" t="str">
            <v>2007 Budget</v>
          </cell>
          <cell r="I44">
            <v>0</v>
          </cell>
          <cell r="J44">
            <v>0</v>
          </cell>
          <cell r="K44">
            <v>0</v>
          </cell>
          <cell r="M44" t="str">
            <v>Hide</v>
          </cell>
          <cell r="N44" t="b">
            <v>0</v>
          </cell>
        </row>
        <row r="45">
          <cell r="D45" t="str">
            <v xml:space="preserve">N/A      </v>
          </cell>
          <cell r="F45">
            <v>0</v>
          </cell>
          <cell r="I45" t="str">
            <v xml:space="preserve">N/A      </v>
          </cell>
          <cell r="K45">
            <v>0</v>
          </cell>
          <cell r="M45" t="str">
            <v>Hide</v>
          </cell>
        </row>
        <row r="46">
          <cell r="D46" t="str">
            <v xml:space="preserve">N/A      </v>
          </cell>
          <cell r="F46">
            <v>0</v>
          </cell>
          <cell r="I46" t="str">
            <v xml:space="preserve">N/A      </v>
          </cell>
          <cell r="K46">
            <v>0</v>
          </cell>
          <cell r="M46" t="str">
            <v>Hide</v>
          </cell>
        </row>
        <row r="47">
          <cell r="D47" t="str">
            <v xml:space="preserve">N/A      </v>
          </cell>
          <cell r="F47">
            <v>0</v>
          </cell>
          <cell r="I47" t="str">
            <v xml:space="preserve">N/A      </v>
          </cell>
          <cell r="K47">
            <v>0</v>
          </cell>
          <cell r="M47" t="str">
            <v>Hide</v>
          </cell>
        </row>
        <row r="48">
          <cell r="D48" t="str">
            <v xml:space="preserve">N/A      </v>
          </cell>
          <cell r="F48" t="str">
            <v xml:space="preserve">N/A  </v>
          </cell>
          <cell r="I48" t="str">
            <v xml:space="preserve">N/A      </v>
          </cell>
          <cell r="K48" t="str">
            <v xml:space="preserve">N/A  </v>
          </cell>
          <cell r="M48" t="str">
            <v>Hide</v>
          </cell>
          <cell r="N48" t="b">
            <v>0</v>
          </cell>
        </row>
        <row r="49">
          <cell r="D49" t="str">
            <v xml:space="preserve">N/A      </v>
          </cell>
          <cell r="F49">
            <v>0</v>
          </cell>
          <cell r="I49" t="str">
            <v xml:space="preserve">N/A      </v>
          </cell>
          <cell r="K49">
            <v>0</v>
          </cell>
          <cell r="M49" t="str">
            <v>Hide</v>
          </cell>
        </row>
        <row r="50">
          <cell r="D50" t="str">
            <v xml:space="preserve">N/A      </v>
          </cell>
          <cell r="F50">
            <v>0</v>
          </cell>
          <cell r="I50" t="str">
            <v xml:space="preserve">N/A      </v>
          </cell>
          <cell r="K50">
            <v>0</v>
          </cell>
          <cell r="M50" t="str">
            <v>Hide</v>
          </cell>
        </row>
        <row r="51">
          <cell r="D51">
            <v>0</v>
          </cell>
          <cell r="F51">
            <v>0</v>
          </cell>
          <cell r="I51">
            <v>0</v>
          </cell>
          <cell r="K51">
            <v>0</v>
          </cell>
        </row>
        <row r="55">
          <cell r="D55" t="str">
            <v xml:space="preserve">Total      </v>
          </cell>
          <cell r="F55" t="str">
            <v xml:space="preserve">$/SF   </v>
          </cell>
          <cell r="I55" t="str">
            <v xml:space="preserve">Total      </v>
          </cell>
          <cell r="K55" t="str">
            <v xml:space="preserve">$/SF   </v>
          </cell>
        </row>
        <row r="56">
          <cell r="C56">
            <v>2004</v>
          </cell>
          <cell r="D56">
            <v>0</v>
          </cell>
          <cell r="E56">
            <v>0</v>
          </cell>
          <cell r="F56">
            <v>0</v>
          </cell>
          <cell r="H56">
            <v>2004</v>
          </cell>
          <cell r="I56">
            <v>0</v>
          </cell>
          <cell r="J56">
            <v>0</v>
          </cell>
          <cell r="K56">
            <v>0</v>
          </cell>
          <cell r="M56" t="str">
            <v>Hide</v>
          </cell>
        </row>
        <row r="57">
          <cell r="C57">
            <v>2005</v>
          </cell>
          <cell r="D57">
            <v>0</v>
          </cell>
          <cell r="E57">
            <v>0</v>
          </cell>
          <cell r="F57">
            <v>0</v>
          </cell>
          <cell r="H57">
            <v>2005</v>
          </cell>
          <cell r="I57">
            <v>0</v>
          </cell>
          <cell r="J57">
            <v>0</v>
          </cell>
          <cell r="K57">
            <v>0</v>
          </cell>
          <cell r="M57" t="str">
            <v>Hide</v>
          </cell>
        </row>
        <row r="58">
          <cell r="C58" t="str">
            <v>2006 Annualized</v>
          </cell>
          <cell r="D58">
            <v>0</v>
          </cell>
          <cell r="E58">
            <v>0</v>
          </cell>
          <cell r="F58">
            <v>0</v>
          </cell>
          <cell r="H58" t="str">
            <v>2006 Annualized</v>
          </cell>
          <cell r="I58">
            <v>0</v>
          </cell>
          <cell r="J58">
            <v>0</v>
          </cell>
          <cell r="K58">
            <v>0</v>
          </cell>
          <cell r="M58" t="str">
            <v>Hide</v>
          </cell>
        </row>
        <row r="59">
          <cell r="D59">
            <v>0</v>
          </cell>
          <cell r="F59">
            <v>0</v>
          </cell>
          <cell r="I59">
            <v>0</v>
          </cell>
          <cell r="K59">
            <v>0</v>
          </cell>
          <cell r="M59" t="str">
            <v>Hide</v>
          </cell>
        </row>
        <row r="60">
          <cell r="D60" t="str">
            <v xml:space="preserve">N/A      </v>
          </cell>
          <cell r="F60">
            <v>0</v>
          </cell>
          <cell r="I60" t="str">
            <v xml:space="preserve">N/A      </v>
          </cell>
          <cell r="K60">
            <v>0</v>
          </cell>
          <cell r="M60" t="str">
            <v>Hide</v>
          </cell>
        </row>
        <row r="61">
          <cell r="D61" t="str">
            <v xml:space="preserve">N/A      </v>
          </cell>
          <cell r="F61">
            <v>0</v>
          </cell>
          <cell r="I61" t="str">
            <v xml:space="preserve">N/A      </v>
          </cell>
          <cell r="K61">
            <v>0</v>
          </cell>
          <cell r="M61" t="str">
            <v>Hide</v>
          </cell>
        </row>
        <row r="62">
          <cell r="D62" t="str">
            <v xml:space="preserve">N/A      </v>
          </cell>
          <cell r="F62">
            <v>0</v>
          </cell>
          <cell r="I62" t="str">
            <v xml:space="preserve">N/A      </v>
          </cell>
          <cell r="K62">
            <v>0</v>
          </cell>
          <cell r="M62" t="str">
            <v>Hide</v>
          </cell>
        </row>
        <row r="63">
          <cell r="D63" t="str">
            <v xml:space="preserve">N/A      </v>
          </cell>
          <cell r="F63" t="str">
            <v xml:space="preserve">N/A  </v>
          </cell>
          <cell r="I63" t="str">
            <v xml:space="preserve">N/A      </v>
          </cell>
          <cell r="K63" t="str">
            <v xml:space="preserve">N/A  </v>
          </cell>
          <cell r="M63" t="str">
            <v>Hide</v>
          </cell>
        </row>
        <row r="64">
          <cell r="D64" t="str">
            <v xml:space="preserve">N/A      </v>
          </cell>
          <cell r="F64">
            <v>0</v>
          </cell>
          <cell r="I64" t="str">
            <v xml:space="preserve">N/A      </v>
          </cell>
          <cell r="K64">
            <v>0</v>
          </cell>
          <cell r="M64" t="str">
            <v>Hide</v>
          </cell>
        </row>
        <row r="65">
          <cell r="D65" t="str">
            <v xml:space="preserve">N/A      </v>
          </cell>
          <cell r="F65">
            <v>0</v>
          </cell>
          <cell r="I65" t="str">
            <v xml:space="preserve">N/A      </v>
          </cell>
          <cell r="K65">
            <v>0</v>
          </cell>
          <cell r="M65" t="str">
            <v>Hide</v>
          </cell>
        </row>
        <row r="66">
          <cell r="D66">
            <v>0</v>
          </cell>
          <cell r="F66">
            <v>0</v>
          </cell>
          <cell r="I66">
            <v>0</v>
          </cell>
          <cell r="K66">
            <v>0</v>
          </cell>
        </row>
        <row r="70">
          <cell r="D70" t="str">
            <v xml:space="preserve">Total      </v>
          </cell>
          <cell r="F70" t="str">
            <v xml:space="preserve">$/SF   </v>
          </cell>
          <cell r="I70" t="str">
            <v xml:space="preserve">Total      </v>
          </cell>
          <cell r="K70" t="str">
            <v xml:space="preserve">$/SF   </v>
          </cell>
        </row>
        <row r="71">
          <cell r="D71">
            <v>0</v>
          </cell>
          <cell r="F71">
            <v>0</v>
          </cell>
          <cell r="I71">
            <v>0</v>
          </cell>
          <cell r="K71">
            <v>0</v>
          </cell>
          <cell r="M71" t="str">
            <v>Hide</v>
          </cell>
        </row>
        <row r="72">
          <cell r="D72">
            <v>0</v>
          </cell>
          <cell r="F72">
            <v>0</v>
          </cell>
          <cell r="I72">
            <v>0</v>
          </cell>
          <cell r="K72">
            <v>0</v>
          </cell>
          <cell r="M72" t="str">
            <v>Hide</v>
          </cell>
        </row>
        <row r="73">
          <cell r="D73">
            <v>0</v>
          </cell>
          <cell r="F73">
            <v>0</v>
          </cell>
          <cell r="I73">
            <v>0</v>
          </cell>
          <cell r="K73">
            <v>0</v>
          </cell>
          <cell r="M73" t="str">
            <v>Hide</v>
          </cell>
        </row>
        <row r="74">
          <cell r="D74">
            <v>0</v>
          </cell>
          <cell r="F74">
            <v>0</v>
          </cell>
          <cell r="I74">
            <v>0</v>
          </cell>
          <cell r="K74">
            <v>0</v>
          </cell>
          <cell r="M74" t="str">
            <v>Hide</v>
          </cell>
        </row>
        <row r="75">
          <cell r="D75" t="str">
            <v xml:space="preserve">N/A      </v>
          </cell>
          <cell r="F75">
            <v>0</v>
          </cell>
          <cell r="I75" t="str">
            <v xml:space="preserve">N/A      </v>
          </cell>
          <cell r="K75">
            <v>0</v>
          </cell>
          <cell r="M75" t="str">
            <v>Hide</v>
          </cell>
        </row>
        <row r="76">
          <cell r="D76" t="str">
            <v xml:space="preserve">N/A      </v>
          </cell>
          <cell r="F76">
            <v>0</v>
          </cell>
          <cell r="I76" t="str">
            <v xml:space="preserve">N/A      </v>
          </cell>
          <cell r="K76">
            <v>0</v>
          </cell>
          <cell r="M76" t="str">
            <v>Hide</v>
          </cell>
        </row>
        <row r="77">
          <cell r="D77" t="str">
            <v xml:space="preserve">N/A      </v>
          </cell>
          <cell r="F77">
            <v>0</v>
          </cell>
          <cell r="I77" t="str">
            <v xml:space="preserve">N/A      </v>
          </cell>
          <cell r="K77">
            <v>0</v>
          </cell>
          <cell r="M77" t="str">
            <v>Hide</v>
          </cell>
        </row>
        <row r="78">
          <cell r="D78" t="str">
            <v xml:space="preserve">N/A      </v>
          </cell>
          <cell r="F78" t="str">
            <v xml:space="preserve">N/A  </v>
          </cell>
          <cell r="I78" t="str">
            <v xml:space="preserve">N/A      </v>
          </cell>
          <cell r="K78" t="str">
            <v xml:space="preserve">N/A  </v>
          </cell>
          <cell r="M78" t="str">
            <v>Hide</v>
          </cell>
        </row>
        <row r="79">
          <cell r="D79" t="str">
            <v xml:space="preserve">N/A      </v>
          </cell>
          <cell r="F79">
            <v>0</v>
          </cell>
          <cell r="I79" t="str">
            <v xml:space="preserve">N/A      </v>
          </cell>
          <cell r="K79">
            <v>0</v>
          </cell>
          <cell r="M79" t="str">
            <v>Hide</v>
          </cell>
        </row>
        <row r="80">
          <cell r="D80" t="str">
            <v xml:space="preserve">N/A      </v>
          </cell>
          <cell r="F80">
            <v>0</v>
          </cell>
          <cell r="I80" t="str">
            <v xml:space="preserve">N/A      </v>
          </cell>
          <cell r="K80">
            <v>0</v>
          </cell>
          <cell r="M80" t="str">
            <v>Hide</v>
          </cell>
        </row>
        <row r="81">
          <cell r="D81">
            <v>0</v>
          </cell>
          <cell r="F81">
            <v>0</v>
          </cell>
          <cell r="I81">
            <v>0</v>
          </cell>
          <cell r="K81">
            <v>0</v>
          </cell>
        </row>
        <row r="85">
          <cell r="D85" t="str">
            <v xml:space="preserve">Total      </v>
          </cell>
          <cell r="F85" t="str">
            <v xml:space="preserve">$/SF   </v>
          </cell>
          <cell r="I85" t="str">
            <v xml:space="preserve">Total      </v>
          </cell>
          <cell r="K85" t="str">
            <v xml:space="preserve">$/SF   </v>
          </cell>
        </row>
        <row r="86">
          <cell r="D86">
            <v>0</v>
          </cell>
          <cell r="F86">
            <v>0</v>
          </cell>
          <cell r="I86">
            <v>0</v>
          </cell>
          <cell r="K86">
            <v>0</v>
          </cell>
          <cell r="M86" t="str">
            <v>Hide</v>
          </cell>
        </row>
        <row r="87">
          <cell r="D87">
            <v>0</v>
          </cell>
          <cell r="F87">
            <v>0</v>
          </cell>
          <cell r="I87">
            <v>0</v>
          </cell>
          <cell r="K87">
            <v>0</v>
          </cell>
          <cell r="M87" t="str">
            <v>Hide</v>
          </cell>
        </row>
        <row r="88">
          <cell r="D88">
            <v>0</v>
          </cell>
          <cell r="F88">
            <v>0</v>
          </cell>
          <cell r="I88">
            <v>0</v>
          </cell>
          <cell r="K88">
            <v>0</v>
          </cell>
          <cell r="M88" t="str">
            <v>Hide</v>
          </cell>
        </row>
        <row r="89">
          <cell r="D89">
            <v>0</v>
          </cell>
          <cell r="F89">
            <v>0</v>
          </cell>
          <cell r="I89">
            <v>0</v>
          </cell>
          <cell r="K89">
            <v>0</v>
          </cell>
          <cell r="M89" t="str">
            <v>Hide</v>
          </cell>
        </row>
        <row r="90">
          <cell r="D90" t="str">
            <v xml:space="preserve">N/A      </v>
          </cell>
          <cell r="F90">
            <v>0</v>
          </cell>
          <cell r="I90" t="str">
            <v xml:space="preserve">N/A      </v>
          </cell>
          <cell r="K90">
            <v>0</v>
          </cell>
          <cell r="M90" t="str">
            <v>Hide</v>
          </cell>
        </row>
        <row r="91">
          <cell r="D91" t="str">
            <v xml:space="preserve">N/A      </v>
          </cell>
          <cell r="F91">
            <v>0</v>
          </cell>
          <cell r="I91" t="str">
            <v xml:space="preserve">N/A      </v>
          </cell>
          <cell r="K91">
            <v>0</v>
          </cell>
          <cell r="M91" t="str">
            <v>Hide</v>
          </cell>
        </row>
        <row r="92">
          <cell r="D92" t="str">
            <v xml:space="preserve">N/A      </v>
          </cell>
          <cell r="F92">
            <v>0</v>
          </cell>
          <cell r="I92" t="str">
            <v xml:space="preserve">N/A      </v>
          </cell>
          <cell r="K92">
            <v>0</v>
          </cell>
          <cell r="M92" t="str">
            <v>Hide</v>
          </cell>
        </row>
        <row r="93">
          <cell r="D93" t="str">
            <v xml:space="preserve">N/A      </v>
          </cell>
          <cell r="F93" t="str">
            <v xml:space="preserve">N/A  </v>
          </cell>
          <cell r="I93" t="str">
            <v xml:space="preserve">N/A      </v>
          </cell>
          <cell r="K93" t="str">
            <v xml:space="preserve">N/A  </v>
          </cell>
          <cell r="M93" t="str">
            <v>Hide</v>
          </cell>
        </row>
        <row r="94">
          <cell r="D94" t="str">
            <v xml:space="preserve">N/A      </v>
          </cell>
          <cell r="F94">
            <v>0</v>
          </cell>
          <cell r="I94" t="str">
            <v xml:space="preserve">N/A      </v>
          </cell>
          <cell r="K94">
            <v>0</v>
          </cell>
          <cell r="M94" t="str">
            <v>Hide</v>
          </cell>
        </row>
        <row r="95">
          <cell r="D95" t="str">
            <v xml:space="preserve">N/A      </v>
          </cell>
          <cell r="F95">
            <v>0</v>
          </cell>
          <cell r="I95" t="str">
            <v xml:space="preserve">N/A      </v>
          </cell>
          <cell r="K95">
            <v>0</v>
          </cell>
          <cell r="M95" t="str">
            <v>Hide</v>
          </cell>
        </row>
        <row r="96">
          <cell r="D96">
            <v>0</v>
          </cell>
          <cell r="F96">
            <v>0</v>
          </cell>
          <cell r="I96">
            <v>0</v>
          </cell>
          <cell r="K96">
            <v>0</v>
          </cell>
        </row>
        <row r="100">
          <cell r="D100" t="str">
            <v xml:space="preserve">Total      </v>
          </cell>
          <cell r="F100" t="str">
            <v xml:space="preserve">$/SF   </v>
          </cell>
          <cell r="I100" t="str">
            <v xml:space="preserve">Total      </v>
          </cell>
          <cell r="K100" t="str">
            <v xml:space="preserve">$/SF   </v>
          </cell>
        </row>
        <row r="101">
          <cell r="D101">
            <v>0</v>
          </cell>
          <cell r="F101">
            <v>0</v>
          </cell>
          <cell r="I101">
            <v>0</v>
          </cell>
          <cell r="K101">
            <v>0</v>
          </cell>
          <cell r="M101" t="str">
            <v>Hide</v>
          </cell>
        </row>
        <row r="102">
          <cell r="D102">
            <v>0</v>
          </cell>
          <cell r="F102">
            <v>0</v>
          </cell>
          <cell r="I102">
            <v>0</v>
          </cell>
          <cell r="K102">
            <v>0</v>
          </cell>
          <cell r="M102" t="str">
            <v>Hide</v>
          </cell>
        </row>
        <row r="103">
          <cell r="D103">
            <v>0</v>
          </cell>
          <cell r="F103">
            <v>0</v>
          </cell>
          <cell r="I103">
            <v>0</v>
          </cell>
          <cell r="K103">
            <v>0</v>
          </cell>
          <cell r="M103" t="str">
            <v>Hide</v>
          </cell>
        </row>
        <row r="104">
          <cell r="D104">
            <v>0</v>
          </cell>
          <cell r="F104">
            <v>0</v>
          </cell>
          <cell r="I104">
            <v>0</v>
          </cell>
          <cell r="K104">
            <v>0</v>
          </cell>
          <cell r="M104" t="str">
            <v>Hide</v>
          </cell>
        </row>
        <row r="105">
          <cell r="D105" t="str">
            <v xml:space="preserve">N/A      </v>
          </cell>
          <cell r="F105">
            <v>0</v>
          </cell>
          <cell r="I105" t="str">
            <v xml:space="preserve">N/A      </v>
          </cell>
          <cell r="K105">
            <v>0</v>
          </cell>
          <cell r="M105" t="str">
            <v>Hide</v>
          </cell>
        </row>
        <row r="106">
          <cell r="D106" t="str">
            <v xml:space="preserve">N/A      </v>
          </cell>
          <cell r="F106">
            <v>0</v>
          </cell>
          <cell r="I106" t="str">
            <v xml:space="preserve">N/A      </v>
          </cell>
          <cell r="K106">
            <v>0</v>
          </cell>
          <cell r="M106" t="str">
            <v>Hide</v>
          </cell>
        </row>
        <row r="107">
          <cell r="D107" t="str">
            <v xml:space="preserve">N/A      </v>
          </cell>
          <cell r="F107">
            <v>0</v>
          </cell>
          <cell r="I107" t="str">
            <v xml:space="preserve">N/A      </v>
          </cell>
          <cell r="K107">
            <v>0</v>
          </cell>
          <cell r="M107" t="str">
            <v>Hide</v>
          </cell>
        </row>
        <row r="108">
          <cell r="D108" t="str">
            <v xml:space="preserve">N/A      </v>
          </cell>
          <cell r="F108" t="str">
            <v xml:space="preserve">N/A  </v>
          </cell>
          <cell r="I108" t="str">
            <v xml:space="preserve">N/A      </v>
          </cell>
          <cell r="K108" t="str">
            <v xml:space="preserve">N/A  </v>
          </cell>
          <cell r="M108" t="str">
            <v>Hide</v>
          </cell>
        </row>
        <row r="109">
          <cell r="D109" t="str">
            <v xml:space="preserve">N/A      </v>
          </cell>
          <cell r="F109">
            <v>0</v>
          </cell>
          <cell r="I109" t="str">
            <v xml:space="preserve">N/A      </v>
          </cell>
          <cell r="K109">
            <v>0</v>
          </cell>
          <cell r="M109" t="str">
            <v>Hide</v>
          </cell>
        </row>
        <row r="110">
          <cell r="D110" t="str">
            <v xml:space="preserve">N/A      </v>
          </cell>
          <cell r="F110">
            <v>0</v>
          </cell>
          <cell r="I110" t="str">
            <v xml:space="preserve">N/A      </v>
          </cell>
          <cell r="K110">
            <v>0</v>
          </cell>
          <cell r="M110" t="str">
            <v>Hide</v>
          </cell>
        </row>
        <row r="111">
          <cell r="D111">
            <v>0</v>
          </cell>
          <cell r="F111">
            <v>0</v>
          </cell>
          <cell r="I111">
            <v>0</v>
          </cell>
          <cell r="K111">
            <v>0</v>
          </cell>
        </row>
        <row r="115">
          <cell r="D115" t="str">
            <v xml:space="preserve">Total      </v>
          </cell>
          <cell r="F115" t="str">
            <v xml:space="preserve">$/SF   </v>
          </cell>
          <cell r="I115" t="str">
            <v xml:space="preserve">Total      </v>
          </cell>
          <cell r="K115" t="str">
            <v xml:space="preserve">$/SF   </v>
          </cell>
        </row>
        <row r="116">
          <cell r="D116">
            <v>0</v>
          </cell>
          <cell r="F116">
            <v>0</v>
          </cell>
          <cell r="I116">
            <v>0</v>
          </cell>
          <cell r="K116">
            <v>0</v>
          </cell>
          <cell r="M116" t="str">
            <v>Hide</v>
          </cell>
        </row>
        <row r="117">
          <cell r="D117">
            <v>0</v>
          </cell>
          <cell r="F117">
            <v>0</v>
          </cell>
          <cell r="I117">
            <v>0</v>
          </cell>
          <cell r="K117">
            <v>0</v>
          </cell>
          <cell r="M117" t="str">
            <v>Hide</v>
          </cell>
        </row>
        <row r="118">
          <cell r="D118">
            <v>0</v>
          </cell>
          <cell r="F118">
            <v>0</v>
          </cell>
          <cell r="I118">
            <v>0</v>
          </cell>
          <cell r="K118">
            <v>0</v>
          </cell>
          <cell r="M118" t="str">
            <v>Hide</v>
          </cell>
        </row>
        <row r="119">
          <cell r="D119">
            <v>0</v>
          </cell>
          <cell r="F119">
            <v>0</v>
          </cell>
          <cell r="I119">
            <v>0</v>
          </cell>
          <cell r="K119">
            <v>0</v>
          </cell>
          <cell r="M119" t="str">
            <v>Hide</v>
          </cell>
        </row>
        <row r="120">
          <cell r="D120" t="str">
            <v xml:space="preserve">N/A      </v>
          </cell>
          <cell r="F120">
            <v>0</v>
          </cell>
          <cell r="I120" t="str">
            <v xml:space="preserve">N/A      </v>
          </cell>
          <cell r="K120">
            <v>0</v>
          </cell>
          <cell r="M120" t="str">
            <v>Hide</v>
          </cell>
        </row>
        <row r="121">
          <cell r="D121" t="str">
            <v xml:space="preserve">N/A      </v>
          </cell>
          <cell r="F121">
            <v>0</v>
          </cell>
          <cell r="I121" t="str">
            <v xml:space="preserve">N/A      </v>
          </cell>
          <cell r="K121">
            <v>0</v>
          </cell>
          <cell r="M121" t="str">
            <v>Hide</v>
          </cell>
        </row>
        <row r="122">
          <cell r="D122" t="str">
            <v xml:space="preserve">N/A      </v>
          </cell>
          <cell r="F122">
            <v>0</v>
          </cell>
          <cell r="I122" t="str">
            <v xml:space="preserve">N/A      </v>
          </cell>
          <cell r="K122">
            <v>0</v>
          </cell>
          <cell r="M122" t="str">
            <v>Hide</v>
          </cell>
        </row>
        <row r="123">
          <cell r="D123" t="str">
            <v xml:space="preserve">N/A      </v>
          </cell>
          <cell r="F123" t="str">
            <v xml:space="preserve">N/A  </v>
          </cell>
          <cell r="I123" t="str">
            <v xml:space="preserve">N/A      </v>
          </cell>
          <cell r="K123" t="str">
            <v xml:space="preserve">N/A  </v>
          </cell>
          <cell r="M123" t="str">
            <v>Hide</v>
          </cell>
        </row>
        <row r="124">
          <cell r="D124" t="str">
            <v xml:space="preserve">N/A      </v>
          </cell>
          <cell r="F124">
            <v>0</v>
          </cell>
          <cell r="I124" t="str">
            <v xml:space="preserve">N/A      </v>
          </cell>
          <cell r="K124">
            <v>0</v>
          </cell>
          <cell r="M124" t="str">
            <v>Hide</v>
          </cell>
        </row>
        <row r="125">
          <cell r="D125" t="str">
            <v xml:space="preserve">N/A      </v>
          </cell>
          <cell r="F125">
            <v>0</v>
          </cell>
          <cell r="I125" t="str">
            <v xml:space="preserve">N/A      </v>
          </cell>
          <cell r="K125">
            <v>0</v>
          </cell>
          <cell r="M125" t="str">
            <v>Hide</v>
          </cell>
        </row>
        <row r="126">
          <cell r="D126">
            <v>0</v>
          </cell>
          <cell r="F126">
            <v>0</v>
          </cell>
          <cell r="I126">
            <v>0</v>
          </cell>
          <cell r="K126">
            <v>0</v>
          </cell>
        </row>
        <row r="130">
          <cell r="D130" t="str">
            <v xml:space="preserve">Total      </v>
          </cell>
          <cell r="F130" t="str">
            <v xml:space="preserve">$/SF   </v>
          </cell>
          <cell r="I130" t="str">
            <v xml:space="preserve">Total      </v>
          </cell>
          <cell r="K130" t="str">
            <v xml:space="preserve">$/SF   </v>
          </cell>
        </row>
        <row r="131">
          <cell r="D131">
            <v>0</v>
          </cell>
          <cell r="F131">
            <v>0</v>
          </cell>
          <cell r="I131">
            <v>0</v>
          </cell>
          <cell r="K131">
            <v>0</v>
          </cell>
          <cell r="M131" t="str">
            <v>Hide</v>
          </cell>
        </row>
        <row r="132">
          <cell r="D132">
            <v>0</v>
          </cell>
          <cell r="F132">
            <v>0</v>
          </cell>
          <cell r="I132">
            <v>0</v>
          </cell>
          <cell r="K132">
            <v>0</v>
          </cell>
          <cell r="M132" t="str">
            <v>Hide</v>
          </cell>
        </row>
        <row r="133">
          <cell r="D133">
            <v>0</v>
          </cell>
          <cell r="F133">
            <v>0</v>
          </cell>
          <cell r="I133">
            <v>0</v>
          </cell>
          <cell r="K133">
            <v>0</v>
          </cell>
          <cell r="M133" t="str">
            <v>Hide</v>
          </cell>
        </row>
        <row r="134">
          <cell r="D134">
            <v>0</v>
          </cell>
          <cell r="F134">
            <v>0</v>
          </cell>
          <cell r="I134">
            <v>0</v>
          </cell>
          <cell r="K134">
            <v>0</v>
          </cell>
          <cell r="M134" t="str">
            <v>Hide</v>
          </cell>
        </row>
        <row r="135">
          <cell r="D135" t="str">
            <v xml:space="preserve">N/A      </v>
          </cell>
          <cell r="F135">
            <v>0</v>
          </cell>
          <cell r="I135" t="str">
            <v xml:space="preserve">N/A      </v>
          </cell>
          <cell r="K135">
            <v>0</v>
          </cell>
          <cell r="M135" t="str">
            <v>Hide</v>
          </cell>
        </row>
        <row r="136">
          <cell r="D136" t="str">
            <v xml:space="preserve">N/A      </v>
          </cell>
          <cell r="F136">
            <v>0</v>
          </cell>
          <cell r="I136" t="str">
            <v xml:space="preserve">N/A      </v>
          </cell>
          <cell r="K136">
            <v>0</v>
          </cell>
          <cell r="M136" t="str">
            <v>Hide</v>
          </cell>
        </row>
        <row r="137">
          <cell r="D137" t="str">
            <v xml:space="preserve">N/A      </v>
          </cell>
          <cell r="F137">
            <v>0</v>
          </cell>
          <cell r="I137" t="str">
            <v xml:space="preserve">N/A      </v>
          </cell>
          <cell r="K137">
            <v>0</v>
          </cell>
          <cell r="M137" t="str">
            <v>Hide</v>
          </cell>
        </row>
        <row r="138">
          <cell r="D138" t="str">
            <v xml:space="preserve">N/A      </v>
          </cell>
          <cell r="F138" t="str">
            <v xml:space="preserve">N/A  </v>
          </cell>
          <cell r="I138" t="str">
            <v xml:space="preserve">N/A      </v>
          </cell>
          <cell r="K138" t="str">
            <v xml:space="preserve">N/A  </v>
          </cell>
          <cell r="M138" t="str">
            <v>Hide</v>
          </cell>
        </row>
        <row r="139">
          <cell r="D139" t="str">
            <v xml:space="preserve">N/A      </v>
          </cell>
          <cell r="F139">
            <v>0</v>
          </cell>
          <cell r="I139" t="str">
            <v xml:space="preserve">N/A      </v>
          </cell>
          <cell r="K139">
            <v>0</v>
          </cell>
          <cell r="M139" t="str">
            <v>Hide</v>
          </cell>
        </row>
        <row r="140">
          <cell r="D140" t="str">
            <v xml:space="preserve">N/A      </v>
          </cell>
          <cell r="F140">
            <v>0</v>
          </cell>
          <cell r="I140" t="str">
            <v xml:space="preserve">N/A      </v>
          </cell>
          <cell r="K140">
            <v>0</v>
          </cell>
          <cell r="M140" t="str">
            <v>Hide</v>
          </cell>
        </row>
        <row r="141">
          <cell r="D141">
            <v>0</v>
          </cell>
          <cell r="F141">
            <v>0</v>
          </cell>
          <cell r="I141">
            <v>0</v>
          </cell>
          <cell r="K141">
            <v>0</v>
          </cell>
        </row>
        <row r="145">
          <cell r="D145" t="str">
            <v xml:space="preserve">Total      </v>
          </cell>
          <cell r="F145" t="str">
            <v xml:space="preserve">$/SF   </v>
          </cell>
          <cell r="I145" t="str">
            <v xml:space="preserve">Total      </v>
          </cell>
          <cell r="K145" t="str">
            <v xml:space="preserve">$/SF   </v>
          </cell>
        </row>
        <row r="146">
          <cell r="D146">
            <v>0</v>
          </cell>
          <cell r="F146">
            <v>0</v>
          </cell>
          <cell r="I146">
            <v>0</v>
          </cell>
          <cell r="K146">
            <v>0</v>
          </cell>
          <cell r="M146" t="str">
            <v>Hide</v>
          </cell>
        </row>
        <row r="147">
          <cell r="D147">
            <v>0</v>
          </cell>
          <cell r="F147">
            <v>0</v>
          </cell>
          <cell r="I147">
            <v>0</v>
          </cell>
          <cell r="K147">
            <v>0</v>
          </cell>
          <cell r="M147" t="str">
            <v>Hide</v>
          </cell>
        </row>
        <row r="148">
          <cell r="D148">
            <v>0</v>
          </cell>
          <cell r="F148">
            <v>0</v>
          </cell>
          <cell r="I148">
            <v>0</v>
          </cell>
          <cell r="K148">
            <v>0</v>
          </cell>
          <cell r="M148" t="str">
            <v>Hide</v>
          </cell>
        </row>
        <row r="149">
          <cell r="D149">
            <v>0</v>
          </cell>
          <cell r="F149">
            <v>0</v>
          </cell>
          <cell r="I149">
            <v>0</v>
          </cell>
          <cell r="K149">
            <v>0</v>
          </cell>
          <cell r="M149" t="str">
            <v>Hide</v>
          </cell>
        </row>
        <row r="150">
          <cell r="D150" t="str">
            <v xml:space="preserve">N/A      </v>
          </cell>
          <cell r="F150">
            <v>0</v>
          </cell>
          <cell r="I150" t="str">
            <v xml:space="preserve">N/A      </v>
          </cell>
          <cell r="K150">
            <v>0</v>
          </cell>
          <cell r="M150" t="str">
            <v>Hide</v>
          </cell>
        </row>
        <row r="151">
          <cell r="D151" t="str">
            <v xml:space="preserve">N/A      </v>
          </cell>
          <cell r="F151">
            <v>0</v>
          </cell>
          <cell r="I151" t="str">
            <v xml:space="preserve">N/A      </v>
          </cell>
          <cell r="K151">
            <v>0</v>
          </cell>
          <cell r="M151" t="str">
            <v>Hide</v>
          </cell>
        </row>
        <row r="152">
          <cell r="D152" t="str">
            <v xml:space="preserve">N/A      </v>
          </cell>
          <cell r="F152">
            <v>0</v>
          </cell>
          <cell r="I152" t="str">
            <v xml:space="preserve">N/A      </v>
          </cell>
          <cell r="K152">
            <v>0</v>
          </cell>
          <cell r="M152" t="str">
            <v>Hide</v>
          </cell>
        </row>
        <row r="153">
          <cell r="D153" t="str">
            <v xml:space="preserve">N/A      </v>
          </cell>
          <cell r="F153" t="str">
            <v xml:space="preserve">N/A  </v>
          </cell>
          <cell r="I153" t="str">
            <v xml:space="preserve">N/A      </v>
          </cell>
          <cell r="K153" t="str">
            <v xml:space="preserve">N/A  </v>
          </cell>
          <cell r="M153" t="str">
            <v>Hide</v>
          </cell>
        </row>
        <row r="154">
          <cell r="D154" t="str">
            <v xml:space="preserve">N/A      </v>
          </cell>
          <cell r="F154">
            <v>0</v>
          </cell>
          <cell r="I154" t="str">
            <v xml:space="preserve">N/A      </v>
          </cell>
          <cell r="K154">
            <v>0</v>
          </cell>
          <cell r="M154" t="str">
            <v>Hide</v>
          </cell>
        </row>
        <row r="155">
          <cell r="D155" t="str">
            <v xml:space="preserve">N/A      </v>
          </cell>
          <cell r="F155">
            <v>0</v>
          </cell>
          <cell r="I155" t="str">
            <v xml:space="preserve">N/A      </v>
          </cell>
          <cell r="K155">
            <v>0</v>
          </cell>
          <cell r="M155" t="str">
            <v>Hide</v>
          </cell>
        </row>
        <row r="156">
          <cell r="D156">
            <v>0</v>
          </cell>
          <cell r="F156">
            <v>0</v>
          </cell>
          <cell r="I156">
            <v>0</v>
          </cell>
          <cell r="K156">
            <v>0</v>
          </cell>
        </row>
        <row r="160">
          <cell r="D160" t="str">
            <v xml:space="preserve">Total      </v>
          </cell>
          <cell r="F160" t="str">
            <v xml:space="preserve">$/SF   </v>
          </cell>
          <cell r="I160" t="str">
            <v xml:space="preserve">Total      </v>
          </cell>
          <cell r="K160" t="str">
            <v xml:space="preserve">$/SF   </v>
          </cell>
        </row>
        <row r="161">
          <cell r="D161">
            <v>0</v>
          </cell>
          <cell r="F161">
            <v>0</v>
          </cell>
          <cell r="I161">
            <v>0</v>
          </cell>
          <cell r="K161">
            <v>0</v>
          </cell>
          <cell r="M161" t="str">
            <v>Hide</v>
          </cell>
        </row>
        <row r="162">
          <cell r="D162">
            <v>0</v>
          </cell>
          <cell r="F162">
            <v>0</v>
          </cell>
          <cell r="I162">
            <v>0</v>
          </cell>
          <cell r="K162">
            <v>0</v>
          </cell>
          <cell r="M162" t="str">
            <v>Hide</v>
          </cell>
        </row>
        <row r="163">
          <cell r="D163">
            <v>0</v>
          </cell>
          <cell r="F163">
            <v>0</v>
          </cell>
          <cell r="I163">
            <v>0</v>
          </cell>
          <cell r="K163">
            <v>0</v>
          </cell>
          <cell r="M163" t="str">
            <v>Hide</v>
          </cell>
        </row>
        <row r="164">
          <cell r="D164">
            <v>0</v>
          </cell>
          <cell r="F164">
            <v>0</v>
          </cell>
          <cell r="I164">
            <v>0</v>
          </cell>
          <cell r="K164">
            <v>0</v>
          </cell>
          <cell r="M164" t="str">
            <v>Hide</v>
          </cell>
        </row>
        <row r="165">
          <cell r="D165" t="str">
            <v xml:space="preserve">N/A      </v>
          </cell>
          <cell r="F165">
            <v>0</v>
          </cell>
          <cell r="I165" t="str">
            <v xml:space="preserve">N/A      </v>
          </cell>
          <cell r="K165">
            <v>0</v>
          </cell>
          <cell r="M165" t="str">
            <v>Hide</v>
          </cell>
        </row>
        <row r="166">
          <cell r="D166" t="str">
            <v xml:space="preserve">N/A      </v>
          </cell>
          <cell r="F166">
            <v>0</v>
          </cell>
          <cell r="I166" t="str">
            <v xml:space="preserve">N/A      </v>
          </cell>
          <cell r="K166">
            <v>0</v>
          </cell>
          <cell r="M166" t="str">
            <v>Hide</v>
          </cell>
        </row>
        <row r="167">
          <cell r="D167" t="str">
            <v xml:space="preserve">N/A      </v>
          </cell>
          <cell r="F167">
            <v>0</v>
          </cell>
          <cell r="I167" t="str">
            <v xml:space="preserve">N/A      </v>
          </cell>
          <cell r="K167">
            <v>0</v>
          </cell>
          <cell r="M167" t="str">
            <v>Hide</v>
          </cell>
        </row>
        <row r="168">
          <cell r="D168" t="str">
            <v xml:space="preserve">N/A      </v>
          </cell>
          <cell r="F168" t="str">
            <v xml:space="preserve">N/A  </v>
          </cell>
          <cell r="I168" t="str">
            <v xml:space="preserve">N/A      </v>
          </cell>
          <cell r="K168" t="str">
            <v xml:space="preserve">N/A  </v>
          </cell>
          <cell r="M168" t="str">
            <v>Hide</v>
          </cell>
        </row>
        <row r="169">
          <cell r="D169" t="str">
            <v xml:space="preserve">N/A      </v>
          </cell>
          <cell r="F169">
            <v>0</v>
          </cell>
          <cell r="I169" t="str">
            <v xml:space="preserve">N/A      </v>
          </cell>
          <cell r="K169">
            <v>0</v>
          </cell>
          <cell r="M169" t="str">
            <v>Hide</v>
          </cell>
        </row>
        <row r="170">
          <cell r="D170" t="str">
            <v xml:space="preserve">N/A      </v>
          </cell>
          <cell r="F170">
            <v>0</v>
          </cell>
          <cell r="I170" t="str">
            <v xml:space="preserve">N/A      </v>
          </cell>
          <cell r="K170">
            <v>0</v>
          </cell>
          <cell r="M170" t="str">
            <v>Hide</v>
          </cell>
        </row>
        <row r="171">
          <cell r="D171">
            <v>0</v>
          </cell>
          <cell r="F171">
            <v>0</v>
          </cell>
          <cell r="I171">
            <v>0</v>
          </cell>
          <cell r="K171">
            <v>0</v>
          </cell>
        </row>
        <row r="175">
          <cell r="D175" t="str">
            <v xml:space="preserve">Total      </v>
          </cell>
          <cell r="F175" t="str">
            <v xml:space="preserve">$/SF   </v>
          </cell>
          <cell r="I175" t="str">
            <v xml:space="preserve">Total      </v>
          </cell>
          <cell r="K175" t="str">
            <v xml:space="preserve">$/SF   </v>
          </cell>
        </row>
        <row r="176">
          <cell r="D176">
            <v>0</v>
          </cell>
          <cell r="F176">
            <v>0</v>
          </cell>
          <cell r="I176">
            <v>0</v>
          </cell>
          <cell r="K176">
            <v>0</v>
          </cell>
          <cell r="M176" t="str">
            <v>Hide</v>
          </cell>
        </row>
        <row r="177">
          <cell r="D177">
            <v>0</v>
          </cell>
          <cell r="F177">
            <v>0</v>
          </cell>
          <cell r="I177">
            <v>0</v>
          </cell>
          <cell r="K177">
            <v>0</v>
          </cell>
          <cell r="M177" t="str">
            <v>Hide</v>
          </cell>
        </row>
        <row r="178">
          <cell r="D178">
            <v>0</v>
          </cell>
          <cell r="F178">
            <v>0</v>
          </cell>
          <cell r="I178">
            <v>0</v>
          </cell>
          <cell r="K178">
            <v>0</v>
          </cell>
          <cell r="M178" t="str">
            <v>Hide</v>
          </cell>
        </row>
        <row r="179">
          <cell r="D179">
            <v>0</v>
          </cell>
          <cell r="F179">
            <v>0</v>
          </cell>
          <cell r="I179">
            <v>0</v>
          </cell>
          <cell r="K179">
            <v>0</v>
          </cell>
          <cell r="M179" t="str">
            <v>Hide</v>
          </cell>
        </row>
        <row r="180">
          <cell r="D180" t="str">
            <v xml:space="preserve">N/A      </v>
          </cell>
          <cell r="F180">
            <v>1.1989243250955244E-3</v>
          </cell>
          <cell r="I180" t="str">
            <v xml:space="preserve">N/A      </v>
          </cell>
          <cell r="K180">
            <v>2.3978486501910487E-3</v>
          </cell>
          <cell r="M180" t="str">
            <v>Hide</v>
          </cell>
        </row>
        <row r="181">
          <cell r="D181" t="str">
            <v xml:space="preserve">N/A      </v>
          </cell>
          <cell r="F181">
            <v>1.1989243250955244E-3</v>
          </cell>
          <cell r="I181" t="str">
            <v xml:space="preserve">N/A      </v>
          </cell>
          <cell r="K181">
            <v>2.3978486501910487E-3</v>
          </cell>
          <cell r="M181" t="str">
            <v>Hide</v>
          </cell>
        </row>
        <row r="182">
          <cell r="D182" t="str">
            <v xml:space="preserve">N/A      </v>
          </cell>
          <cell r="F182">
            <v>1.1989243250955244E-3</v>
          </cell>
          <cell r="I182" t="str">
            <v xml:space="preserve">N/A      </v>
          </cell>
          <cell r="K182">
            <v>2.3978486501910487E-3</v>
          </cell>
          <cell r="M182" t="str">
            <v>Hide</v>
          </cell>
        </row>
        <row r="183">
          <cell r="D183" t="str">
            <v xml:space="preserve">N/A      </v>
          </cell>
          <cell r="F183" t="str">
            <v xml:space="preserve">N/A  </v>
          </cell>
          <cell r="I183" t="str">
            <v xml:space="preserve">N/A      </v>
          </cell>
          <cell r="K183" t="str">
            <v xml:space="preserve">N/A  </v>
          </cell>
          <cell r="M183" t="str">
            <v>Hide</v>
          </cell>
        </row>
        <row r="184">
          <cell r="D184" t="str">
            <v xml:space="preserve">N/A      </v>
          </cell>
          <cell r="F184">
            <v>0.27</v>
          </cell>
          <cell r="I184" t="str">
            <v xml:space="preserve">N/A      </v>
          </cell>
          <cell r="K184">
            <v>4.5</v>
          </cell>
          <cell r="M184" t="str">
            <v>Hide</v>
          </cell>
        </row>
        <row r="185">
          <cell r="D185" t="str">
            <v xml:space="preserve">N/A      </v>
          </cell>
          <cell r="F185">
            <v>0</v>
          </cell>
          <cell r="I185" t="str">
            <v xml:space="preserve">N/A      </v>
          </cell>
          <cell r="K185">
            <v>1.3</v>
          </cell>
          <cell r="M185" t="str">
            <v>Hide</v>
          </cell>
        </row>
        <row r="186">
          <cell r="D186">
            <v>702</v>
          </cell>
          <cell r="F186">
            <v>0.15</v>
          </cell>
          <cell r="I186">
            <v>2791.1519999999996</v>
          </cell>
          <cell r="K186">
            <v>0.59639999999999993</v>
          </cell>
        </row>
        <row r="190">
          <cell r="D190" t="str">
            <v xml:space="preserve">Total      </v>
          </cell>
          <cell r="F190" t="str">
            <v xml:space="preserve">$/SF   </v>
          </cell>
          <cell r="I190" t="str">
            <v xml:space="preserve">Total      </v>
          </cell>
          <cell r="K190" t="str">
            <v>% Change</v>
          </cell>
        </row>
        <row r="191">
          <cell r="D191">
            <v>358295</v>
          </cell>
          <cell r="F191">
            <v>76.558760683760681</v>
          </cell>
          <cell r="I191">
            <v>358295</v>
          </cell>
          <cell r="K191" t="str">
            <v xml:space="preserve">---   </v>
          </cell>
          <cell r="M191" t="str">
            <v>Hide</v>
          </cell>
        </row>
        <row r="192">
          <cell r="D192">
            <v>367810</v>
          </cell>
          <cell r="F192">
            <v>78.591880341880341</v>
          </cell>
          <cell r="I192">
            <v>367810</v>
          </cell>
          <cell r="K192" t="str">
            <v xml:space="preserve">---   </v>
          </cell>
          <cell r="M192" t="str">
            <v>Hide</v>
          </cell>
        </row>
        <row r="193">
          <cell r="D193">
            <v>385917</v>
          </cell>
          <cell r="F193">
            <v>82.460897435897436</v>
          </cell>
          <cell r="I193">
            <v>385917</v>
          </cell>
          <cell r="K193" t="str">
            <v xml:space="preserve">---   </v>
          </cell>
          <cell r="M193" t="str">
            <v>Hide</v>
          </cell>
        </row>
        <row r="194">
          <cell r="D194">
            <v>416189</v>
          </cell>
          <cell r="F194">
            <v>88.92927350427351</v>
          </cell>
          <cell r="I194">
            <v>416189</v>
          </cell>
          <cell r="K194" t="str">
            <v xml:space="preserve">---   </v>
          </cell>
          <cell r="M194" t="str">
            <v>Hide</v>
          </cell>
        </row>
        <row r="195">
          <cell r="D195">
            <v>66847.247999999992</v>
          </cell>
          <cell r="F195">
            <v>14.283599999999998</v>
          </cell>
          <cell r="I195">
            <v>69638.399999999994</v>
          </cell>
          <cell r="K195">
            <v>-0.83267601978908612</v>
          </cell>
        </row>
        <row r="199">
          <cell r="F199" t="str">
            <v xml:space="preserve">% PGI   </v>
          </cell>
          <cell r="I199" t="str">
            <v xml:space="preserve">Total      </v>
          </cell>
          <cell r="K199" t="str">
            <v>% Change</v>
          </cell>
        </row>
        <row r="200">
          <cell r="F200">
            <v>1.4999999999999999E-2</v>
          </cell>
          <cell r="I200">
            <v>579765.37216828484</v>
          </cell>
          <cell r="K200" t="str">
            <v xml:space="preserve">---   </v>
          </cell>
          <cell r="M200" t="str">
            <v>Hide</v>
          </cell>
        </row>
        <row r="201">
          <cell r="F201">
            <v>1.4E-2</v>
          </cell>
          <cell r="I201">
            <v>529223.02158273384</v>
          </cell>
          <cell r="K201" t="str">
            <v xml:space="preserve">---   </v>
          </cell>
          <cell r="M201" t="str">
            <v>Hide</v>
          </cell>
        </row>
        <row r="202">
          <cell r="F202">
            <v>1.2999999999999999E-2</v>
          </cell>
          <cell r="I202">
            <v>586500</v>
          </cell>
          <cell r="K202" t="str">
            <v xml:space="preserve">---   </v>
          </cell>
          <cell r="M202" t="str">
            <v>Hide</v>
          </cell>
        </row>
        <row r="203">
          <cell r="F203">
            <v>1.2E-2</v>
          </cell>
          <cell r="I203">
            <v>608463.45029239764</v>
          </cell>
          <cell r="K203" t="str">
            <v xml:space="preserve">---   </v>
          </cell>
          <cell r="M203" t="str">
            <v>Hide</v>
          </cell>
        </row>
        <row r="204">
          <cell r="F204">
            <v>0</v>
          </cell>
          <cell r="I204">
            <v>74880</v>
          </cell>
          <cell r="K204">
            <v>-0.87693591132874726</v>
          </cell>
        </row>
        <row r="208">
          <cell r="F208" t="str">
            <v xml:space="preserve">% PGI   </v>
          </cell>
          <cell r="I208" t="str">
            <v xml:space="preserve">Total      </v>
          </cell>
          <cell r="K208" t="str">
            <v>% Change</v>
          </cell>
        </row>
        <row r="209">
          <cell r="F209">
            <v>0.38200000000000001</v>
          </cell>
          <cell r="I209">
            <v>0</v>
          </cell>
          <cell r="K209" t="str">
            <v xml:space="preserve">---   </v>
          </cell>
          <cell r="M209" t="str">
            <v>Hide</v>
          </cell>
        </row>
        <row r="210">
          <cell r="F210">
            <v>0.30500000000000005</v>
          </cell>
          <cell r="I210">
            <v>0</v>
          </cell>
          <cell r="K210" t="str">
            <v xml:space="preserve">---   </v>
          </cell>
          <cell r="M210" t="str">
            <v>Hide</v>
          </cell>
        </row>
        <row r="211">
          <cell r="F211">
            <v>0.34199999999999997</v>
          </cell>
          <cell r="I211">
            <v>0</v>
          </cell>
          <cell r="K211" t="str">
            <v xml:space="preserve">---   </v>
          </cell>
          <cell r="M211" t="str">
            <v>Hide</v>
          </cell>
        </row>
        <row r="212">
          <cell r="F212">
            <v>0.31599999999999995</v>
          </cell>
          <cell r="I212">
            <v>0</v>
          </cell>
          <cell r="K212" t="str">
            <v xml:space="preserve">---   </v>
          </cell>
          <cell r="M212" t="str">
            <v>Hide</v>
          </cell>
        </row>
        <row r="213">
          <cell r="F213">
            <v>0</v>
          </cell>
          <cell r="K213" t="str">
            <v xml:space="preserve">---   </v>
          </cell>
        </row>
        <row r="214">
          <cell r="F214">
            <v>7.0000000000000007E-2</v>
          </cell>
          <cell r="I214">
            <v>0</v>
          </cell>
          <cell r="K214" t="e">
            <v>#DIV/0!</v>
          </cell>
        </row>
        <row r="216">
          <cell r="M216" t="str">
            <v>Stop</v>
          </cell>
        </row>
      </sheetData>
      <sheetData sheetId="70" refreshError="1"/>
      <sheetData sheetId="71" refreshError="1">
        <row r="2">
          <cell r="K2">
            <v>1</v>
          </cell>
          <cell r="L2" t="str">
            <v>$/SF/Mo</v>
          </cell>
          <cell r="M2">
            <v>56160</v>
          </cell>
        </row>
        <row r="3">
          <cell r="K3">
            <v>2</v>
          </cell>
          <cell r="L3" t="str">
            <v>$/SF/Yr</v>
          </cell>
          <cell r="M3">
            <v>4680</v>
          </cell>
        </row>
        <row r="4">
          <cell r="K4">
            <v>3</v>
          </cell>
          <cell r="L4" t="str">
            <v>$/Unit/Mo</v>
          </cell>
          <cell r="M4">
            <v>12</v>
          </cell>
        </row>
        <row r="5">
          <cell r="K5">
            <v>4</v>
          </cell>
          <cell r="L5" t="str">
            <v>$/Unit/Yr</v>
          </cell>
          <cell r="M5" t="str">
            <v>1</v>
          </cell>
        </row>
        <row r="6">
          <cell r="D6" t="str">
            <v>Potential Rental Income</v>
          </cell>
          <cell r="F6">
            <v>62.4</v>
          </cell>
          <cell r="G6">
            <v>16</v>
          </cell>
          <cell r="H6">
            <v>74880</v>
          </cell>
          <cell r="K6">
            <v>2</v>
          </cell>
        </row>
        <row r="7">
          <cell r="D7" t="str">
            <v>Loss to Lease</v>
          </cell>
          <cell r="E7">
            <v>1.4999999999999999E-2</v>
          </cell>
          <cell r="F7">
            <v>0</v>
          </cell>
          <cell r="G7">
            <v>0</v>
          </cell>
          <cell r="H7">
            <v>0</v>
          </cell>
        </row>
        <row r="8">
          <cell r="D8" t="str">
            <v>Concessions</v>
          </cell>
          <cell r="E8">
            <v>0.02</v>
          </cell>
          <cell r="F8">
            <v>0</v>
          </cell>
          <cell r="G8">
            <v>0</v>
          </cell>
          <cell r="H8">
            <v>0</v>
          </cell>
        </row>
        <row r="9">
          <cell r="D9" t="str">
            <v>Adjusted Rental Income</v>
          </cell>
          <cell r="F9">
            <v>0</v>
          </cell>
          <cell r="G9">
            <v>0</v>
          </cell>
          <cell r="H9">
            <v>0</v>
          </cell>
        </row>
        <row r="10">
          <cell r="D10"/>
          <cell r="F10">
            <v>0</v>
          </cell>
          <cell r="G10">
            <v>0</v>
          </cell>
          <cell r="H10">
            <v>0</v>
          </cell>
        </row>
        <row r="11">
          <cell r="D11"/>
          <cell r="F11">
            <v>0</v>
          </cell>
          <cell r="G11">
            <v>0</v>
          </cell>
          <cell r="H11">
            <v>0</v>
          </cell>
        </row>
        <row r="12">
          <cell r="D12" t="str">
            <v>Credit Loss</v>
          </cell>
          <cell r="E12">
            <v>0</v>
          </cell>
          <cell r="F12">
            <v>0</v>
          </cell>
          <cell r="G12">
            <v>0</v>
          </cell>
          <cell r="H12">
            <v>0</v>
          </cell>
        </row>
        <row r="13">
          <cell r="D13" t="str">
            <v>Vacancy</v>
          </cell>
          <cell r="E13">
            <v>7.0000000000000007E-2</v>
          </cell>
          <cell r="F13">
            <v>-4.3680000000000003</v>
          </cell>
          <cell r="G13">
            <v>-1.1200000000000001</v>
          </cell>
          <cell r="H13">
            <v>-5241.6000000000004</v>
          </cell>
        </row>
        <row r="14">
          <cell r="D14" t="str">
            <v>Net Rental Income</v>
          </cell>
          <cell r="F14">
            <v>58.031999999999989</v>
          </cell>
          <cell r="G14">
            <v>14.879999999999999</v>
          </cell>
          <cell r="H14">
            <v>69638.399999999994</v>
          </cell>
        </row>
        <row r="16">
          <cell r="D16"/>
          <cell r="F16">
            <v>0</v>
          </cell>
          <cell r="G16">
            <v>0</v>
          </cell>
          <cell r="H16">
            <v>0</v>
          </cell>
        </row>
        <row r="17">
          <cell r="D17"/>
          <cell r="F17">
            <v>0</v>
          </cell>
          <cell r="G17">
            <v>0</v>
          </cell>
          <cell r="H17">
            <v>0</v>
          </cell>
        </row>
        <row r="18">
          <cell r="D18"/>
          <cell r="F18">
            <v>0</v>
          </cell>
          <cell r="G18">
            <v>0</v>
          </cell>
          <cell r="H18">
            <v>0</v>
          </cell>
        </row>
        <row r="19">
          <cell r="D19"/>
          <cell r="E19">
            <v>0</v>
          </cell>
          <cell r="F19">
            <v>0</v>
          </cell>
          <cell r="G19">
            <v>0</v>
          </cell>
          <cell r="H19">
            <v>0</v>
          </cell>
        </row>
        <row r="20">
          <cell r="D20"/>
          <cell r="F20">
            <v>0</v>
          </cell>
          <cell r="G20">
            <v>0</v>
          </cell>
          <cell r="H20">
            <v>0</v>
          </cell>
        </row>
        <row r="21">
          <cell r="D21" t="str">
            <v>Vacancy &amp; Credit Loss</v>
          </cell>
          <cell r="E21">
            <v>0</v>
          </cell>
          <cell r="F21">
            <v>0</v>
          </cell>
          <cell r="G21">
            <v>0</v>
          </cell>
          <cell r="H21">
            <v>0</v>
          </cell>
        </row>
        <row r="22">
          <cell r="D22" t="str">
            <v>Effective Gross Income</v>
          </cell>
          <cell r="F22">
            <v>58.031999999999989</v>
          </cell>
          <cell r="G22">
            <v>14.879999999999999</v>
          </cell>
          <cell r="H22">
            <v>69638.399999999994</v>
          </cell>
        </row>
        <row r="24">
          <cell r="D24" t="str">
            <v>Expenses</v>
          </cell>
        </row>
        <row r="25">
          <cell r="D25"/>
          <cell r="G25">
            <v>33.731089743589742</v>
          </cell>
          <cell r="H25">
            <v>0</v>
          </cell>
        </row>
        <row r="26">
          <cell r="D26"/>
          <cell r="G26">
            <v>0.05</v>
          </cell>
          <cell r="H26">
            <v>0</v>
          </cell>
        </row>
        <row r="27">
          <cell r="D27"/>
          <cell r="G27">
            <v>0.1</v>
          </cell>
          <cell r="H27">
            <v>0</v>
          </cell>
        </row>
        <row r="28">
          <cell r="D28"/>
          <cell r="G28">
            <v>0.8</v>
          </cell>
          <cell r="H28">
            <v>0</v>
          </cell>
        </row>
        <row r="29">
          <cell r="D29"/>
          <cell r="G29">
            <v>0.3</v>
          </cell>
          <cell r="H29">
            <v>0</v>
          </cell>
        </row>
        <row r="30">
          <cell r="D30"/>
          <cell r="G30">
            <v>0.35</v>
          </cell>
          <cell r="H30">
            <v>0</v>
          </cell>
        </row>
        <row r="31">
          <cell r="D31"/>
          <cell r="G31">
            <v>1</v>
          </cell>
          <cell r="H31">
            <v>0</v>
          </cell>
        </row>
        <row r="32">
          <cell r="D32"/>
          <cell r="G32">
            <v>0</v>
          </cell>
          <cell r="H32">
            <v>0</v>
          </cell>
        </row>
        <row r="33">
          <cell r="D33"/>
          <cell r="G33">
            <v>0</v>
          </cell>
          <cell r="H33">
            <v>0</v>
          </cell>
        </row>
        <row r="34">
          <cell r="D34"/>
          <cell r="G34">
            <v>0.2</v>
          </cell>
          <cell r="H34">
            <v>0</v>
          </cell>
        </row>
        <row r="35">
          <cell r="D35"/>
          <cell r="G35">
            <v>0.1</v>
          </cell>
          <cell r="H35">
            <v>0</v>
          </cell>
        </row>
        <row r="36">
          <cell r="D36"/>
          <cell r="G36">
            <v>0</v>
          </cell>
          <cell r="H36">
            <v>0</v>
          </cell>
        </row>
        <row r="37">
          <cell r="D37" t="str">
            <v>Management Fee</v>
          </cell>
          <cell r="E37">
            <v>0.03</v>
          </cell>
          <cell r="G37">
            <v>0.44639999999999991</v>
          </cell>
          <cell r="H37">
            <v>2089.1519999999996</v>
          </cell>
        </row>
        <row r="38">
          <cell r="D38"/>
          <cell r="G38">
            <v>0</v>
          </cell>
          <cell r="H38">
            <v>0</v>
          </cell>
        </row>
        <row r="39">
          <cell r="D39"/>
          <cell r="G39">
            <v>0</v>
          </cell>
          <cell r="H39">
            <v>0</v>
          </cell>
        </row>
        <row r="40">
          <cell r="D40"/>
          <cell r="G40">
            <v>0</v>
          </cell>
          <cell r="H40">
            <v>0</v>
          </cell>
        </row>
        <row r="41">
          <cell r="D41"/>
          <cell r="G41">
            <v>0</v>
          </cell>
          <cell r="H41">
            <v>0</v>
          </cell>
        </row>
        <row r="42">
          <cell r="D42"/>
          <cell r="G42">
            <v>0</v>
          </cell>
          <cell r="H42">
            <v>0</v>
          </cell>
        </row>
        <row r="43">
          <cell r="D43"/>
          <cell r="G43">
            <v>0</v>
          </cell>
          <cell r="H43">
            <v>0</v>
          </cell>
        </row>
        <row r="44">
          <cell r="D44" t="str">
            <v>Reserves for Replacement</v>
          </cell>
          <cell r="G44">
            <v>0.15</v>
          </cell>
          <cell r="H44">
            <v>702</v>
          </cell>
        </row>
        <row r="45">
          <cell r="D45" t="str">
            <v>Operating Expenses</v>
          </cell>
          <cell r="G45">
            <v>0.59639999999999993</v>
          </cell>
          <cell r="H45">
            <v>2791.1519999999996</v>
          </cell>
        </row>
        <row r="46">
          <cell r="D46" t="str">
            <v>Operating Expense Ratio</v>
          </cell>
          <cell r="H46">
            <v>4.0080645161290319E-2</v>
          </cell>
        </row>
        <row r="47">
          <cell r="D47" t="str">
            <v>Net Operating Income</v>
          </cell>
          <cell r="G47">
            <v>14.283599999999998</v>
          </cell>
          <cell r="H47">
            <v>66847.247999999992</v>
          </cell>
        </row>
        <row r="48">
          <cell r="H48">
            <v>7.4999999999999997E-2</v>
          </cell>
        </row>
        <row r="54">
          <cell r="H54">
            <v>1080000</v>
          </cell>
        </row>
      </sheetData>
      <sheetData sheetId="72" refreshError="1"/>
      <sheetData sheetId="73" refreshError="1"/>
      <sheetData sheetId="74" refreshError="1">
        <row r="46">
          <cell r="D46">
            <v>0.125</v>
          </cell>
        </row>
        <row r="47">
          <cell r="D47">
            <v>8.4999999999999992E-2</v>
          </cell>
        </row>
      </sheetData>
      <sheetData sheetId="75" refreshError="1">
        <row r="99">
          <cell r="AB99">
            <v>7710000</v>
          </cell>
        </row>
      </sheetData>
      <sheetData sheetId="76" refreshError="1"/>
      <sheetData sheetId="77"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Navigation"/>
      <sheetName val="Menu"/>
      <sheetName val="OptionsProperty"/>
      <sheetName val="Addenda"/>
      <sheetName val="MethodAssump"/>
      <sheetName val="ExtraordinaryHypothetical"/>
      <sheetName val="Assignment"/>
      <sheetName val="CompanyAddressList"/>
      <sheetName val="Certification_OLD"/>
      <sheetName val="Certification"/>
      <sheetName val="CertificationsOptions"/>
      <sheetName val="Valuation Scenarios"/>
      <sheetName val="Value Indications"/>
      <sheetName val="Lists"/>
      <sheetName val="Risk Summary"/>
      <sheetName val="Property History"/>
      <sheetName val="Scope Info"/>
      <sheetName val="H&amp;BU"/>
      <sheetName val="OptionsProperty_Old"/>
      <sheetName val="MapOptions"/>
      <sheetName val="Site Information"/>
      <sheetName val="Improvement Description"/>
      <sheetName val="Zoning"/>
      <sheetName val="Taxes"/>
      <sheetName val="TaxComps"/>
      <sheetName val="Neighborhood"/>
      <sheetName val="LSaleData"/>
      <sheetName val="LSales"/>
      <sheetName val="LSaleAdj"/>
      <sheetName val="LSaleAdj_Macro"/>
      <sheetName val="LSaleNarr"/>
      <sheetName val="CostDataSec99"/>
      <sheetName val="CostDataSec13"/>
      <sheetName val="CostDataSec14"/>
      <sheetName val="CostDataSec15"/>
      <sheetName val="OptionsCost"/>
      <sheetName val="Cost"/>
      <sheetName val="CostInsur"/>
      <sheetName val="ISaleData"/>
      <sheetName val="ISales"/>
      <sheetName val="RentRoll_Old"/>
      <sheetName val="ISaleAdj"/>
      <sheetName val="ISaleAdj_Macro"/>
      <sheetName val="ISaleTbls"/>
      <sheetName val="AdjustmentDetail"/>
      <sheetName val="ISaleNarr"/>
      <sheetName val="RentRoll"/>
      <sheetName val="RentRoll_Macro"/>
      <sheetName val="RentRollTbls"/>
      <sheetName val="RentCompData"/>
      <sheetName val="LeaseAbstracts"/>
      <sheetName val="LeaseComps"/>
      <sheetName val="StdLeaseAdj"/>
      <sheetName val="StdLeaseAdj_Macro"/>
      <sheetName val="MarketRentConclusions"/>
      <sheetName val="STMarketRentConclusions"/>
      <sheetName val="OpActuals"/>
      <sheetName val="OpSummary"/>
      <sheetName val="ExpCompData"/>
      <sheetName val="SummaryExpenseTbl"/>
      <sheetName val="Recoveries"/>
      <sheetName val="LeaseDataRaw"/>
      <sheetName val="LeaseAdjDetail"/>
      <sheetName val="LeaseAdj"/>
      <sheetName val="MarketRentConcNarr"/>
      <sheetName val="ExpCompRawData"/>
      <sheetName val="CapRates"/>
      <sheetName val="ProForma"/>
      <sheetName val="OwnerUserExpProforma"/>
      <sheetName val="ExpCompIREM"/>
      <sheetName val="ExpCompIREMregional"/>
      <sheetName val="LeaseUpAdj"/>
      <sheetName val="PwC"/>
      <sheetName val="OpSummaryGSE"/>
      <sheetName val="ProformaGSE"/>
      <sheetName val="Evaluation"/>
      <sheetName val="Scratch"/>
      <sheetName val="Sheet1"/>
      <sheetName val="DiscountedCashFlow"/>
      <sheetName val="Sheet3"/>
      <sheetName val="Comp1"/>
      <sheetName val="Comp2"/>
      <sheetName val="Comp3"/>
      <sheetName val="Comp4"/>
      <sheetName val="Comp5"/>
      <sheetName val="Comp6"/>
      <sheetName val="Comp7"/>
      <sheetName val="Comp8"/>
      <sheetName val="Comp9"/>
      <sheetName val="Comp10"/>
      <sheetName val="Client Company"/>
      <sheetName val="Client Contact"/>
      <sheetName val="Job Info"/>
      <sheetName val="Our Company"/>
      <sheetName val="Job Property"/>
      <sheetName val="Property Comments"/>
      <sheetName val="Property Attributes"/>
      <sheetName val="Property Unit Mix"/>
      <sheetName val="Comparable Rental Picklists"/>
      <sheetName val="Comp. Rental Picklist Units"/>
      <sheetName val="Comparable Sale Picklists"/>
      <sheetName val="Comp. Land Sale Picklists"/>
      <sheetName val="Job Participants"/>
      <sheetName val="Job Participant Additional Info"/>
    </sheetNames>
    <sheetDataSet>
      <sheetData sheetId="0" refreshError="1"/>
      <sheetData sheetId="1" refreshError="1"/>
      <sheetData sheetId="2" refreshError="1">
        <row r="29">
          <cell r="A29" t="str">
            <v>N/A</v>
          </cell>
        </row>
        <row r="30">
          <cell r="A30" t="str">
            <v>A</v>
          </cell>
        </row>
        <row r="31">
          <cell r="A31" t="str">
            <v>AE</v>
          </cell>
        </row>
        <row r="32">
          <cell r="A32" t="str">
            <v>AH</v>
          </cell>
        </row>
        <row r="33">
          <cell r="A33" t="str">
            <v>AO</v>
          </cell>
        </row>
        <row r="34">
          <cell r="A34" t="str">
            <v>A99</v>
          </cell>
        </row>
        <row r="35">
          <cell r="A35" t="str">
            <v>B</v>
          </cell>
        </row>
        <row r="36">
          <cell r="A36" t="str">
            <v>C</v>
          </cell>
        </row>
        <row r="37">
          <cell r="A37" t="str">
            <v>D</v>
          </cell>
        </row>
        <row r="38">
          <cell r="A38" t="str">
            <v>V</v>
          </cell>
        </row>
        <row r="39">
          <cell r="A39" t="str">
            <v>VE</v>
          </cell>
        </row>
        <row r="40">
          <cell r="A40" t="str">
            <v>X</v>
          </cell>
        </row>
      </sheetData>
      <sheetData sheetId="3" refreshError="1"/>
      <sheetData sheetId="4" refreshError="1"/>
      <sheetData sheetId="5" refreshError="1"/>
      <sheetData sheetId="6" refreshError="1">
        <row r="30">
          <cell r="B30" t="str">
            <v>4900 Florence Street</v>
          </cell>
        </row>
        <row r="32">
          <cell r="B32" t="str">
            <v>4900 Florence Street</v>
          </cell>
        </row>
        <row r="33">
          <cell r="B33" t="str">
            <v>Denver</v>
          </cell>
        </row>
        <row r="35">
          <cell r="B35" t="str">
            <v>Colorado</v>
          </cell>
        </row>
      </sheetData>
      <sheetData sheetId="7" refreshError="1"/>
      <sheetData sheetId="8" refreshError="1"/>
      <sheetData sheetId="9" refreshError="1"/>
      <sheetData sheetId="10" refreshError="1">
        <row r="34">
          <cell r="G34" t="str">
            <v>Inferior</v>
          </cell>
        </row>
        <row r="35">
          <cell r="G35" t="str">
            <v>Similar</v>
          </cell>
        </row>
        <row r="36">
          <cell r="G36" t="str">
            <v>Superior</v>
          </cell>
        </row>
        <row r="37">
          <cell r="G37" t="str">
            <v>Excellent</v>
          </cell>
        </row>
        <row r="38">
          <cell r="G38" t="str">
            <v>Good/Excellent</v>
          </cell>
        </row>
        <row r="39">
          <cell r="G39" t="str">
            <v>Good</v>
          </cell>
        </row>
        <row r="40">
          <cell r="G40" t="str">
            <v>Average/Good</v>
          </cell>
        </row>
        <row r="41">
          <cell r="G41" t="str">
            <v>Average</v>
          </cell>
        </row>
        <row r="42">
          <cell r="G42" t="str">
            <v>Average/Fair</v>
          </cell>
        </row>
        <row r="43">
          <cell r="G43" t="str">
            <v>Fair</v>
          </cell>
        </row>
        <row r="44">
          <cell r="G44" t="str">
            <v>Fair/Poor</v>
          </cell>
        </row>
        <row r="45">
          <cell r="G45" t="str">
            <v>Poor</v>
          </cell>
        </row>
        <row r="46">
          <cell r="G46" t="str">
            <v>See Narrative</v>
          </cell>
        </row>
      </sheetData>
      <sheetData sheetId="11" refreshError="1">
        <row r="4">
          <cell r="B4" t="str">
            <v>As Is</v>
          </cell>
        </row>
        <row r="5">
          <cell r="B5">
            <v>43118</v>
          </cell>
        </row>
        <row r="7">
          <cell r="B7" t="str">
            <v>Leased Fee</v>
          </cell>
        </row>
        <row r="8">
          <cell r="B8" t="str">
            <v>As Is</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5">
          <cell r="B5">
            <v>152896</v>
          </cell>
        </row>
        <row r="6">
          <cell r="B6">
            <v>3.5100091827364555</v>
          </cell>
        </row>
      </sheetData>
      <sheetData sheetId="21" refreshError="1">
        <row r="5">
          <cell r="B5">
            <v>2000</v>
          </cell>
        </row>
        <row r="11">
          <cell r="B11" t="str">
            <v>28,147</v>
          </cell>
        </row>
        <row r="12">
          <cell r="B12">
            <v>28147</v>
          </cell>
        </row>
        <row r="16">
          <cell r="B16">
            <v>1</v>
          </cell>
        </row>
        <row r="26">
          <cell r="B26">
            <v>5.43</v>
          </cell>
        </row>
        <row r="27">
          <cell r="B27">
            <v>0.12</v>
          </cell>
        </row>
        <row r="28">
          <cell r="B28" t="str">
            <v>30'</v>
          </cell>
        </row>
        <row r="39">
          <cell r="B39">
            <v>33</v>
          </cell>
        </row>
      </sheetData>
      <sheetData sheetId="22" refreshError="1"/>
      <sheetData sheetId="23" refreshError="1"/>
      <sheetData sheetId="24" refreshError="1"/>
      <sheetData sheetId="25" refreshError="1"/>
      <sheetData sheetId="26" refreshError="1"/>
      <sheetData sheetId="27" refreshError="1"/>
      <sheetData sheetId="28" refreshError="1">
        <row r="48">
          <cell r="E48">
            <v>750000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row r="44">
          <cell r="F44">
            <v>0</v>
          </cell>
        </row>
      </sheetData>
      <sheetData sheetId="37" refreshError="1"/>
      <sheetData sheetId="38" refreshError="1">
        <row r="2">
          <cell r="A2">
            <v>1</v>
          </cell>
          <cell r="B2">
            <v>0</v>
          </cell>
          <cell r="C2">
            <v>0</v>
          </cell>
          <cell r="D2">
            <v>0</v>
          </cell>
          <cell r="E2">
            <v>0</v>
          </cell>
          <cell r="F2">
            <v>0</v>
          </cell>
          <cell r="G2">
            <v>0</v>
          </cell>
          <cell r="H2">
            <v>0</v>
          </cell>
          <cell r="I2">
            <v>0</v>
          </cell>
          <cell r="J2">
            <v>0</v>
          </cell>
          <cell r="K2">
            <v>0</v>
          </cell>
          <cell r="L2">
            <v>0</v>
          </cell>
          <cell r="M2">
            <v>1987</v>
          </cell>
          <cell r="N2">
            <v>0.1</v>
          </cell>
          <cell r="O2">
            <v>0.1</v>
          </cell>
          <cell r="P2" t="str">
            <v>15</v>
          </cell>
          <cell r="Q2" t="str">
            <v>Yes</v>
          </cell>
          <cell r="R2">
            <v>0</v>
          </cell>
          <cell r="S2">
            <v>0</v>
          </cell>
          <cell r="T2">
            <v>0</v>
          </cell>
          <cell r="U2">
            <v>0</v>
          </cell>
          <cell r="V2">
            <v>0</v>
          </cell>
          <cell r="W2">
            <v>0</v>
          </cell>
          <cell r="X2">
            <v>0</v>
          </cell>
          <cell r="Y2">
            <v>0</v>
          </cell>
          <cell r="Z2"/>
          <cell r="AA2"/>
          <cell r="AB2"/>
          <cell r="AC2" t="str">
            <v>—</v>
          </cell>
          <cell r="AD2" t="str">
            <v>—</v>
          </cell>
          <cell r="AE2">
            <v>0</v>
          </cell>
          <cell r="AF2" t="e">
            <v>#VALUE!</v>
          </cell>
          <cell r="AG2" t="e">
            <v>#DIV/0!</v>
          </cell>
          <cell r="AH2" t="str">
            <v>—</v>
          </cell>
        </row>
        <row r="3">
          <cell r="A3">
            <v>2</v>
          </cell>
          <cell r="B3" t="e">
            <v>#REF!</v>
          </cell>
          <cell r="C3" t="e">
            <v>#REF!</v>
          </cell>
          <cell r="D3" t="e">
            <v>#REF!</v>
          </cell>
          <cell r="E3" t="e">
            <v>#REF!</v>
          </cell>
          <cell r="F3" t="e">
            <v>#REF!</v>
          </cell>
          <cell r="G3" t="e">
            <v>#REF!</v>
          </cell>
          <cell r="H3" t="e">
            <v>#REF!</v>
          </cell>
          <cell r="I3" t="e">
            <v>#REF!</v>
          </cell>
          <cell r="J3" t="e">
            <v>#REF!</v>
          </cell>
          <cell r="K3" t="e">
            <v>#REF!</v>
          </cell>
          <cell r="L3" t="e">
            <v>#REF!</v>
          </cell>
          <cell r="M3" t="e">
            <v>#REF!</v>
          </cell>
          <cell r="N3">
            <v>0.1</v>
          </cell>
          <cell r="O3">
            <v>0.1</v>
          </cell>
          <cell r="P3" t="str">
            <v>15</v>
          </cell>
          <cell r="Q3" t="str">
            <v>Yes</v>
          </cell>
          <cell r="R3" t="e">
            <v>#REF!</v>
          </cell>
          <cell r="S3" t="e">
            <v>#REF!</v>
          </cell>
          <cell r="T3" t="e">
            <v>#REF!</v>
          </cell>
          <cell r="U3" t="e">
            <v>#REF!</v>
          </cell>
          <cell r="V3" t="e">
            <v>#REF!</v>
          </cell>
          <cell r="W3" t="e">
            <v>#REF!</v>
          </cell>
          <cell r="X3" t="e">
            <v>#REF!</v>
          </cell>
          <cell r="Y3"/>
          <cell r="Z3"/>
          <cell r="AA3"/>
          <cell r="AB3"/>
          <cell r="AC3" t="str">
            <v>—</v>
          </cell>
          <cell r="AD3" t="str">
            <v>—</v>
          </cell>
          <cell r="AE3" t="e">
            <v>#REF!</v>
          </cell>
          <cell r="AF3" t="e">
            <v>#VALUE!</v>
          </cell>
          <cell r="AG3" t="e">
            <v>#REF!</v>
          </cell>
          <cell r="AH3" t="str">
            <v>—</v>
          </cell>
        </row>
        <row r="4">
          <cell r="A4">
            <v>3</v>
          </cell>
          <cell r="B4" t="e">
            <v>#REF!</v>
          </cell>
          <cell r="C4" t="e">
            <v>#REF!</v>
          </cell>
          <cell r="D4" t="e">
            <v>#REF!</v>
          </cell>
          <cell r="E4" t="e">
            <v>#REF!</v>
          </cell>
          <cell r="F4" t="e">
            <v>#REF!</v>
          </cell>
          <cell r="G4" t="e">
            <v>#REF!</v>
          </cell>
          <cell r="H4" t="e">
            <v>#REF!</v>
          </cell>
          <cell r="I4" t="e">
            <v>#REF!</v>
          </cell>
          <cell r="J4" t="e">
            <v>#REF!</v>
          </cell>
          <cell r="K4" t="e">
            <v>#REF!</v>
          </cell>
          <cell r="L4" t="e">
            <v>#REF!</v>
          </cell>
          <cell r="M4" t="e">
            <v>#REF!</v>
          </cell>
          <cell r="N4">
            <v>0.1</v>
          </cell>
          <cell r="O4">
            <v>0.1</v>
          </cell>
          <cell r="P4" t="str">
            <v>15</v>
          </cell>
          <cell r="Q4" t="str">
            <v>Yes</v>
          </cell>
          <cell r="R4" t="e">
            <v>#REF!</v>
          </cell>
          <cell r="S4" t="e">
            <v>#REF!</v>
          </cell>
          <cell r="T4">
            <v>0.92</v>
          </cell>
          <cell r="U4" t="e">
            <v>#REF!</v>
          </cell>
          <cell r="V4" t="e">
            <v>#REF!</v>
          </cell>
          <cell r="W4" t="e">
            <v>#REF!</v>
          </cell>
          <cell r="X4" t="e">
            <v>#REF!</v>
          </cell>
          <cell r="Y4"/>
          <cell r="Z4"/>
          <cell r="AA4"/>
          <cell r="AB4"/>
          <cell r="AC4" t="str">
            <v>—</v>
          </cell>
          <cell r="AD4" t="str">
            <v>—</v>
          </cell>
          <cell r="AE4" t="e">
            <v>#REF!</v>
          </cell>
          <cell r="AF4" t="e">
            <v>#VALUE!</v>
          </cell>
          <cell r="AG4" t="e">
            <v>#REF!</v>
          </cell>
          <cell r="AH4" t="str">
            <v>—</v>
          </cell>
        </row>
        <row r="5">
          <cell r="A5">
            <v>4</v>
          </cell>
          <cell r="B5" t="e">
            <v>#REF!</v>
          </cell>
          <cell r="C5" t="e">
            <v>#REF!</v>
          </cell>
          <cell r="D5" t="e">
            <v>#REF!</v>
          </cell>
          <cell r="E5" t="e">
            <v>#REF!</v>
          </cell>
          <cell r="F5" t="e">
            <v>#REF!</v>
          </cell>
          <cell r="G5" t="e">
            <v>#REF!</v>
          </cell>
          <cell r="H5" t="e">
            <v>#REF!</v>
          </cell>
          <cell r="I5" t="e">
            <v>#REF!</v>
          </cell>
          <cell r="J5" t="e">
            <v>#REF!</v>
          </cell>
          <cell r="K5" t="e">
            <v>#REF!</v>
          </cell>
          <cell r="L5" t="e">
            <v>#REF!</v>
          </cell>
          <cell r="M5" t="e">
            <v>#REF!</v>
          </cell>
          <cell r="N5">
            <v>0.1</v>
          </cell>
          <cell r="O5">
            <v>0.1</v>
          </cell>
          <cell r="P5" t="str">
            <v>15</v>
          </cell>
          <cell r="Q5" t="str">
            <v>Yes</v>
          </cell>
          <cell r="R5" t="e">
            <v>#REF!</v>
          </cell>
          <cell r="S5" t="e">
            <v>#REF!</v>
          </cell>
          <cell r="T5" t="e">
            <v>#REF!</v>
          </cell>
          <cell r="U5" t="e">
            <v>#REF!</v>
          </cell>
          <cell r="V5" t="e">
            <v>#REF!</v>
          </cell>
          <cell r="W5" t="e">
            <v>#REF!</v>
          </cell>
          <cell r="X5" t="e">
            <v>#REF!</v>
          </cell>
          <cell r="Y5"/>
          <cell r="Z5"/>
          <cell r="AA5"/>
          <cell r="AB5"/>
          <cell r="AC5" t="str">
            <v>—</v>
          </cell>
          <cell r="AD5" t="str">
            <v>—</v>
          </cell>
          <cell r="AE5" t="e">
            <v>#REF!</v>
          </cell>
          <cell r="AF5" t="e">
            <v>#VALUE!</v>
          </cell>
          <cell r="AG5" t="e">
            <v>#REF!</v>
          </cell>
          <cell r="AH5" t="str">
            <v>—</v>
          </cell>
        </row>
        <row r="6">
          <cell r="A6">
            <v>5</v>
          </cell>
          <cell r="B6" t="e">
            <v>#REF!</v>
          </cell>
          <cell r="C6" t="e">
            <v>#REF!</v>
          </cell>
          <cell r="D6" t="e">
            <v>#REF!</v>
          </cell>
          <cell r="E6" t="e">
            <v>#REF!</v>
          </cell>
          <cell r="F6" t="e">
            <v>#REF!</v>
          </cell>
          <cell r="G6" t="e">
            <v>#REF!</v>
          </cell>
          <cell r="H6" t="e">
            <v>#REF!</v>
          </cell>
          <cell r="I6" t="e">
            <v>#REF!</v>
          </cell>
          <cell r="J6" t="e">
            <v>#REF!</v>
          </cell>
          <cell r="K6" t="e">
            <v>#REF!</v>
          </cell>
          <cell r="L6" t="e">
            <v>#REF!</v>
          </cell>
          <cell r="M6" t="e">
            <v>#REF!</v>
          </cell>
          <cell r="N6">
            <v>0.1</v>
          </cell>
          <cell r="O6">
            <v>0.1</v>
          </cell>
          <cell r="P6" t="str">
            <v>15</v>
          </cell>
          <cell r="Q6" t="str">
            <v>Yes</v>
          </cell>
          <cell r="R6" t="e">
            <v>#REF!</v>
          </cell>
          <cell r="S6" t="e">
            <v>#REF!</v>
          </cell>
          <cell r="T6" t="e">
            <v>#REF!</v>
          </cell>
          <cell r="U6" t="e">
            <v>#REF!</v>
          </cell>
          <cell r="V6" t="e">
            <v>#REF!</v>
          </cell>
          <cell r="W6" t="e">
            <v>#REF!</v>
          </cell>
          <cell r="X6" t="e">
            <v>#REF!</v>
          </cell>
          <cell r="Y6"/>
          <cell r="Z6"/>
          <cell r="AA6"/>
          <cell r="AB6"/>
          <cell r="AC6" t="str">
            <v>—</v>
          </cell>
          <cell r="AD6" t="str">
            <v>—</v>
          </cell>
          <cell r="AE6" t="e">
            <v>#REF!</v>
          </cell>
          <cell r="AF6" t="e">
            <v>#VALUE!</v>
          </cell>
          <cell r="AG6" t="e">
            <v>#REF!</v>
          </cell>
          <cell r="AH6" t="str">
            <v>—</v>
          </cell>
        </row>
        <row r="7">
          <cell r="A7">
            <v>6</v>
          </cell>
          <cell r="B7" t="e">
            <v>#REF!</v>
          </cell>
          <cell r="C7" t="e">
            <v>#REF!</v>
          </cell>
          <cell r="D7" t="e">
            <v>#REF!</v>
          </cell>
          <cell r="E7" t="e">
            <v>#REF!</v>
          </cell>
          <cell r="F7" t="e">
            <v>#REF!</v>
          </cell>
          <cell r="G7" t="e">
            <v>#REF!</v>
          </cell>
          <cell r="H7" t="e">
            <v>#REF!</v>
          </cell>
          <cell r="I7" t="e">
            <v>#REF!</v>
          </cell>
          <cell r="J7" t="e">
            <v>#REF!</v>
          </cell>
          <cell r="K7" t="e">
            <v>#REF!</v>
          </cell>
          <cell r="L7" t="e">
            <v>#REF!</v>
          </cell>
          <cell r="M7" t="e">
            <v>#REF!</v>
          </cell>
          <cell r="N7">
            <v>0.1</v>
          </cell>
          <cell r="O7">
            <v>0.1</v>
          </cell>
          <cell r="P7" t="str">
            <v>15</v>
          </cell>
          <cell r="Q7" t="str">
            <v>Yes</v>
          </cell>
          <cell r="R7" t="e">
            <v>#REF!</v>
          </cell>
          <cell r="S7" t="e">
            <v>#REF!</v>
          </cell>
          <cell r="T7" t="e">
            <v>#REF!</v>
          </cell>
          <cell r="U7" t="e">
            <v>#REF!</v>
          </cell>
          <cell r="V7" t="e">
            <v>#REF!</v>
          </cell>
          <cell r="W7" t="e">
            <v>#REF!</v>
          </cell>
          <cell r="X7" t="e">
            <v>#REF!</v>
          </cell>
          <cell r="Y7"/>
          <cell r="Z7"/>
          <cell r="AA7"/>
          <cell r="AB7"/>
          <cell r="AC7" t="str">
            <v>—</v>
          </cell>
          <cell r="AD7" t="str">
            <v>—</v>
          </cell>
          <cell r="AE7" t="e">
            <v>#REF!</v>
          </cell>
          <cell r="AF7" t="e">
            <v>#VALUE!</v>
          </cell>
          <cell r="AG7" t="e">
            <v>#REF!</v>
          </cell>
          <cell r="AH7" t="str">
            <v>—</v>
          </cell>
        </row>
        <row r="8">
          <cell r="A8">
            <v>7</v>
          </cell>
          <cell r="B8" t="e">
            <v>#REF!</v>
          </cell>
          <cell r="C8" t="e">
            <v>#REF!</v>
          </cell>
          <cell r="D8" t="e">
            <v>#REF!</v>
          </cell>
          <cell r="E8" t="e">
            <v>#REF!</v>
          </cell>
          <cell r="F8" t="e">
            <v>#REF!</v>
          </cell>
          <cell r="G8" t="e">
            <v>#REF!</v>
          </cell>
          <cell r="H8" t="e">
            <v>#REF!</v>
          </cell>
          <cell r="I8" t="e">
            <v>#REF!</v>
          </cell>
          <cell r="J8" t="e">
            <v>#REF!</v>
          </cell>
          <cell r="K8" t="e">
            <v>#REF!</v>
          </cell>
          <cell r="L8" t="e">
            <v>#REF!</v>
          </cell>
          <cell r="M8" t="e">
            <v>#REF!</v>
          </cell>
          <cell r="N8">
            <v>0.1</v>
          </cell>
          <cell r="O8">
            <v>0.1</v>
          </cell>
          <cell r="P8" t="str">
            <v>15</v>
          </cell>
          <cell r="Q8" t="str">
            <v>Yes</v>
          </cell>
          <cell r="R8" t="e">
            <v>#REF!</v>
          </cell>
          <cell r="S8" t="e">
            <v>#REF!</v>
          </cell>
          <cell r="T8" t="e">
            <v>#REF!</v>
          </cell>
          <cell r="U8" t="e">
            <v>#REF!</v>
          </cell>
          <cell r="V8" t="e">
            <v>#REF!</v>
          </cell>
          <cell r="W8" t="e">
            <v>#REF!</v>
          </cell>
          <cell r="X8" t="e">
            <v>#REF!</v>
          </cell>
          <cell r="Y8"/>
          <cell r="Z8"/>
          <cell r="AA8"/>
          <cell r="AB8"/>
          <cell r="AC8" t="str">
            <v>—</v>
          </cell>
          <cell r="AD8" t="str">
            <v>—</v>
          </cell>
          <cell r="AE8" t="e">
            <v>#REF!</v>
          </cell>
          <cell r="AF8" t="e">
            <v>#VALUE!</v>
          </cell>
          <cell r="AG8" t="e">
            <v>#REF!</v>
          </cell>
          <cell r="AH8" t="str">
            <v>—</v>
          </cell>
        </row>
        <row r="9">
          <cell r="A9">
            <v>8</v>
          </cell>
          <cell r="B9" t="e">
            <v>#REF!</v>
          </cell>
          <cell r="C9" t="e">
            <v>#REF!</v>
          </cell>
          <cell r="D9" t="e">
            <v>#REF!</v>
          </cell>
          <cell r="E9" t="e">
            <v>#REF!</v>
          </cell>
          <cell r="F9" t="e">
            <v>#REF!</v>
          </cell>
          <cell r="G9" t="e">
            <v>#REF!</v>
          </cell>
          <cell r="H9" t="e">
            <v>#REF!</v>
          </cell>
          <cell r="I9" t="e">
            <v>#REF!</v>
          </cell>
          <cell r="J9" t="e">
            <v>#REF!</v>
          </cell>
          <cell r="K9" t="e">
            <v>#REF!</v>
          </cell>
          <cell r="L9" t="e">
            <v>#REF!</v>
          </cell>
          <cell r="M9" t="e">
            <v>#REF!</v>
          </cell>
          <cell r="N9">
            <v>0.1</v>
          </cell>
          <cell r="O9">
            <v>0.1</v>
          </cell>
          <cell r="P9" t="str">
            <v>15</v>
          </cell>
          <cell r="Q9" t="str">
            <v>Yes</v>
          </cell>
          <cell r="R9" t="e">
            <v>#REF!</v>
          </cell>
          <cell r="S9" t="e">
            <v>#REF!</v>
          </cell>
          <cell r="T9" t="e">
            <v>#REF!</v>
          </cell>
          <cell r="U9" t="e">
            <v>#REF!</v>
          </cell>
          <cell r="V9" t="e">
            <v>#REF!</v>
          </cell>
          <cell r="W9" t="e">
            <v>#REF!</v>
          </cell>
          <cell r="X9" t="e">
            <v>#REF!</v>
          </cell>
          <cell r="Y9"/>
          <cell r="Z9"/>
          <cell r="AA9"/>
          <cell r="AB9"/>
          <cell r="AC9" t="str">
            <v>—</v>
          </cell>
          <cell r="AD9" t="str">
            <v>—</v>
          </cell>
          <cell r="AE9" t="e">
            <v>#REF!</v>
          </cell>
          <cell r="AF9" t="e">
            <v>#VALUE!</v>
          </cell>
          <cell r="AG9" t="e">
            <v>#REF!</v>
          </cell>
          <cell r="AH9" t="str">
            <v>—</v>
          </cell>
        </row>
        <row r="10">
          <cell r="A10">
            <v>9</v>
          </cell>
          <cell r="B10" t="e">
            <v>#REF!</v>
          </cell>
          <cell r="C10" t="e">
            <v>#REF!</v>
          </cell>
          <cell r="D10" t="e">
            <v>#REF!</v>
          </cell>
          <cell r="E10" t="e">
            <v>#REF!</v>
          </cell>
          <cell r="F10" t="e">
            <v>#REF!</v>
          </cell>
          <cell r="G10" t="e">
            <v>#REF!</v>
          </cell>
          <cell r="H10" t="e">
            <v>#REF!</v>
          </cell>
          <cell r="I10" t="e">
            <v>#REF!</v>
          </cell>
          <cell r="J10" t="e">
            <v>#REF!</v>
          </cell>
          <cell r="K10" t="e">
            <v>#REF!</v>
          </cell>
          <cell r="L10" t="e">
            <v>#REF!</v>
          </cell>
          <cell r="M10" t="e">
            <v>#REF!</v>
          </cell>
          <cell r="N10">
            <v>0.1</v>
          </cell>
          <cell r="O10">
            <v>0.1</v>
          </cell>
          <cell r="P10" t="str">
            <v>15</v>
          </cell>
          <cell r="Q10" t="str">
            <v>Yes</v>
          </cell>
          <cell r="R10" t="e">
            <v>#REF!</v>
          </cell>
          <cell r="S10" t="e">
            <v>#REF!</v>
          </cell>
          <cell r="T10" t="e">
            <v>#REF!</v>
          </cell>
          <cell r="U10" t="e">
            <v>#REF!</v>
          </cell>
          <cell r="V10" t="e">
            <v>#REF!</v>
          </cell>
          <cell r="W10" t="e">
            <v>#REF!</v>
          </cell>
          <cell r="X10" t="e">
            <v>#REF!</v>
          </cell>
          <cell r="Y10"/>
          <cell r="Z10"/>
          <cell r="AA10"/>
          <cell r="AB10"/>
          <cell r="AC10" t="str">
            <v>—</v>
          </cell>
          <cell r="AD10" t="str">
            <v>—</v>
          </cell>
          <cell r="AE10" t="e">
            <v>#REF!</v>
          </cell>
          <cell r="AF10" t="e">
            <v>#VALUE!</v>
          </cell>
          <cell r="AG10" t="e">
            <v>#REF!</v>
          </cell>
          <cell r="AH10" t="str">
            <v>—</v>
          </cell>
        </row>
        <row r="11">
          <cell r="A11">
            <v>10</v>
          </cell>
          <cell r="B11" t="e">
            <v>#REF!</v>
          </cell>
          <cell r="C11" t="e">
            <v>#REF!</v>
          </cell>
          <cell r="D11" t="e">
            <v>#REF!</v>
          </cell>
          <cell r="E11" t="e">
            <v>#REF!</v>
          </cell>
          <cell r="F11" t="e">
            <v>#REF!</v>
          </cell>
          <cell r="G11" t="e">
            <v>#REF!</v>
          </cell>
          <cell r="H11" t="e">
            <v>#REF!</v>
          </cell>
          <cell r="I11" t="e">
            <v>#REF!</v>
          </cell>
          <cell r="J11" t="e">
            <v>#REF!</v>
          </cell>
          <cell r="K11" t="e">
            <v>#REF!</v>
          </cell>
          <cell r="L11" t="e">
            <v>#REF!</v>
          </cell>
          <cell r="M11" t="e">
            <v>#REF!</v>
          </cell>
          <cell r="N11">
            <v>0.1</v>
          </cell>
          <cell r="O11">
            <v>0.1</v>
          </cell>
          <cell r="P11" t="str">
            <v>15</v>
          </cell>
          <cell r="Q11" t="str">
            <v>Yes</v>
          </cell>
          <cell r="R11" t="e">
            <v>#REF!</v>
          </cell>
          <cell r="S11" t="e">
            <v>#REF!</v>
          </cell>
          <cell r="T11" t="e">
            <v>#REF!</v>
          </cell>
          <cell r="U11" t="e">
            <v>#REF!</v>
          </cell>
          <cell r="V11" t="e">
            <v>#REF!</v>
          </cell>
          <cell r="W11" t="e">
            <v>#REF!</v>
          </cell>
          <cell r="X11" t="e">
            <v>#REF!</v>
          </cell>
          <cell r="Y11"/>
          <cell r="Z11"/>
          <cell r="AA11"/>
          <cell r="AB11"/>
          <cell r="AC11" t="str">
            <v>—</v>
          </cell>
          <cell r="AD11" t="str">
            <v>—</v>
          </cell>
          <cell r="AE11" t="e">
            <v>#REF!</v>
          </cell>
          <cell r="AF11" t="e">
            <v>#VALUE!</v>
          </cell>
          <cell r="AG11" t="e">
            <v>#REF!</v>
          </cell>
          <cell r="AH11" t="str">
            <v>—</v>
          </cell>
        </row>
      </sheetData>
      <sheetData sheetId="39" refreshError="1"/>
      <sheetData sheetId="40" refreshError="1"/>
      <sheetData sheetId="41" refreshError="1">
        <row r="188">
          <cell r="D188">
            <v>1400000</v>
          </cell>
        </row>
      </sheetData>
      <sheetData sheetId="42" refreshError="1"/>
      <sheetData sheetId="43" refreshError="1"/>
      <sheetData sheetId="44" refreshError="1"/>
      <sheetData sheetId="45" refreshError="1"/>
      <sheetData sheetId="46" refreshError="1">
        <row r="9">
          <cell r="C9">
            <v>1</v>
          </cell>
        </row>
      </sheetData>
      <sheetData sheetId="47" refreshError="1"/>
      <sheetData sheetId="48" refreshError="1"/>
      <sheetData sheetId="49" refreshError="1"/>
      <sheetData sheetId="50" refreshError="1">
        <row r="7">
          <cell r="C7">
            <v>28147</v>
          </cell>
        </row>
      </sheetData>
      <sheetData sheetId="51" refreshError="1">
        <row r="32">
          <cell r="S32">
            <v>5.0000000000000044E-2</v>
          </cell>
        </row>
      </sheetData>
      <sheetData sheetId="52" refreshError="1"/>
      <sheetData sheetId="53" refreshError="1"/>
      <sheetData sheetId="54" refreshError="1"/>
      <sheetData sheetId="55" refreshError="1"/>
      <sheetData sheetId="56" refreshError="1">
        <row r="1">
          <cell r="A1" t="str">
            <v>ACTUAL OPERATING HISTORY DATA ENTRY WORKSHEET</v>
          </cell>
        </row>
        <row r="2">
          <cell r="H2" t="str">
            <v>Annualized</v>
          </cell>
        </row>
        <row r="3">
          <cell r="A3" t="str">
            <v>Category</v>
          </cell>
          <cell r="C3">
            <v>2013</v>
          </cell>
          <cell r="D3">
            <v>2014</v>
          </cell>
          <cell r="E3">
            <v>2015</v>
          </cell>
          <cell r="F3">
            <v>2016</v>
          </cell>
          <cell r="H3">
            <v>2017</v>
          </cell>
          <cell r="I3" t="str">
            <v>Budget</v>
          </cell>
        </row>
        <row r="5">
          <cell r="A5">
            <v>1020</v>
          </cell>
          <cell r="C5">
            <v>0</v>
          </cell>
          <cell r="D5">
            <v>0</v>
          </cell>
          <cell r="E5">
            <v>0</v>
          </cell>
          <cell r="F5">
            <v>0</v>
          </cell>
          <cell r="H5">
            <v>0</v>
          </cell>
          <cell r="I5">
            <v>0</v>
          </cell>
        </row>
        <row r="6">
          <cell r="A6">
            <v>1030</v>
          </cell>
          <cell r="C6">
            <v>0</v>
          </cell>
          <cell r="D6">
            <v>0</v>
          </cell>
          <cell r="E6">
            <v>0</v>
          </cell>
          <cell r="F6">
            <v>0</v>
          </cell>
          <cell r="H6">
            <v>0</v>
          </cell>
          <cell r="I6">
            <v>0</v>
          </cell>
        </row>
        <row r="7">
          <cell r="A7">
            <v>1040</v>
          </cell>
          <cell r="C7">
            <v>0</v>
          </cell>
          <cell r="D7">
            <v>0</v>
          </cell>
          <cell r="E7">
            <v>0</v>
          </cell>
          <cell r="F7">
            <v>0</v>
          </cell>
          <cell r="H7">
            <v>0</v>
          </cell>
          <cell r="I7">
            <v>0</v>
          </cell>
        </row>
        <row r="8">
          <cell r="A8">
            <v>1050</v>
          </cell>
          <cell r="C8">
            <v>0</v>
          </cell>
          <cell r="D8">
            <v>0</v>
          </cell>
          <cell r="E8">
            <v>0</v>
          </cell>
          <cell r="F8">
            <v>0</v>
          </cell>
          <cell r="H8">
            <v>0</v>
          </cell>
          <cell r="I8">
            <v>0</v>
          </cell>
        </row>
        <row r="9">
          <cell r="A9">
            <v>1060</v>
          </cell>
          <cell r="C9">
            <v>0</v>
          </cell>
          <cell r="D9">
            <v>0</v>
          </cell>
          <cell r="E9">
            <v>0</v>
          </cell>
          <cell r="F9">
            <v>0</v>
          </cell>
          <cell r="H9">
            <v>0</v>
          </cell>
          <cell r="I9">
            <v>0</v>
          </cell>
        </row>
        <row r="10">
          <cell r="A10">
            <v>1070</v>
          </cell>
          <cell r="C10">
            <v>0</v>
          </cell>
          <cell r="D10">
            <v>0</v>
          </cell>
          <cell r="E10">
            <v>0</v>
          </cell>
          <cell r="F10">
            <v>0</v>
          </cell>
          <cell r="H10">
            <v>0</v>
          </cell>
          <cell r="I10">
            <v>0</v>
          </cell>
        </row>
        <row r="11">
          <cell r="A11">
            <v>1080</v>
          </cell>
          <cell r="C11">
            <v>0</v>
          </cell>
          <cell r="D11">
            <v>0</v>
          </cell>
          <cell r="E11">
            <v>0</v>
          </cell>
          <cell r="F11">
            <v>0</v>
          </cell>
          <cell r="H11">
            <v>0</v>
          </cell>
          <cell r="I11">
            <v>0</v>
          </cell>
        </row>
        <row r="12">
          <cell r="A12">
            <v>1090</v>
          </cell>
          <cell r="C12">
            <v>0</v>
          </cell>
          <cell r="D12">
            <v>0</v>
          </cell>
          <cell r="E12">
            <v>0</v>
          </cell>
          <cell r="F12">
            <v>0</v>
          </cell>
          <cell r="H12">
            <v>0</v>
          </cell>
          <cell r="I12">
            <v>0</v>
          </cell>
        </row>
        <row r="13">
          <cell r="A13">
            <v>1100</v>
          </cell>
          <cell r="B13" t="str">
            <v>Storage Space Rental</v>
          </cell>
          <cell r="C13">
            <v>0</v>
          </cell>
          <cell r="D13">
            <v>0</v>
          </cell>
          <cell r="E13">
            <v>0</v>
          </cell>
          <cell r="F13">
            <v>0</v>
          </cell>
          <cell r="G13">
            <v>0</v>
          </cell>
          <cell r="H13">
            <v>0</v>
          </cell>
          <cell r="I13">
            <v>0</v>
          </cell>
        </row>
        <row r="14">
          <cell r="A14">
            <v>1110</v>
          </cell>
          <cell r="C14">
            <v>0</v>
          </cell>
          <cell r="D14">
            <v>0</v>
          </cell>
          <cell r="E14">
            <v>0</v>
          </cell>
          <cell r="F14">
            <v>0</v>
          </cell>
          <cell r="H14">
            <v>0</v>
          </cell>
          <cell r="I14">
            <v>0</v>
          </cell>
        </row>
        <row r="15">
          <cell r="A15">
            <v>1000</v>
          </cell>
          <cell r="C15">
            <v>0</v>
          </cell>
          <cell r="D15">
            <v>0</v>
          </cell>
          <cell r="E15">
            <v>0</v>
          </cell>
          <cell r="F15">
            <v>0</v>
          </cell>
          <cell r="H15">
            <v>0</v>
          </cell>
          <cell r="I15">
            <v>0</v>
          </cell>
        </row>
        <row r="18">
          <cell r="A18">
            <v>1510</v>
          </cell>
          <cell r="C18">
            <v>0</v>
          </cell>
          <cell r="D18">
            <v>0</v>
          </cell>
          <cell r="E18">
            <v>0</v>
          </cell>
          <cell r="F18">
            <v>0</v>
          </cell>
          <cell r="H18">
            <v>0</v>
          </cell>
          <cell r="I18">
            <v>0</v>
          </cell>
        </row>
        <row r="19">
          <cell r="A19">
            <v>1520</v>
          </cell>
          <cell r="C19">
            <v>0</v>
          </cell>
          <cell r="D19">
            <v>0</v>
          </cell>
          <cell r="E19">
            <v>0</v>
          </cell>
          <cell r="F19">
            <v>0</v>
          </cell>
          <cell r="H19">
            <v>0</v>
          </cell>
          <cell r="I19">
            <v>0</v>
          </cell>
        </row>
        <row r="20">
          <cell r="A20">
            <v>1530</v>
          </cell>
          <cell r="C20">
            <v>0</v>
          </cell>
          <cell r="D20">
            <v>0</v>
          </cell>
          <cell r="E20">
            <v>0</v>
          </cell>
          <cell r="F20">
            <v>0</v>
          </cell>
          <cell r="H20">
            <v>0</v>
          </cell>
          <cell r="I20">
            <v>0</v>
          </cell>
        </row>
        <row r="21">
          <cell r="A21">
            <v>1500</v>
          </cell>
          <cell r="C21">
            <v>0</v>
          </cell>
          <cell r="D21">
            <v>0</v>
          </cell>
          <cell r="E21">
            <v>0</v>
          </cell>
          <cell r="F21">
            <v>0</v>
          </cell>
          <cell r="H21">
            <v>0</v>
          </cell>
          <cell r="I21">
            <v>0</v>
          </cell>
        </row>
        <row r="23">
          <cell r="C23">
            <v>0</v>
          </cell>
          <cell r="D23">
            <v>0</v>
          </cell>
          <cell r="E23">
            <v>0</v>
          </cell>
          <cell r="F23">
            <v>0</v>
          </cell>
          <cell r="H23">
            <v>0</v>
          </cell>
          <cell r="I23">
            <v>0</v>
          </cell>
        </row>
        <row r="27">
          <cell r="A27">
            <v>2010</v>
          </cell>
          <cell r="C27">
            <v>0</v>
          </cell>
          <cell r="D27">
            <v>0</v>
          </cell>
          <cell r="E27">
            <v>0</v>
          </cell>
          <cell r="F27">
            <v>0</v>
          </cell>
          <cell r="H27">
            <v>0</v>
          </cell>
          <cell r="I27">
            <v>0</v>
          </cell>
        </row>
        <row r="28">
          <cell r="A28">
            <v>2020</v>
          </cell>
          <cell r="C28">
            <v>0</v>
          </cell>
          <cell r="D28">
            <v>0</v>
          </cell>
          <cell r="E28">
            <v>0</v>
          </cell>
          <cell r="F28">
            <v>0</v>
          </cell>
          <cell r="H28">
            <v>0</v>
          </cell>
          <cell r="I28">
            <v>0</v>
          </cell>
        </row>
        <row r="29">
          <cell r="A29">
            <v>2000</v>
          </cell>
          <cell r="C29">
            <v>0</v>
          </cell>
          <cell r="D29">
            <v>0</v>
          </cell>
          <cell r="E29">
            <v>0</v>
          </cell>
          <cell r="F29">
            <v>0</v>
          </cell>
          <cell r="H29">
            <v>0</v>
          </cell>
          <cell r="I29">
            <v>0</v>
          </cell>
        </row>
        <row r="32">
          <cell r="A32">
            <v>3010</v>
          </cell>
          <cell r="C32">
            <v>0</v>
          </cell>
          <cell r="D32">
            <v>0</v>
          </cell>
          <cell r="E32">
            <v>0</v>
          </cell>
          <cell r="F32">
            <v>0</v>
          </cell>
          <cell r="H32">
            <v>0</v>
          </cell>
          <cell r="I32">
            <v>0</v>
          </cell>
        </row>
        <row r="33">
          <cell r="A33">
            <v>3020</v>
          </cell>
          <cell r="C33">
            <v>0</v>
          </cell>
          <cell r="D33">
            <v>0</v>
          </cell>
          <cell r="E33">
            <v>0</v>
          </cell>
          <cell r="F33">
            <v>0</v>
          </cell>
          <cell r="H33">
            <v>0</v>
          </cell>
          <cell r="I33">
            <v>0</v>
          </cell>
        </row>
        <row r="34">
          <cell r="A34">
            <v>3000</v>
          </cell>
          <cell r="C34">
            <v>0</v>
          </cell>
          <cell r="D34">
            <v>0</v>
          </cell>
          <cell r="E34">
            <v>0</v>
          </cell>
          <cell r="F34">
            <v>0</v>
          </cell>
          <cell r="H34">
            <v>0</v>
          </cell>
          <cell r="I34">
            <v>0</v>
          </cell>
        </row>
        <row r="37">
          <cell r="A37">
            <v>4010</v>
          </cell>
          <cell r="C37">
            <v>0</v>
          </cell>
          <cell r="D37">
            <v>0</v>
          </cell>
          <cell r="E37">
            <v>0</v>
          </cell>
          <cell r="F37">
            <v>0</v>
          </cell>
          <cell r="H37">
            <v>0</v>
          </cell>
          <cell r="I37">
            <v>0</v>
          </cell>
        </row>
        <row r="38">
          <cell r="A38">
            <v>4020</v>
          </cell>
          <cell r="C38">
            <v>0</v>
          </cell>
          <cell r="D38">
            <v>0</v>
          </cell>
          <cell r="E38">
            <v>0</v>
          </cell>
          <cell r="F38">
            <v>0</v>
          </cell>
          <cell r="H38">
            <v>0</v>
          </cell>
          <cell r="I38">
            <v>0</v>
          </cell>
        </row>
        <row r="39">
          <cell r="A39">
            <v>4030</v>
          </cell>
          <cell r="C39">
            <v>0</v>
          </cell>
          <cell r="D39">
            <v>0</v>
          </cell>
          <cell r="E39">
            <v>0</v>
          </cell>
          <cell r="F39">
            <v>0</v>
          </cell>
          <cell r="H39">
            <v>0</v>
          </cell>
          <cell r="I39">
            <v>0</v>
          </cell>
        </row>
        <row r="40">
          <cell r="A40">
            <v>4040</v>
          </cell>
          <cell r="C40">
            <v>0</v>
          </cell>
          <cell r="D40">
            <v>0</v>
          </cell>
          <cell r="E40">
            <v>0</v>
          </cell>
          <cell r="F40">
            <v>0</v>
          </cell>
          <cell r="H40">
            <v>0</v>
          </cell>
          <cell r="I40">
            <v>0</v>
          </cell>
        </row>
        <row r="41">
          <cell r="A41">
            <v>4000</v>
          </cell>
          <cell r="C41">
            <v>0</v>
          </cell>
          <cell r="D41">
            <v>0</v>
          </cell>
          <cell r="E41">
            <v>0</v>
          </cell>
          <cell r="F41">
            <v>0</v>
          </cell>
          <cell r="H41">
            <v>0</v>
          </cell>
          <cell r="I41">
            <v>0</v>
          </cell>
        </row>
        <row r="45">
          <cell r="A45">
            <v>6010</v>
          </cell>
          <cell r="C45">
            <v>0</v>
          </cell>
          <cell r="D45">
            <v>0</v>
          </cell>
          <cell r="E45">
            <v>0</v>
          </cell>
          <cell r="F45">
            <v>0</v>
          </cell>
          <cell r="H45">
            <v>0</v>
          </cell>
          <cell r="I45">
            <v>0</v>
          </cell>
        </row>
        <row r="46">
          <cell r="A46">
            <v>6020</v>
          </cell>
          <cell r="C46">
            <v>0</v>
          </cell>
          <cell r="D46">
            <v>0</v>
          </cell>
          <cell r="E46">
            <v>0</v>
          </cell>
          <cell r="F46">
            <v>0</v>
          </cell>
          <cell r="H46">
            <v>0</v>
          </cell>
          <cell r="I46">
            <v>0</v>
          </cell>
        </row>
        <row r="47">
          <cell r="A47">
            <v>6030</v>
          </cell>
          <cell r="C47">
            <v>0</v>
          </cell>
          <cell r="D47">
            <v>0</v>
          </cell>
          <cell r="E47">
            <v>0</v>
          </cell>
          <cell r="F47">
            <v>0</v>
          </cell>
          <cell r="H47">
            <v>0</v>
          </cell>
          <cell r="I47">
            <v>0</v>
          </cell>
        </row>
        <row r="48">
          <cell r="A48">
            <v>6040</v>
          </cell>
          <cell r="C48">
            <v>0</v>
          </cell>
          <cell r="D48">
            <v>0</v>
          </cell>
          <cell r="E48">
            <v>0</v>
          </cell>
          <cell r="F48">
            <v>0</v>
          </cell>
          <cell r="H48">
            <v>0</v>
          </cell>
          <cell r="I48">
            <v>0</v>
          </cell>
        </row>
        <row r="49">
          <cell r="A49">
            <v>6050</v>
          </cell>
          <cell r="C49">
            <v>0</v>
          </cell>
          <cell r="D49">
            <v>0</v>
          </cell>
          <cell r="E49">
            <v>0</v>
          </cell>
          <cell r="F49">
            <v>0</v>
          </cell>
          <cell r="H49">
            <v>0</v>
          </cell>
          <cell r="I49">
            <v>0</v>
          </cell>
        </row>
        <row r="50">
          <cell r="A50">
            <v>6060</v>
          </cell>
          <cell r="C50">
            <v>0</v>
          </cell>
          <cell r="D50">
            <v>0</v>
          </cell>
          <cell r="E50">
            <v>0</v>
          </cell>
          <cell r="F50">
            <v>0</v>
          </cell>
          <cell r="H50">
            <v>0</v>
          </cell>
          <cell r="I50">
            <v>0</v>
          </cell>
        </row>
        <row r="51">
          <cell r="A51">
            <v>6070</v>
          </cell>
          <cell r="C51">
            <v>0</v>
          </cell>
          <cell r="D51">
            <v>0</v>
          </cell>
          <cell r="E51">
            <v>0</v>
          </cell>
          <cell r="F51">
            <v>0</v>
          </cell>
          <cell r="H51">
            <v>0</v>
          </cell>
          <cell r="I51">
            <v>0</v>
          </cell>
        </row>
        <row r="52">
          <cell r="A52">
            <v>6080</v>
          </cell>
          <cell r="C52">
            <v>0</v>
          </cell>
          <cell r="D52">
            <v>0</v>
          </cell>
          <cell r="E52">
            <v>0</v>
          </cell>
          <cell r="F52">
            <v>0</v>
          </cell>
          <cell r="H52">
            <v>0</v>
          </cell>
          <cell r="I52">
            <v>0</v>
          </cell>
        </row>
        <row r="53">
          <cell r="A53">
            <v>6090</v>
          </cell>
          <cell r="C53">
            <v>0</v>
          </cell>
          <cell r="D53">
            <v>0</v>
          </cell>
          <cell r="E53">
            <v>0</v>
          </cell>
          <cell r="F53">
            <v>0</v>
          </cell>
          <cell r="H53">
            <v>0</v>
          </cell>
          <cell r="I53">
            <v>0</v>
          </cell>
        </row>
        <row r="54">
          <cell r="A54">
            <v>6000</v>
          </cell>
          <cell r="C54">
            <v>0</v>
          </cell>
          <cell r="D54">
            <v>0</v>
          </cell>
          <cell r="E54">
            <v>0</v>
          </cell>
          <cell r="F54">
            <v>0</v>
          </cell>
          <cell r="H54">
            <v>0</v>
          </cell>
          <cell r="I54">
            <v>0</v>
          </cell>
        </row>
        <row r="57">
          <cell r="A57">
            <v>7010</v>
          </cell>
          <cell r="C57">
            <v>0</v>
          </cell>
          <cell r="D57">
            <v>0</v>
          </cell>
          <cell r="E57">
            <v>0</v>
          </cell>
          <cell r="F57">
            <v>0</v>
          </cell>
          <cell r="H57">
            <v>0</v>
          </cell>
          <cell r="I57">
            <v>0</v>
          </cell>
        </row>
        <row r="58">
          <cell r="A58">
            <v>7020</v>
          </cell>
          <cell r="C58">
            <v>0</v>
          </cell>
          <cell r="D58">
            <v>0</v>
          </cell>
          <cell r="E58">
            <v>0</v>
          </cell>
          <cell r="F58">
            <v>0</v>
          </cell>
          <cell r="H58">
            <v>0</v>
          </cell>
          <cell r="I58">
            <v>0</v>
          </cell>
        </row>
        <row r="59">
          <cell r="A59">
            <v>7030</v>
          </cell>
          <cell r="C59">
            <v>0</v>
          </cell>
          <cell r="D59">
            <v>0</v>
          </cell>
          <cell r="E59">
            <v>0</v>
          </cell>
          <cell r="F59">
            <v>0</v>
          </cell>
          <cell r="H59">
            <v>0</v>
          </cell>
          <cell r="I59">
            <v>0</v>
          </cell>
        </row>
        <row r="60">
          <cell r="A60">
            <v>7040</v>
          </cell>
          <cell r="C60">
            <v>0</v>
          </cell>
          <cell r="D60">
            <v>0</v>
          </cell>
          <cell r="E60">
            <v>0</v>
          </cell>
          <cell r="F60">
            <v>0</v>
          </cell>
          <cell r="H60">
            <v>0</v>
          </cell>
          <cell r="I60">
            <v>0</v>
          </cell>
        </row>
        <row r="61">
          <cell r="A61">
            <v>7050</v>
          </cell>
          <cell r="C61">
            <v>0</v>
          </cell>
          <cell r="D61">
            <v>0</v>
          </cell>
          <cell r="E61">
            <v>0</v>
          </cell>
          <cell r="F61">
            <v>0</v>
          </cell>
          <cell r="H61">
            <v>0</v>
          </cell>
          <cell r="I61">
            <v>0</v>
          </cell>
        </row>
        <row r="62">
          <cell r="A62">
            <v>7060</v>
          </cell>
          <cell r="C62">
            <v>0</v>
          </cell>
          <cell r="D62">
            <v>0</v>
          </cell>
          <cell r="E62">
            <v>0</v>
          </cell>
          <cell r="F62">
            <v>0</v>
          </cell>
          <cell r="H62">
            <v>0</v>
          </cell>
          <cell r="I62">
            <v>0</v>
          </cell>
        </row>
        <row r="63">
          <cell r="A63">
            <v>7070</v>
          </cell>
          <cell r="C63">
            <v>0</v>
          </cell>
          <cell r="D63">
            <v>0</v>
          </cell>
          <cell r="E63">
            <v>0</v>
          </cell>
          <cell r="F63">
            <v>0</v>
          </cell>
          <cell r="H63">
            <v>0</v>
          </cell>
          <cell r="I63">
            <v>0</v>
          </cell>
        </row>
        <row r="64">
          <cell r="A64">
            <v>7080</v>
          </cell>
          <cell r="C64">
            <v>0</v>
          </cell>
          <cell r="D64">
            <v>0</v>
          </cell>
          <cell r="E64">
            <v>0</v>
          </cell>
          <cell r="F64">
            <v>0</v>
          </cell>
          <cell r="H64">
            <v>0</v>
          </cell>
          <cell r="I64">
            <v>0</v>
          </cell>
        </row>
        <row r="65">
          <cell r="A65">
            <v>7090</v>
          </cell>
          <cell r="C65">
            <v>0</v>
          </cell>
          <cell r="D65">
            <v>0</v>
          </cell>
          <cell r="E65">
            <v>0</v>
          </cell>
          <cell r="F65">
            <v>0</v>
          </cell>
          <cell r="H65">
            <v>0</v>
          </cell>
          <cell r="I65">
            <v>0</v>
          </cell>
        </row>
        <row r="66">
          <cell r="A66">
            <v>7000</v>
          </cell>
          <cell r="C66">
            <v>0</v>
          </cell>
          <cell r="D66">
            <v>0</v>
          </cell>
          <cell r="E66">
            <v>0</v>
          </cell>
          <cell r="F66">
            <v>0</v>
          </cell>
          <cell r="H66">
            <v>0</v>
          </cell>
          <cell r="I66">
            <v>0</v>
          </cell>
        </row>
        <row r="68">
          <cell r="A68">
            <v>5000</v>
          </cell>
          <cell r="C68">
            <v>0</v>
          </cell>
          <cell r="D68">
            <v>0</v>
          </cell>
          <cell r="E68">
            <v>0</v>
          </cell>
          <cell r="F68">
            <v>0</v>
          </cell>
          <cell r="H68">
            <v>0</v>
          </cell>
          <cell r="I68">
            <v>0</v>
          </cell>
        </row>
        <row r="71">
          <cell r="A71">
            <v>8000</v>
          </cell>
          <cell r="C71">
            <v>0</v>
          </cell>
          <cell r="D71">
            <v>0</v>
          </cell>
          <cell r="E71">
            <v>0</v>
          </cell>
          <cell r="F71">
            <v>0</v>
          </cell>
          <cell r="H71">
            <v>0</v>
          </cell>
          <cell r="I71">
            <v>0</v>
          </cell>
        </row>
        <row r="73">
          <cell r="A73">
            <v>9000</v>
          </cell>
          <cell r="C73">
            <v>0</v>
          </cell>
          <cell r="D73">
            <v>0</v>
          </cell>
          <cell r="E73">
            <v>0</v>
          </cell>
          <cell r="F73">
            <v>0</v>
          </cell>
          <cell r="H73">
            <v>0</v>
          </cell>
          <cell r="I73">
            <v>0</v>
          </cell>
        </row>
        <row r="75">
          <cell r="C75">
            <v>0</v>
          </cell>
          <cell r="D75">
            <v>0</v>
          </cell>
          <cell r="E75">
            <v>0</v>
          </cell>
          <cell r="F75">
            <v>0</v>
          </cell>
          <cell r="H75">
            <v>0</v>
          </cell>
          <cell r="I75">
            <v>0</v>
          </cell>
        </row>
        <row r="76">
          <cell r="C76">
            <v>0</v>
          </cell>
          <cell r="D76">
            <v>0</v>
          </cell>
          <cell r="E76">
            <v>0</v>
          </cell>
          <cell r="F76">
            <v>0</v>
          </cell>
          <cell r="H76">
            <v>0</v>
          </cell>
          <cell r="I76">
            <v>0</v>
          </cell>
        </row>
      </sheetData>
      <sheetData sheetId="57" refreshError="1"/>
      <sheetData sheetId="58" refreshError="1"/>
      <sheetData sheetId="59" refreshError="1">
        <row r="32">
          <cell r="M32">
            <v>0</v>
          </cell>
        </row>
        <row r="38">
          <cell r="M38">
            <v>0</v>
          </cell>
        </row>
        <row r="41">
          <cell r="M41">
            <v>0</v>
          </cell>
        </row>
      </sheetData>
      <sheetData sheetId="60" refreshError="1"/>
      <sheetData sheetId="61" refreshError="1"/>
      <sheetData sheetId="62" refreshError="1"/>
      <sheetData sheetId="63" refreshError="1"/>
      <sheetData sheetId="64" refreshError="1"/>
      <sheetData sheetId="65" refreshError="1"/>
      <sheetData sheetId="66" refreshError="1"/>
      <sheetData sheetId="67" refreshError="1">
        <row r="36">
          <cell r="D36">
            <v>641610.86499999999</v>
          </cell>
        </row>
        <row r="44">
          <cell r="B44">
            <v>6.25E-2</v>
          </cell>
        </row>
        <row r="50">
          <cell r="D50">
            <v>10300000</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Sales"/>
      <sheetName val="Office"/>
      <sheetName val="Market Conditions"/>
      <sheetName val="Assumptions"/>
    </sheetNames>
    <sheetDataSet>
      <sheetData sheetId="0"/>
      <sheetData sheetId="1"/>
      <sheetData sheetId="2"/>
      <sheetData sheetId="3">
        <row r="2">
          <cell r="C2" t="str">
            <v>Qualitative</v>
          </cell>
        </row>
        <row r="3">
          <cell r="C3" t="str">
            <v>Quantitative</v>
          </cell>
        </row>
        <row r="9">
          <cell r="F9">
            <v>6</v>
          </cell>
          <cell r="G9" t="str">
            <v>( ++++++ )</v>
          </cell>
        </row>
        <row r="10">
          <cell r="F10">
            <v>5</v>
          </cell>
          <cell r="G10" t="str">
            <v>( +++++ )</v>
          </cell>
        </row>
        <row r="11">
          <cell r="F11">
            <v>4</v>
          </cell>
          <cell r="G11" t="str">
            <v>( ++++ )</v>
          </cell>
        </row>
        <row r="12">
          <cell r="F12">
            <v>3</v>
          </cell>
          <cell r="G12" t="str">
            <v>( +++ )</v>
          </cell>
        </row>
        <row r="13">
          <cell r="F13">
            <v>2</v>
          </cell>
          <cell r="G13" t="str">
            <v>( ++ )</v>
          </cell>
        </row>
        <row r="14">
          <cell r="F14">
            <v>1</v>
          </cell>
          <cell r="G14" t="str">
            <v>( + )</v>
          </cell>
        </row>
        <row r="15">
          <cell r="F15">
            <v>0</v>
          </cell>
          <cell r="G15" t="str">
            <v>=</v>
          </cell>
        </row>
        <row r="16">
          <cell r="F16">
            <v>-1</v>
          </cell>
          <cell r="G16" t="str">
            <v>( - )</v>
          </cell>
        </row>
        <row r="17">
          <cell r="F17">
            <v>-2</v>
          </cell>
          <cell r="G17" t="str">
            <v>( -- )</v>
          </cell>
        </row>
        <row r="18">
          <cell r="F18">
            <v>-3</v>
          </cell>
          <cell r="G18" t="str">
            <v>( --- )</v>
          </cell>
        </row>
        <row r="19">
          <cell r="F19">
            <v>-4</v>
          </cell>
          <cell r="G19" t="str">
            <v>( ---- )</v>
          </cell>
        </row>
        <row r="20">
          <cell r="F20">
            <v>-5</v>
          </cell>
          <cell r="G20" t="str">
            <v>( ----- )</v>
          </cell>
        </row>
        <row r="21">
          <cell r="F21">
            <v>-6</v>
          </cell>
          <cell r="G21" t="str">
            <v>( ------ )</v>
          </cell>
        </row>
      </sheetData>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Office Comps"/>
      <sheetName val="Retail Comps"/>
      <sheetName val="Industrial Comps"/>
      <sheetName val="Taxes &amp; Financial Indicators"/>
      <sheetName val="Proforma and Direct Cap"/>
      <sheetName val="Cap Rate Comps"/>
      <sheetName val="Assumptions"/>
    </sheetNames>
    <sheetDataSet>
      <sheetData sheetId="0"/>
      <sheetData sheetId="1"/>
      <sheetData sheetId="2"/>
      <sheetData sheetId="3"/>
      <sheetData sheetId="4"/>
      <sheetData sheetId="5"/>
      <sheetData sheetId="6">
        <row r="9">
          <cell r="E9" t="str">
            <v>( ++++++ )</v>
          </cell>
          <cell r="F9">
            <v>6</v>
          </cell>
          <cell r="G9" t="str">
            <v>( ++++++ )</v>
          </cell>
        </row>
        <row r="10">
          <cell r="E10" t="str">
            <v>( +++++ )</v>
          </cell>
          <cell r="F10">
            <v>5</v>
          </cell>
          <cell r="G10" t="str">
            <v>( +++++ )</v>
          </cell>
        </row>
        <row r="11">
          <cell r="E11" t="str">
            <v>( ++++ )</v>
          </cell>
          <cell r="F11">
            <v>4</v>
          </cell>
          <cell r="G11" t="str">
            <v>( ++++ )</v>
          </cell>
        </row>
        <row r="12">
          <cell r="E12" t="str">
            <v>( +++ )</v>
          </cell>
          <cell r="F12">
            <v>3</v>
          </cell>
          <cell r="G12" t="str">
            <v>( +++ )</v>
          </cell>
        </row>
        <row r="13">
          <cell r="E13" t="str">
            <v>( ++ )</v>
          </cell>
          <cell r="F13">
            <v>2</v>
          </cell>
          <cell r="G13" t="str">
            <v>( ++ )</v>
          </cell>
        </row>
        <row r="14">
          <cell r="E14" t="str">
            <v>( + )</v>
          </cell>
          <cell r="F14">
            <v>1</v>
          </cell>
          <cell r="G14" t="str">
            <v>( + )</v>
          </cell>
        </row>
        <row r="15">
          <cell r="E15" t="str">
            <v>=</v>
          </cell>
          <cell r="F15">
            <v>0</v>
          </cell>
          <cell r="G15" t="str">
            <v>=</v>
          </cell>
        </row>
        <row r="16">
          <cell r="E16" t="str">
            <v>( - )</v>
          </cell>
          <cell r="F16">
            <v>-1</v>
          </cell>
          <cell r="G16" t="str">
            <v>( - )</v>
          </cell>
        </row>
        <row r="17">
          <cell r="E17" t="str">
            <v>( -- )</v>
          </cell>
          <cell r="F17">
            <v>-2</v>
          </cell>
          <cell r="G17" t="str">
            <v>( -- )</v>
          </cell>
        </row>
        <row r="18">
          <cell r="E18" t="str">
            <v>( --- )</v>
          </cell>
          <cell r="F18">
            <v>-3</v>
          </cell>
          <cell r="G18" t="str">
            <v>( --- )</v>
          </cell>
        </row>
        <row r="19">
          <cell r="E19" t="str">
            <v>( ---- )</v>
          </cell>
          <cell r="F19">
            <v>-4</v>
          </cell>
          <cell r="G19" t="str">
            <v>( ---- )</v>
          </cell>
        </row>
        <row r="20">
          <cell r="E20" t="str">
            <v>( ----- )</v>
          </cell>
          <cell r="F20">
            <v>-5</v>
          </cell>
          <cell r="G20" t="str">
            <v>( ----- )</v>
          </cell>
        </row>
        <row r="21">
          <cell r="E21" t="str">
            <v>( ------ )</v>
          </cell>
          <cell r="F21">
            <v>-6</v>
          </cell>
          <cell r="G21" t="str">
            <v>( ------ )</v>
          </cell>
        </row>
      </sheetData>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Assumptions"/>
      <sheetName val="Office Comps"/>
      <sheetName val="Retail Comps"/>
      <sheetName val="Industrial Comps"/>
      <sheetName val="Taxes &amp; Financial Indicators"/>
      <sheetName val="Proforma and Direct Cap"/>
      <sheetName val="Cap Rate Comps"/>
    </sheetNames>
    <sheetDataSet>
      <sheetData sheetId="0" refreshError="1">
        <row r="9">
          <cell r="E9" t="str">
            <v>( ++++++ )</v>
          </cell>
          <cell r="F9">
            <v>6</v>
          </cell>
          <cell r="G9" t="str">
            <v>( ++++++ )</v>
          </cell>
        </row>
        <row r="10">
          <cell r="E10" t="str">
            <v>( +++++ )</v>
          </cell>
          <cell r="F10">
            <v>5</v>
          </cell>
          <cell r="G10" t="str">
            <v>( +++++ )</v>
          </cell>
        </row>
        <row r="11">
          <cell r="E11" t="str">
            <v>( ++++ )</v>
          </cell>
          <cell r="F11">
            <v>4</v>
          </cell>
          <cell r="G11" t="str">
            <v>( ++++ )</v>
          </cell>
        </row>
        <row r="12">
          <cell r="E12" t="str">
            <v>( +++ )</v>
          </cell>
          <cell r="F12">
            <v>3</v>
          </cell>
          <cell r="G12" t="str">
            <v>( +++ )</v>
          </cell>
        </row>
        <row r="13">
          <cell r="E13" t="str">
            <v>( ++ )</v>
          </cell>
          <cell r="F13">
            <v>2</v>
          </cell>
          <cell r="G13" t="str">
            <v>( ++ )</v>
          </cell>
        </row>
        <row r="14">
          <cell r="E14" t="str">
            <v>( + )</v>
          </cell>
          <cell r="F14">
            <v>1</v>
          </cell>
          <cell r="G14" t="str">
            <v>( + )</v>
          </cell>
        </row>
        <row r="15">
          <cell r="E15" t="str">
            <v>=</v>
          </cell>
          <cell r="F15">
            <v>0</v>
          </cell>
          <cell r="G15" t="str">
            <v>=</v>
          </cell>
        </row>
        <row r="16">
          <cell r="E16" t="str">
            <v>( - )</v>
          </cell>
          <cell r="F16">
            <v>-1</v>
          </cell>
          <cell r="G16" t="str">
            <v>( - )</v>
          </cell>
        </row>
        <row r="17">
          <cell r="E17" t="str">
            <v>( -- )</v>
          </cell>
          <cell r="F17">
            <v>-2</v>
          </cell>
          <cell r="G17" t="str">
            <v>( -- )</v>
          </cell>
        </row>
        <row r="18">
          <cell r="E18" t="str">
            <v>( --- )</v>
          </cell>
          <cell r="F18">
            <v>-3</v>
          </cell>
          <cell r="G18" t="str">
            <v>( --- )</v>
          </cell>
        </row>
        <row r="19">
          <cell r="E19" t="str">
            <v>( ---- )</v>
          </cell>
          <cell r="F19">
            <v>-4</v>
          </cell>
          <cell r="G19" t="str">
            <v>( ---- )</v>
          </cell>
        </row>
        <row r="20">
          <cell r="E20" t="str">
            <v>( ----- )</v>
          </cell>
          <cell r="F20">
            <v>-5</v>
          </cell>
          <cell r="G20" t="str">
            <v>( ----- )</v>
          </cell>
        </row>
        <row r="21">
          <cell r="E21" t="str">
            <v>( ------ )</v>
          </cell>
          <cell r="F21">
            <v>-6</v>
          </cell>
          <cell r="G21" t="str">
            <v>( ------ )</v>
          </cell>
        </row>
      </sheetData>
      <sheetData sheetId="1"/>
      <sheetData sheetId="2"/>
      <sheetData sheetId="3"/>
      <sheetData sheetId="4"/>
      <sheetData sheetId="5"/>
      <sheetData sheetId="6"/>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Menu"/>
      <sheetName val="Navigation"/>
      <sheetName val="OptionsProperty"/>
      <sheetName val="CompanyAddressData"/>
      <sheetName val="CompanyAddressList"/>
      <sheetName val="CertificationsOptions"/>
      <sheetName val="MapOptions"/>
      <sheetName val="MethodAssump"/>
      <sheetName val="Assignment"/>
      <sheetName val="Certification"/>
      <sheetName val="Valuation Scenarios"/>
      <sheetName val="Value Indications"/>
      <sheetName val="ExtraordinaryHypothetical"/>
      <sheetName val="Risk Summary"/>
      <sheetName val="Property History"/>
      <sheetName val="Scope Info"/>
      <sheetName val="Neighborhood"/>
      <sheetName val="Demos"/>
      <sheetName val="Site Information"/>
      <sheetName val="tblSite"/>
      <sheetName val="Zoning"/>
      <sheetName val="Unit Mix"/>
      <sheetName val="Improvement Description"/>
      <sheetName val="Improvement Description_2"/>
      <sheetName val="tblImprovements"/>
      <sheetName val="tblImprovements_2"/>
      <sheetName val="Taxes"/>
      <sheetName val="TaxComps"/>
      <sheetName val="H&amp;BU"/>
      <sheetName val="tblSalientFacts"/>
      <sheetName val="LSalesNew"/>
      <sheetName val="LSaleAdjNew"/>
      <sheetName val="LSalesAnalysis"/>
      <sheetName val="LSalesSecondary"/>
      <sheetName val="LSaleAdjSecondary"/>
      <sheetName val="LSalesAnalysisSecondary"/>
      <sheetName val="CostDataSec11_12"/>
      <sheetName val="CostDataSec13"/>
      <sheetName val="CostDataSec14"/>
      <sheetName val="CostDataSec15"/>
      <sheetName val="CostDataSec18"/>
      <sheetName val="OptionsCost"/>
      <sheetName val="CostDataSec99"/>
      <sheetName val="Cost (2)"/>
      <sheetName val="Cost (3)"/>
      <sheetName val="Cost (4)"/>
      <sheetName val="Cost (5)"/>
      <sheetName val="CostSummary"/>
      <sheetName val="CostInsur"/>
      <sheetName val="Evaluation"/>
      <sheetName val="ISaleData"/>
      <sheetName val="ISalesNew"/>
      <sheetName val="ISaleAdjNew"/>
      <sheetName val="ISalesAnalysis"/>
      <sheetName val="ISaleTbls"/>
      <sheetName val="ISalesSecondary"/>
      <sheetName val="ISaleAdjSecondary"/>
      <sheetName val="ISalesAnalysisSecondary"/>
      <sheetName val="RentCompData"/>
      <sheetName val="RentRollApt"/>
      <sheetName val="UnitCompApt"/>
      <sheetName val="tblUnitCompApt"/>
      <sheetName val="CompRentsApt"/>
      <sheetName val="RentSurveyApt"/>
      <sheetName val="Cost"/>
      <sheetName val="OwnerUserExpProforma"/>
      <sheetName val="RentRollNew"/>
      <sheetName val="RetailSales"/>
      <sheetName val="tblRentRoll"/>
      <sheetName val="LeaseAbstractsNew"/>
      <sheetName val="Lists"/>
      <sheetName val="LeaseCompsNew"/>
      <sheetName val="SpecialtyLeaseComps"/>
      <sheetName val="LeaseAdjGrids"/>
      <sheetName val="AltPropertyAdjGrid"/>
      <sheetName val="LeaseCompsSecondary"/>
      <sheetName val="LeaseAdjGridsSecondary"/>
      <sheetName val="AltPropertyAdjSecondary"/>
      <sheetName val="MktRentConcl"/>
      <sheetName val="STMarketRentConclusions"/>
      <sheetName val="RawOpData"/>
      <sheetName val="OpSummary"/>
      <sheetName val="SummaryExpenseTbl"/>
      <sheetName val="ExpCompData"/>
      <sheetName val="Recoveries.New"/>
      <sheetName val="ExpCompRawData"/>
      <sheetName val="CapRates"/>
      <sheetName val="ProForma"/>
      <sheetName val="GoDark"/>
      <sheetName val="LeaseUpAdj"/>
      <sheetName val="DCF.New"/>
      <sheetName val="Survey Publications"/>
      <sheetName val="Scratch"/>
      <sheetName val="Addenda"/>
      <sheetName val="Our Company"/>
      <sheetName val="Client Company"/>
      <sheetName val="Client Contact"/>
      <sheetName val="Job Info"/>
      <sheetName val="Job Participants"/>
      <sheetName val="Job Participant Additional Info"/>
      <sheetName val="Job Property"/>
      <sheetName val="Property Unit Mix"/>
      <sheetName val="Property Comments"/>
      <sheetName val="Property Attributes"/>
      <sheetName val="Comp. Land Sale Picklists"/>
      <sheetName val="Comparable Sale Picklists"/>
      <sheetName val="Comparable Rental Picklists"/>
      <sheetName val="Comp. Rental Picklist Units"/>
      <sheetName val="Comparable Lease Picklists"/>
      <sheetName val="Subject Property Leases"/>
    </sheetNames>
    <sheetDataSet>
      <sheetData sheetId="0">
        <row r="15">
          <cell r="D15" t="str">
            <v>Retail</v>
          </cell>
        </row>
        <row r="17">
          <cell r="D17"/>
        </row>
      </sheetData>
      <sheetData sheetId="1"/>
      <sheetData sheetId="2"/>
      <sheetData sheetId="3"/>
      <sheetData sheetId="4"/>
      <sheetData sheetId="5"/>
      <sheetData sheetId="6"/>
      <sheetData sheetId="7">
        <row r="4">
          <cell r="B4" t="str">
            <v>Investor</v>
          </cell>
        </row>
      </sheetData>
      <sheetData sheetId="8">
        <row r="15">
          <cell r="B15" t="str">
            <v>4430 South Adams County Parkway</v>
          </cell>
        </row>
        <row r="16">
          <cell r="B16" t="str">
            <v>Suite C5000B</v>
          </cell>
        </row>
        <row r="17">
          <cell r="B17" t="str">
            <v>Brighton</v>
          </cell>
        </row>
        <row r="18">
          <cell r="B18" t="str">
            <v>CO</v>
          </cell>
        </row>
        <row r="19">
          <cell r="B19">
            <v>80601</v>
          </cell>
        </row>
        <row r="22">
          <cell r="B22" t="str">
            <v xml:space="preserve">Mr. Tom Downey, owner representitive, was interviewed by phone and email throughout the appraisal process. Mr. Downey attended our inspection of the subject property. </v>
          </cell>
        </row>
        <row r="27">
          <cell r="B27" t="str">
            <v>THF PRAIRIE CENTER RETAIL ONE LLC 
C/O THF REALTY</v>
          </cell>
        </row>
        <row r="34">
          <cell r="B34" t="str">
            <v>Adams</v>
          </cell>
        </row>
        <row r="36">
          <cell r="B36">
            <v>80601</v>
          </cell>
        </row>
        <row r="43">
          <cell r="B43">
            <v>44987</v>
          </cell>
        </row>
        <row r="44">
          <cell r="B44">
            <v>45008</v>
          </cell>
        </row>
      </sheetData>
      <sheetData sheetId="9"/>
      <sheetData sheetId="10">
        <row r="76">
          <cell r="D76" t="str">
            <v xml:space="preserve"> •Market Value of the Fee Simple interest in the subject property, As Is as of January 1, 2022</v>
          </cell>
        </row>
        <row r="79">
          <cell r="D79" t="str">
            <v>Market Value</v>
          </cell>
        </row>
        <row r="85">
          <cell r="D85" t="str">
            <v>As Is Market Value - January 1, 2022</v>
          </cell>
        </row>
      </sheetData>
      <sheetData sheetId="11">
        <row r="14">
          <cell r="C14" t="str">
            <v>12 months</v>
          </cell>
        </row>
        <row r="15">
          <cell r="C15" t="str">
            <v>12 months</v>
          </cell>
        </row>
      </sheetData>
      <sheetData sheetId="12"/>
      <sheetData sheetId="13"/>
      <sheetData sheetId="14"/>
      <sheetData sheetId="15"/>
      <sheetData sheetId="16"/>
      <sheetData sheetId="17"/>
      <sheetData sheetId="18">
        <row r="2">
          <cell r="C2" t="str">
            <v>Northwest side of Prairie Center Parway, south of Eagle Boulevard, in the City of Brighton, Adams County, Colorado.</v>
          </cell>
        </row>
        <row r="11">
          <cell r="C11">
            <v>0</v>
          </cell>
        </row>
        <row r="12">
          <cell r="C12"/>
        </row>
        <row r="16">
          <cell r="C16" t="str">
            <v>Typical utilities and municipal services available to site.</v>
          </cell>
        </row>
        <row r="18">
          <cell r="C18" t="str">
            <v>08001C0333H</v>
          </cell>
        </row>
        <row r="19">
          <cell r="C19">
            <v>39146</v>
          </cell>
        </row>
        <row r="20">
          <cell r="C20" t="str">
            <v>Zone X (Unshaded)</v>
          </cell>
        </row>
        <row r="21">
          <cell r="C21" t="str">
            <v>Zone X (unshaded) is a Non-Special Flood Hazard Area (NSFHA) of minimal flood hazard, usually depicted on Flood Insurance Rate Maps (FIRM) as above the 500-year flood level. This is an area in a low to moderate risk flood zone that is not in any immediate danger from flooding caused by overflowing rivers or hard rains. In communities that participate in the National Flood Insurance Program (NFIP), flood insurance is available to all property owners and renters in this zone.</v>
          </cell>
        </row>
        <row r="22">
          <cell r="C22">
            <v>0</v>
          </cell>
        </row>
        <row r="24">
          <cell r="C24" t="str">
            <v>We did not receive nor review a soil report.  However, we assume that the soil's load-bearing capacity is sufficient to support existing and/or proposed structure(s).  We did not observe any evidence to the contrary during our physical inspection of the property.</v>
          </cell>
        </row>
        <row r="25">
          <cell r="C25" t="str">
            <v>No unusual conditions observed.  No studies provided.  Site is assumed to be free of any environmental concerns.</v>
          </cell>
        </row>
        <row r="27">
          <cell r="C27" t="str">
            <v>Manual fill.</v>
          </cell>
        </row>
        <row r="28">
          <cell r="C28" t="str">
            <v>Manual fill.</v>
          </cell>
        </row>
        <row r="29">
          <cell r="C29" t="str">
            <v>Manual fill.</v>
          </cell>
        </row>
        <row r="30">
          <cell r="C30"/>
        </row>
        <row r="31">
          <cell r="C31" t="str">
            <v>Manual fill.</v>
          </cell>
        </row>
        <row r="32">
          <cell r="C32" t="str">
            <v>Manual fill.</v>
          </cell>
        </row>
        <row r="33">
          <cell r="C33" t="str">
            <v>Manual fill.</v>
          </cell>
        </row>
        <row r="34">
          <cell r="C34" t="str">
            <v>Manual fill.</v>
          </cell>
        </row>
        <row r="37">
          <cell r="C37" t="str">
            <v>Improved Parcel: 1569-212-01-017
Excess Land: 1569-212-01-018</v>
          </cell>
        </row>
        <row r="38">
          <cell r="C38" t="str">
            <v>Improved Parcel: PRAIRIE CENTER MAJOR RETAIL 2 4TH AMND LOT 5 REMAINDER
Excess Land: PRAIRIE CENTER MAJOR RETAIL 2 4TH AMND LOT 5A</v>
          </cell>
        </row>
        <row r="39">
          <cell r="C39" t="str">
            <v xml:space="preserve">A typical parking and access agreement appears to exist with adjacent properties to the north and south of the subject. No adverse easements or encumbrances appear to exist at the property. </v>
          </cell>
        </row>
      </sheetData>
      <sheetData sheetId="19"/>
      <sheetData sheetId="20"/>
      <sheetData sheetId="21"/>
      <sheetData sheetId="22">
        <row r="2">
          <cell r="C2" t="str">
            <v>Multi-Tenant Retail Center with Excess Land</v>
          </cell>
        </row>
        <row r="3">
          <cell r="C3" t="str">
            <v>Retail</v>
          </cell>
        </row>
        <row r="4">
          <cell r="C4" t="str">
            <v>Multi-Tenant Retail Center with Excess Land</v>
          </cell>
        </row>
        <row r="6">
          <cell r="C6" t="str">
            <v>Updated over time</v>
          </cell>
        </row>
        <row r="7">
          <cell r="C7">
            <v>3</v>
          </cell>
        </row>
        <row r="8">
          <cell r="C8">
            <v>1</v>
          </cell>
        </row>
        <row r="9">
          <cell r="C9" t="str">
            <v>C</v>
          </cell>
        </row>
        <row r="14">
          <cell r="C14">
            <v>0</v>
          </cell>
        </row>
        <row r="15">
          <cell r="C15">
            <v>0</v>
          </cell>
        </row>
        <row r="16">
          <cell r="C16">
            <v>0</v>
          </cell>
        </row>
        <row r="17">
          <cell r="C17">
            <v>109032</v>
          </cell>
        </row>
        <row r="22">
          <cell r="C22" t="str"/>
        </row>
        <row r="23">
          <cell r="C23" t="str"/>
        </row>
        <row r="27">
          <cell r="C27">
            <v>0</v>
          </cell>
        </row>
        <row r="28">
          <cell r="C28" t="str">
            <v>Manual fill.</v>
          </cell>
        </row>
        <row r="29">
          <cell r="C29" t="str">
            <v>N/R</v>
          </cell>
        </row>
        <row r="30">
          <cell r="C30">
            <v>0</v>
          </cell>
        </row>
        <row r="31">
          <cell r="C31">
            <v>0.18029073080825908</v>
          </cell>
        </row>
        <row r="35">
          <cell r="C35" t="str">
            <v>Manual Entry</v>
          </cell>
        </row>
        <row r="37">
          <cell r="C37" t="str"/>
        </row>
        <row r="38">
          <cell r="C38" t="str"/>
        </row>
        <row r="39">
          <cell r="C39" t="str">
            <v>Manual fill.</v>
          </cell>
        </row>
        <row r="40">
          <cell r="C40" t="str"/>
        </row>
        <row r="41">
          <cell r="C41" t="str"/>
        </row>
        <row r="44">
          <cell r="C44">
            <v>433</v>
          </cell>
        </row>
        <row r="45">
          <cell r="C45">
            <v>0</v>
          </cell>
        </row>
        <row r="46">
          <cell r="C46">
            <v>0</v>
          </cell>
        </row>
        <row r="48">
          <cell r="C48" t="str">
            <v>4.05 spaces per 1,000 SF of net building area.</v>
          </cell>
        </row>
        <row r="50">
          <cell r="C50" t="str">
            <v>The property is assumed to be fully ADA compliant.</v>
          </cell>
        </row>
        <row r="54">
          <cell r="C54" t="str">
            <v>Manual fill.</v>
          </cell>
        </row>
        <row r="55">
          <cell r="C55"/>
        </row>
        <row r="56">
          <cell r="C56" t="str">
            <v>Concrete block</v>
          </cell>
        </row>
        <row r="57">
          <cell r="C57"/>
        </row>
        <row r="58">
          <cell r="C58"/>
        </row>
        <row r="59">
          <cell r="C59"/>
        </row>
        <row r="60">
          <cell r="C60"/>
        </row>
        <row r="61">
          <cell r="C61"/>
        </row>
        <row r="65">
          <cell r="C65"/>
        </row>
        <row r="66">
          <cell r="C66"/>
        </row>
        <row r="67">
          <cell r="C67" t="str">
            <v>Manual fill.</v>
          </cell>
        </row>
        <row r="69">
          <cell r="C69"/>
        </row>
        <row r="70">
          <cell r="C70" t="str"/>
        </row>
        <row r="75">
          <cell r="C75"/>
        </row>
        <row r="76">
          <cell r="C76"/>
        </row>
        <row r="77">
          <cell r="C77" t="str">
            <v>Manual fill.</v>
          </cell>
        </row>
        <row r="78">
          <cell r="C78" t="str">
            <v>Manual fill.</v>
          </cell>
        </row>
        <row r="80">
          <cell r="C80"/>
        </row>
        <row r="83">
          <cell r="C83"/>
        </row>
        <row r="84">
          <cell r="C84"/>
        </row>
        <row r="85">
          <cell r="C85" t="str">
            <v>Manual fill.</v>
          </cell>
        </row>
        <row r="86">
          <cell r="C86" t="str">
            <v>Manual fill.</v>
          </cell>
        </row>
        <row r="87">
          <cell r="C87" t="str">
            <v>Manual fill.</v>
          </cell>
        </row>
        <row r="90">
          <cell r="C90" t="str">
            <v>None noted</v>
          </cell>
        </row>
        <row r="91">
          <cell r="C91" t="str">
            <v>None noted</v>
          </cell>
        </row>
        <row r="92">
          <cell r="C92" t="str">
            <v>N/A</v>
          </cell>
        </row>
        <row r="95">
          <cell r="C95" t="str">
            <v>Average</v>
          </cell>
        </row>
        <row r="97">
          <cell r="C97" t="str">
            <v>Average</v>
          </cell>
        </row>
        <row r="99">
          <cell r="C99" t="str">
            <v>Average</v>
          </cell>
        </row>
        <row r="100">
          <cell r="C100" t="str">
            <v>Building 1: 4 Years
Building 2: 9 Years
Building 3: 14 Years</v>
          </cell>
        </row>
        <row r="103">
          <cell r="C103" t="str">
            <v>Building 1: 41 Years
Building 2: 40 Years
Building 3: 38 Years</v>
          </cell>
        </row>
      </sheetData>
      <sheetData sheetId="23">
        <row r="31">
          <cell r="C31" t="str">
            <v>Manual Entry</v>
          </cell>
        </row>
        <row r="32">
          <cell r="C32" t="str">
            <v>Manual Entry</v>
          </cell>
        </row>
        <row r="33">
          <cell r="C33" t="str">
            <v>Manual Entry</v>
          </cell>
        </row>
        <row r="34">
          <cell r="C34" t="str">
            <v>Manual Entry</v>
          </cell>
        </row>
        <row r="35">
          <cell r="C35" t="str">
            <v>Manual Entry</v>
          </cell>
        </row>
        <row r="36">
          <cell r="C36" t="str">
            <v>Manual Entry</v>
          </cell>
        </row>
        <row r="39">
          <cell r="C39" t="str">
            <v>Manual Entry</v>
          </cell>
        </row>
        <row r="40">
          <cell r="C40" t="str">
            <v>Manual Entry</v>
          </cell>
        </row>
        <row r="85">
          <cell r="C85" t="str">
            <v>Manual Entry</v>
          </cell>
        </row>
      </sheetData>
      <sheetData sheetId="24"/>
      <sheetData sheetId="25"/>
      <sheetData sheetId="26"/>
      <sheetData sheetId="27"/>
      <sheetData sheetId="28">
        <row r="2">
          <cell r="B2" t="str">
            <v>Retail Development</v>
          </cell>
        </row>
        <row r="3">
          <cell r="B3" t="str">
            <v>As currently developed</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1">
          <cell r="V1">
            <v>0</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Basic"/>
      <sheetName val="LA"/>
      <sheetName val="BAA - Pre-Appraisal Analysis"/>
      <sheetName val="Rent Roll"/>
      <sheetName val="LAG"/>
      <sheetName val="MRC &amp; PGRI"/>
      <sheetName val="V &amp; CL"/>
      <sheetName val="HOA"/>
      <sheetName val="CED"/>
      <sheetName val="OECC"/>
      <sheetName val="PF"/>
      <sheetName val="Cap Rate"/>
      <sheetName val="IA Value"/>
      <sheetName val="IS Summary"/>
      <sheetName val="Sales Grid"/>
      <sheetName val="Market Conditions"/>
      <sheetName val="SCA Value"/>
      <sheetName val="Land Sales Adjustments "/>
      <sheetName val="Cost Analysis Actual Costs"/>
      <sheetName val="Cost Analysis Estimated Costs"/>
      <sheetName val="Final Valu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33">
          <cell r="G33">
            <v>6128646.0606000004</v>
          </cell>
        </row>
        <row r="56">
          <cell r="G56">
            <v>919296.9090900002</v>
          </cell>
        </row>
      </sheetData>
      <sheetData sheetId="2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Navigation"/>
      <sheetName val="Menu"/>
      <sheetName val="OptionsProperty"/>
      <sheetName val="Addenda"/>
      <sheetName val="MethodAssump"/>
      <sheetName val="ExtraordinaryHypothetical"/>
      <sheetName val="Assignment"/>
      <sheetName val="CompanyAddressList"/>
      <sheetName val="Certification_OLD"/>
      <sheetName val="Certification"/>
      <sheetName val="CertificationsOptions"/>
      <sheetName val="Valuation Scenarios"/>
      <sheetName val="Value Indications"/>
      <sheetName val="Lists"/>
      <sheetName val="Risk Summary"/>
      <sheetName val="Property History"/>
      <sheetName val="Scope Info"/>
      <sheetName val="H&amp;BU"/>
      <sheetName val="OptionsProperty_Old"/>
      <sheetName val="MapOptions"/>
      <sheetName val="Site Information"/>
      <sheetName val="Improvement Description"/>
      <sheetName val="Zoning"/>
      <sheetName val="Taxes"/>
      <sheetName val="TaxComps"/>
      <sheetName val="Neighborhood"/>
      <sheetName val="LSaleData"/>
      <sheetName val="LSales"/>
      <sheetName val="LSaleAdj"/>
      <sheetName val="LSaleAdj_Macro"/>
      <sheetName val="LSaleNarr"/>
      <sheetName val="CostDataSec99"/>
      <sheetName val="CostDataSec13"/>
      <sheetName val="CostDataSec14"/>
      <sheetName val="CostDataSec15"/>
      <sheetName val="OptionsCost"/>
      <sheetName val="Cost"/>
      <sheetName val="CostInsur"/>
      <sheetName val="ISaleData"/>
      <sheetName val="ISales"/>
      <sheetName val="RentRoll_Old"/>
      <sheetName val="ISaleAdj_Macro"/>
      <sheetName val="ISaleTbls"/>
      <sheetName val="AdjustmentDetail"/>
      <sheetName val="ISaleNarr"/>
      <sheetName val="ISaleAdj"/>
      <sheetName val="RentRoll"/>
      <sheetName val="RentRoll_Macro"/>
      <sheetName val="RentRollTbls"/>
      <sheetName val="RentCompData"/>
      <sheetName val="LeaseAbstracts"/>
      <sheetName val="LeaseComps"/>
      <sheetName val="StdLeaseAdj"/>
      <sheetName val="StdLeaseAdj_Macro"/>
      <sheetName val="MarketRentConclusions"/>
      <sheetName val="STMarketRentConclusions"/>
      <sheetName val="OpActuals"/>
      <sheetName val="OpSummary"/>
      <sheetName val="ExpCompData"/>
      <sheetName val="SummaryExpenseTbl"/>
      <sheetName val="Recoveries"/>
      <sheetName val="LeaseDataRaw"/>
      <sheetName val="LeaseAdjDetail"/>
      <sheetName val="LeaseAdj"/>
      <sheetName val="MarketRentConcNarr"/>
      <sheetName val="ExpCompRawData"/>
      <sheetName val="CapRates"/>
      <sheetName val="ProForma"/>
      <sheetName val="OwnerUserExpProforma"/>
      <sheetName val="ExpCompIREM"/>
      <sheetName val="ExpCompIREMregional"/>
      <sheetName val="LeaseUpAdj"/>
      <sheetName val="PwC"/>
      <sheetName val="OpSummaryGSE"/>
      <sheetName val="ProformaGSE"/>
      <sheetName val="Evaluation"/>
      <sheetName val="Scratch"/>
      <sheetName val="DiscountedCashFlow"/>
      <sheetName val="Sheet3"/>
      <sheetName val="Comp1"/>
      <sheetName val="Comp2"/>
      <sheetName val="Comp3"/>
      <sheetName val="Comp4"/>
      <sheetName val="Comp5"/>
      <sheetName val="Comp6"/>
      <sheetName val="Comp7"/>
      <sheetName val="Comp8"/>
      <sheetName val="Comp9"/>
      <sheetName val="Comp10"/>
      <sheetName val="Client Company"/>
      <sheetName val="Client Contact"/>
      <sheetName val="Job Info"/>
      <sheetName val="Our Company"/>
      <sheetName val="Job Property"/>
      <sheetName val="Property Comments"/>
      <sheetName val="Property Attributes"/>
      <sheetName val="Property Unit Mix"/>
      <sheetName val="Comparable Rental Picklists"/>
      <sheetName val="Comp. Rental Picklist Units"/>
      <sheetName val="Comparable Sale Picklists"/>
      <sheetName val="Comp. Land Sale Picklists"/>
      <sheetName val="Job Participants"/>
      <sheetName val="Job Participant Additional Info"/>
    </sheetNames>
    <sheetDataSet>
      <sheetData sheetId="0"/>
      <sheetData sheetId="1"/>
      <sheetData sheetId="2"/>
      <sheetData sheetId="3"/>
      <sheetData sheetId="4"/>
      <sheetData sheetId="5"/>
      <sheetData sheetId="6">
        <row r="30">
          <cell r="B30" t="str">
            <v>Shops at Presidio</v>
          </cell>
        </row>
      </sheetData>
      <sheetData sheetId="7"/>
      <sheetData sheetId="8"/>
      <sheetData sheetId="9"/>
      <sheetData sheetId="10"/>
      <sheetData sheetId="11">
        <row r="4">
          <cell r="B4" t="str">
            <v>As Is</v>
          </cell>
        </row>
      </sheetData>
      <sheetData sheetId="12"/>
      <sheetData sheetId="13">
        <row r="2">
          <cell r="H2" t="str">
            <v>Neutral</v>
          </cell>
          <cell r="AA2" t="str">
            <v>Excellent</v>
          </cell>
          <cell r="BV2" t="str">
            <v>NRA</v>
          </cell>
        </row>
        <row r="3">
          <cell r="H3" t="str">
            <v>Upward</v>
          </cell>
          <cell r="AA3" t="str">
            <v>Good/Excellent</v>
          </cell>
          <cell r="BV3" t="str">
            <v>GBA</v>
          </cell>
        </row>
        <row r="4">
          <cell r="H4" t="str">
            <v>Downward</v>
          </cell>
          <cell r="AA4" t="str">
            <v>Good</v>
          </cell>
          <cell r="BV4" t="str">
            <v>Land</v>
          </cell>
        </row>
        <row r="5">
          <cell r="AA5" t="str">
            <v>Average/Good</v>
          </cell>
        </row>
        <row r="6">
          <cell r="AA6" t="str">
            <v>Average</v>
          </cell>
        </row>
        <row r="7">
          <cell r="AA7" t="str">
            <v>Average/Fair</v>
          </cell>
        </row>
        <row r="8">
          <cell r="AA8" t="str">
            <v>Fair</v>
          </cell>
        </row>
        <row r="9">
          <cell r="AA9" t="str">
            <v>Fair/Poor</v>
          </cell>
        </row>
        <row r="10">
          <cell r="AA10" t="str">
            <v>Poor</v>
          </cell>
        </row>
      </sheetData>
      <sheetData sheetId="14"/>
      <sheetData sheetId="15"/>
      <sheetData sheetId="16"/>
      <sheetData sheetId="17"/>
      <sheetData sheetId="18"/>
      <sheetData sheetId="19"/>
      <sheetData sheetId="20">
        <row r="3">
          <cell r="B3">
            <v>125017</v>
          </cell>
        </row>
      </sheetData>
      <sheetData sheetId="21">
        <row r="5">
          <cell r="B5">
            <v>2017</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44">
          <cell r="F44">
            <v>0</v>
          </cell>
        </row>
        <row r="58">
          <cell r="G58" t="e">
            <v>#N/A</v>
          </cell>
        </row>
      </sheetData>
      <sheetData sheetId="37"/>
      <sheetData sheetId="38">
        <row r="2">
          <cell r="A2">
            <v>1</v>
          </cell>
        </row>
      </sheetData>
      <sheetData sheetId="39"/>
      <sheetData sheetId="40"/>
      <sheetData sheetId="41"/>
      <sheetData sheetId="42"/>
      <sheetData sheetId="43"/>
      <sheetData sheetId="44"/>
      <sheetData sheetId="45">
        <row r="188">
          <cell r="D188">
            <v>750000</v>
          </cell>
        </row>
      </sheetData>
      <sheetData sheetId="46">
        <row r="9">
          <cell r="C9">
            <v>1</v>
          </cell>
        </row>
      </sheetData>
      <sheetData sheetId="47">
        <row r="2">
          <cell r="A2" t="str">
            <v>Retail</v>
          </cell>
        </row>
        <row r="3">
          <cell r="A3" t="str">
            <v>In-Line (&lt; 1,500)</v>
          </cell>
        </row>
        <row r="4">
          <cell r="A4" t="str">
            <v>In-Line (&gt;1,500)</v>
          </cell>
        </row>
        <row r="5">
          <cell r="A5" t="str">
            <v>Jr. Anchor</v>
          </cell>
        </row>
        <row r="6">
          <cell r="A6" t="str">
            <v>Anchor</v>
          </cell>
        </row>
        <row r="7">
          <cell r="A7" t="str">
            <v>Endcap</v>
          </cell>
        </row>
        <row r="8">
          <cell r="A8" t="str">
            <v>Pad Site</v>
          </cell>
        </row>
        <row r="9">
          <cell r="A9" t="str">
            <v>Restaurant</v>
          </cell>
        </row>
        <row r="10">
          <cell r="A10" t="str">
            <v>Bar/Restaurant</v>
          </cell>
        </row>
        <row r="11">
          <cell r="A11" t="str">
            <v>Retail/Office</v>
          </cell>
        </row>
      </sheetData>
      <sheetData sheetId="48"/>
      <sheetData sheetId="49"/>
      <sheetData sheetId="50"/>
      <sheetData sheetId="51"/>
      <sheetData sheetId="52">
        <row r="62">
          <cell r="C62" t="str">
            <v>NNN</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50">
          <cell r="D50">
            <v>5500000</v>
          </cell>
        </row>
      </sheetData>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Value Indications"/>
      <sheetName val="Land Sales Adjustments"/>
      <sheetName val="Summary of Land Sales"/>
      <sheetName val="Cost"/>
      <sheetName val="Cost Approach Summary"/>
      <sheetName val="Improved Sales Adjustments"/>
      <sheetName val="Summary of Improved Sales"/>
      <sheetName val="Extra Improved Sales Adjustment"/>
      <sheetName val="Taxes &amp; Financial Indicators"/>
      <sheetName val="Lease Abstracts"/>
      <sheetName val="RentRoll"/>
      <sheetName val="Expense Recoveries"/>
      <sheetName val="Lease Adjustments"/>
      <sheetName val="Lease Comps"/>
      <sheetName val="Market Rent Conclusion"/>
      <sheetName val="PGRI"/>
      <sheetName val="Vacancy"/>
      <sheetName val="Operating Expenses"/>
      <sheetName val=" Proforma &amp; Cap"/>
      <sheetName val="Risk Factors Affecting Subject"/>
      <sheetName val="Sheet1"/>
      <sheetName val="Cap Rate Comps"/>
    </sheetNames>
    <sheetDataSet>
      <sheetData sheetId="0" refreshError="1">
        <row r="5">
          <cell r="C5">
            <v>2170000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row r="4">
          <cell r="B4">
            <v>1100000</v>
          </cell>
        </row>
        <row r="5">
          <cell r="B5">
            <v>680000</v>
          </cell>
        </row>
      </sheetData>
      <sheetData sheetId="2"/>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Basic"/>
      <sheetName val="LA"/>
      <sheetName val="Rent Roll"/>
      <sheetName val="LAG"/>
      <sheetName val="MRC &amp; PGRI"/>
      <sheetName val="V &amp; CL"/>
      <sheetName val="HOA"/>
      <sheetName val="CED"/>
      <sheetName val="OECC"/>
      <sheetName val="PF"/>
      <sheetName val="Cap Rate"/>
      <sheetName val="IA Value"/>
      <sheetName val="IS Summary"/>
      <sheetName val="Market Conditions"/>
      <sheetName val="SCA Value"/>
      <sheetName val="Final Valu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Navigation"/>
      <sheetName val="Menu"/>
      <sheetName val="OptionsProperty"/>
      <sheetName val="Addenda"/>
      <sheetName val="MethodAssump"/>
      <sheetName val="ExtraordinaryHypothetical"/>
      <sheetName val="Assignment"/>
      <sheetName val="CompanyAddressData"/>
      <sheetName val="CompanyAddressList"/>
      <sheetName val="tblSalientFacts"/>
      <sheetName val="Certification"/>
      <sheetName val="CertificationsOptions"/>
      <sheetName val="Valuation Scenarios"/>
      <sheetName val="Value Indications"/>
      <sheetName val="Lists"/>
      <sheetName val="Risk Summary"/>
      <sheetName val="Property History"/>
      <sheetName val="Scope Info"/>
      <sheetName val="MapOptions"/>
      <sheetName val="Site Information"/>
      <sheetName val="tblSite"/>
      <sheetName val="Zoning"/>
      <sheetName val="Improvement Description"/>
      <sheetName val="tblImprovements"/>
      <sheetName val="Taxes"/>
      <sheetName val="TaxComps"/>
      <sheetName val="Neighborhood"/>
      <sheetName val="Demos"/>
      <sheetName val="H&amp;BU"/>
      <sheetName val="LSalesNew"/>
      <sheetName val="LSaleAdjNew"/>
      <sheetName val="LSalesAnalysis"/>
      <sheetName val="CostDataSec99"/>
      <sheetName val="CostDataSec13"/>
      <sheetName val="CostDataSec14"/>
      <sheetName val="CostDataSec15"/>
      <sheetName val="OptionsCost"/>
      <sheetName val="Cost"/>
      <sheetName val="CostInsur"/>
      <sheetName val="ISaleData"/>
      <sheetName val="Evaluation"/>
      <sheetName val="ISalesNew"/>
      <sheetName val="ISaleAdjNew"/>
      <sheetName val="ISalesAnalysis"/>
      <sheetName val="ISaleTbls"/>
      <sheetName val="RentRollTbls"/>
      <sheetName val="RentCompData"/>
      <sheetName val="RentRollNew"/>
      <sheetName val="tblRentRoll"/>
      <sheetName val="LeaseAbstractsNew"/>
      <sheetName val="LeaseCompsNew"/>
      <sheetName val="SpecialtyLeaseComps"/>
      <sheetName val="LeaseAdjGrids"/>
      <sheetName val="STMarketRentConclusions"/>
      <sheetName val="AltPropertyAdjGrid"/>
      <sheetName val="MktRentConcl"/>
      <sheetName val="RawOpData"/>
      <sheetName val="OpSummary"/>
      <sheetName val="SummaryExpenseTbl"/>
      <sheetName val="ExpCompData"/>
      <sheetName val="Recoveries.New"/>
      <sheetName val="ExpCompRawData"/>
      <sheetName val="CapRates"/>
      <sheetName val="ProForma"/>
      <sheetName val="OwnerUserExpProforma"/>
      <sheetName val="ExpCompIREM"/>
      <sheetName val="ExpCompIREMregional"/>
      <sheetName val="LeaseUpAdj"/>
      <sheetName val="PwC"/>
      <sheetName val="DCF.New"/>
      <sheetName val="Scratch"/>
      <sheetName val="Comp. Land Sale Picklists"/>
      <sheetName val="Survey Publications"/>
      <sheetName val="Our Company"/>
      <sheetName val="Job Info"/>
      <sheetName val="Job Participants"/>
      <sheetName val="Job Participant Additional Info"/>
      <sheetName val="Job Property"/>
      <sheetName val="Property Comments"/>
      <sheetName val="Property Attributes"/>
      <sheetName val="Client Company"/>
      <sheetName val="Client Contact"/>
      <sheetName val="Comparable Sale Picklists"/>
      <sheetName val="Comparable Lease Picklists"/>
      <sheetName val="Subject Property Leases"/>
      <sheetName val="Comparable Rental Pick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95">
          <cell r="C95">
            <v>40</v>
          </cell>
        </row>
        <row r="96">
          <cell r="C96">
            <v>0</v>
          </cell>
        </row>
      </sheetData>
      <sheetData sheetId="23"/>
      <sheetData sheetId="24"/>
      <sheetData sheetId="25"/>
      <sheetData sheetId="26"/>
      <sheetData sheetId="27"/>
      <sheetData sheetId="28"/>
      <sheetData sheetId="29"/>
      <sheetData sheetId="30"/>
      <sheetData sheetId="31"/>
      <sheetData sheetId="32"/>
      <sheetData sheetId="33">
        <row r="52">
          <cell r="B52">
            <v>1000</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Navigation"/>
      <sheetName val="Security_Ref"/>
      <sheetName val="Menu"/>
      <sheetName val="UNAUTHORIZED FILE USE"/>
      <sheetName val="ProsperSpark Changes"/>
      <sheetName val="OptionsProperty"/>
      <sheetName val="CompanyAddressData"/>
      <sheetName val="xCompanyAddressList"/>
      <sheetName val="CertificationsOptions"/>
      <sheetName val="MapOptions"/>
      <sheetName val="Assignment"/>
      <sheetName val="ExtraordinaryHypothetical"/>
      <sheetName val="Risk Summary"/>
      <sheetName val="Property History"/>
      <sheetName val="Scope Info"/>
      <sheetName val="Neighborhood"/>
      <sheetName val="Demos"/>
      <sheetName val="Site Information"/>
      <sheetName val="tblSite"/>
      <sheetName val="Zoning"/>
      <sheetName val="Unit Mix"/>
      <sheetName val="Improvement Description"/>
      <sheetName val="Improvement Description_2"/>
      <sheetName val="tblImprovements"/>
      <sheetName val="tblImprovements_2"/>
      <sheetName val="Taxes"/>
      <sheetName val="TaxComps"/>
      <sheetName val="Lists"/>
      <sheetName val="H&amp;BU"/>
      <sheetName val="LSales1"/>
      <sheetName val="LSaleAdj1"/>
      <sheetName val="LSaleAnalysis1"/>
      <sheetName val="LSales2"/>
      <sheetName val="LSaleAdj2"/>
      <sheetName val="LSaleAnalysis2"/>
      <sheetName val="LSales3"/>
      <sheetName val="LSaleAdj3"/>
      <sheetName val="LSaleAnalysis3"/>
      <sheetName val="LSales4"/>
      <sheetName val="LSaleAdj4"/>
      <sheetName val="LSaleAnalysis4"/>
      <sheetName val="LSales5"/>
      <sheetName val="LSaleAdj5"/>
      <sheetName val="LSaleAnalysis5"/>
      <sheetName val="LSales6"/>
      <sheetName val="LSaleAdj6"/>
      <sheetName val="LSaleAnalysis6"/>
      <sheetName val="LSales7"/>
      <sheetName val="LSaleAdj7"/>
      <sheetName val="LSaleAnalysis7"/>
      <sheetName val="LSales8"/>
      <sheetName val="LSaleAdj8"/>
      <sheetName val="LSaleAnalysis8"/>
      <sheetName val="LSales9"/>
      <sheetName val="LSaleAdj9"/>
      <sheetName val="LSaleAnalysis9"/>
      <sheetName val="LSales10"/>
      <sheetName val="LSaleAdj10"/>
      <sheetName val="LSaleAnalysis10"/>
      <sheetName val="CostDataSec11_12"/>
      <sheetName val="CostDataSec13"/>
      <sheetName val="CostDataSec14"/>
      <sheetName val="CostDataSec15"/>
      <sheetName val="CostDataSec18"/>
      <sheetName val="OptionsCost"/>
      <sheetName val="CostDataSec99"/>
      <sheetName val="tblSalientFacts"/>
      <sheetName val="Cost"/>
      <sheetName val="Cost_2"/>
      <sheetName val="Cost_3"/>
      <sheetName val="Cost_4"/>
      <sheetName val="Cost_5"/>
      <sheetName val="CostSummary"/>
      <sheetName val="CostInsur"/>
      <sheetName val="Evaluation"/>
      <sheetName val="NamedRanges"/>
      <sheetName val="ISales1"/>
      <sheetName val="ISaleAdj1"/>
      <sheetName val="ISalesAnalysis1"/>
      <sheetName val="ISaleTbls1"/>
      <sheetName val="ISales2"/>
      <sheetName val="ISaleAdj2"/>
      <sheetName val="ISalesAnalysis2"/>
      <sheetName val="ISaleTbls2"/>
      <sheetName val="ISales3"/>
      <sheetName val="ISaleAdj3"/>
      <sheetName val="ISalesAnalysis3"/>
      <sheetName val="ISaleTbls3"/>
      <sheetName val="ISales4"/>
      <sheetName val="ISaleAdj4"/>
      <sheetName val="ISalesAnalysis4"/>
      <sheetName val="ISaleTbls4"/>
      <sheetName val="ISales5"/>
      <sheetName val="ISaleAdj5"/>
      <sheetName val="ISalesAnalysis5"/>
      <sheetName val="ISaleTbls5"/>
      <sheetName val="ISales6"/>
      <sheetName val="ISaleAdj6"/>
      <sheetName val="ISalesAnalysis6"/>
      <sheetName val="ISaleTbls6"/>
      <sheetName val="ISales7"/>
      <sheetName val="ISaleAdj7"/>
      <sheetName val="ISalesAnalysis7"/>
      <sheetName val="ISaleTbls7"/>
      <sheetName val="ISales8"/>
      <sheetName val="ISaleAdj8"/>
      <sheetName val="ISalesAnalysis8"/>
      <sheetName val="ISaleTbls8"/>
      <sheetName val="ISales9"/>
      <sheetName val="ISaleAdj9"/>
      <sheetName val="ISalesAnalysis9"/>
      <sheetName val="ISaleTbls9"/>
      <sheetName val="ISales10"/>
      <sheetName val="ISaleAdj10"/>
      <sheetName val="ISalesAnalysis10"/>
      <sheetName val="ISaleTbls10"/>
      <sheetName val="RentRollApt"/>
      <sheetName val="UnitCompApt"/>
      <sheetName val="tblUnitCompApt"/>
      <sheetName val="CompRentsApt"/>
      <sheetName val="RentSurveyApt"/>
      <sheetName val="RentRoll"/>
      <sheetName val="RetailSales"/>
      <sheetName val="tblRentRoll"/>
      <sheetName val="LeaseAbstracts"/>
      <sheetName val="LeaseComps"/>
      <sheetName val="SpecialtyLeaseComps"/>
      <sheetName val="AltPropertyAdjGrid"/>
      <sheetName val="LeaseAdjGrids"/>
      <sheetName val="LeaseCompsSecondary"/>
      <sheetName val="LeaseAdjGridsSecondary"/>
      <sheetName val="AltPropertyAdjSecondary"/>
      <sheetName val="MktRentConcl"/>
      <sheetName val="STMarketRentConclusions"/>
      <sheetName val="RawOpData"/>
      <sheetName val="OpSummary"/>
      <sheetName val="SummaryExpenseTbl"/>
      <sheetName val="ExpCompData"/>
      <sheetName val="Recoveries"/>
      <sheetName val="ExpCompRawData"/>
      <sheetName val="CapRates"/>
      <sheetName val="ProForma"/>
      <sheetName val="OwnerUserExpProforma"/>
      <sheetName val="GoDark"/>
      <sheetName val="LeaseUpAdj"/>
      <sheetName val="DCF"/>
      <sheetName val="Survey Publications"/>
      <sheetName val="ValuationScenarios"/>
      <sheetName val="Scratch"/>
      <sheetName val="Addenda"/>
      <sheetName val="Certification"/>
      <sheetName val="ClientCompany"/>
      <sheetName val="ClientContact"/>
      <sheetName val="JobParticipants"/>
      <sheetName val="JobSubjectProperty"/>
      <sheetName val="JobSubjectPropertyLeases"/>
      <sheetName val="JobConditionalLanguage"/>
      <sheetName val="ComparableSales"/>
      <sheetName val="ComparableLeases"/>
      <sheetName val="JobParticipantAdditionalInfo"/>
      <sheetName val="JobSubjectPropertyUnitMix"/>
      <sheetName val="ComparableMFRentals"/>
      <sheetName val="ComparableMFRentalsUnits"/>
      <sheetName val="JobSubjectPropertyAmenities"/>
      <sheetName val="MVSCostData"/>
      <sheetName val="CompCommercialRentSurveys"/>
      <sheetName val="JobValuationScenarios"/>
      <sheetName val="Expansion1"/>
      <sheetName val="Expansion2"/>
      <sheetName val="Expansion3"/>
      <sheetName val="1024 Cherokee Street F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Set>
  </externalBook>
</externalLink>
</file>

<file path=xl/tables/table1.xml><?xml version="1.0" encoding="utf-8"?>
<table xmlns="http://schemas.openxmlformats.org/spreadsheetml/2006/main" id="1" name="ResourcesTable" displayName="ResourcesTable" ref="A5:F302" headerRowCount="1">
  <autoFilter ref="A5:F302"/>
  <tableColumns count="6">
    <tableColumn id="1" name="Priority"/>
    <tableColumn id="2" name="Municipality / Area"/>
    <tableColumn id="3" name="Category"/>
    <tableColumn id="4" name="Resource Name"/>
    <tableColumn id="5" name="URL"/>
    <tableColumn id="6" name="Descriptio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5.xml.rels><Relationships xmlns="http://schemas.openxmlformats.org/package/2006/relationships"><Relationship Type="http://schemas.openxmlformats.org/officeDocument/2006/relationships/hyperlink" Target="https://adcogov.org/property-look" TargetMode="External" Id="rId1" /><Relationship Type="http://schemas.openxmlformats.org/officeDocument/2006/relationships/hyperlink" Target="https://gisapp.adcogov.org/quicksearch/" TargetMode="External" Id="rId2" /><Relationship Type="http://schemas.openxmlformats.org/officeDocument/2006/relationships/hyperlink" Target="https://adcogov.org/assessor" TargetMode="External" Id="rId3" /><Relationship Type="http://schemas.openxmlformats.org/officeDocument/2006/relationships/hyperlink" Target="https://assessor.adcogov.org/" TargetMode="External" Id="rId4" /><Relationship Type="http://schemas.openxmlformats.org/officeDocument/2006/relationships/hyperlink" Target="https://assessornovs.adcogov.org/adamscountynovs" TargetMode="External" Id="rId5" /><Relationship Type="http://schemas.openxmlformats.org/officeDocument/2006/relationships/hyperlink" Target="https://adamscountyco.gov/our-county/elected-officials/treasurer-public-trustee/treasurer-division/" TargetMode="External" Id="rId6" /><Relationship Type="http://schemas.openxmlformats.org/officeDocument/2006/relationships/hyperlink" Target="https://adcotax.com/treasurer/web/login.jsp" TargetMode="External" Id="rId7" /><Relationship Type="http://schemas.openxmlformats.org/officeDocument/2006/relationships/hyperlink" Target="https://adamsil.devnetwedge.com/" TargetMode="External" Id="rId8" /><Relationship Type="http://schemas.openxmlformats.org/officeDocument/2006/relationships/hyperlink" Target="https://adamscountyco.gov/our-county/elected-officials/treasurer-public-trustee/treasurer-division/property-tax-information/taxing-authorities/" TargetMode="External" Id="rId9" /><Relationship Type="http://schemas.openxmlformats.org/officeDocument/2006/relationships/hyperlink" Target="https://dpt.colorado.gov/locality/adams-county-treasurer" TargetMode="External" Id="rId10" /><Relationship Type="http://schemas.openxmlformats.org/officeDocument/2006/relationships/hyperlink" Target="https://dlg.colorado.gov/hb24-1302-mill-levy-public-information" TargetMode="External" Id="rId11" /><Relationship Type="http://schemas.openxmlformats.org/officeDocument/2006/relationships/hyperlink" Target="https://adcogov.org/recording" TargetMode="External" Id="rId12" /><Relationship Type="http://schemas.openxmlformats.org/officeDocument/2006/relationships/hyperlink" Target="https://recording.adcogov.org/landmarkweb" TargetMode="External" Id="rId13" /><Relationship Type="http://schemas.openxmlformats.org/officeDocument/2006/relationships/hyperlink" Target="https://adamscountyco.gov/service/find-public-records-recorded-documents/" TargetMode="External" Id="rId14" /><Relationship Type="http://schemas.openxmlformats.org/officeDocument/2006/relationships/hyperlink" Target="https://www.adcogov.org/e-recording" TargetMode="External" Id="rId15" /><Relationship Type="http://schemas.openxmlformats.org/officeDocument/2006/relationships/hyperlink" Target="https://gisapp.adcogov.org/Html5Viewer/index.html?viewer=AdvancedExt.Advanced_HTML" TargetMode="External" Id="rId16" /><Relationship Type="http://schemas.openxmlformats.org/officeDocument/2006/relationships/hyperlink" Target="https://data-adcogov.opendata.arcgis.com/" TargetMode="External" Id="rId17" /><Relationship Type="http://schemas.openxmlformats.org/officeDocument/2006/relationships/hyperlink" Target="https://adamscountyco.gov/service/gis-interactive-maps/" TargetMode="External" Id="rId18" /><Relationship Type="http://schemas.openxmlformats.org/officeDocument/2006/relationships/hyperlink" Target="https://aca-prod.accela.com/ADAMSCO/Default.aspx" TargetMode="External" Id="rId19" /><Relationship Type="http://schemas.openxmlformats.org/officeDocument/2006/relationships/hyperlink" Target="https://epermits.adcogov.org/" TargetMode="External" Id="rId20" /><Relationship Type="http://schemas.openxmlformats.org/officeDocument/2006/relationships/hyperlink" Target="https://adcogov.org/building-safety" TargetMode="External" Id="rId21" /><Relationship Type="http://schemas.openxmlformats.org/officeDocument/2006/relationships/hyperlink" Target="https://adamscounty.buildingeye.com/" TargetMode="External" Id="rId22" /><Relationship Type="http://schemas.openxmlformats.org/officeDocument/2006/relationships/hyperlink" Target="https://adamscounty.buildingeye.com/enforcement" TargetMode="External" Id="rId23" /><Relationship Type="http://schemas.openxmlformats.org/officeDocument/2006/relationships/hyperlink" Target="https://adcogov.org/neighborhood-services" TargetMode="External" Id="rId24" /><Relationship Type="http://schemas.openxmlformats.org/officeDocument/2006/relationships/hyperlink" Target="https://adamscountyco.gov/our-county/community-economic-development/planning-development/" TargetMode="External" Id="rId25" /><Relationship Type="http://schemas.openxmlformats.org/officeDocument/2006/relationships/hyperlink" Target="https://data-adcogov.opendata.arcgis.com/datasets/ADCOGOV::zoning/about" TargetMode="External" Id="rId26" /><Relationship Type="http://schemas.openxmlformats.org/officeDocument/2006/relationships/hyperlink" Target="https://online.encodeplus.com/regs/adamscounty-co/doc-viewer.aspx?secid=6410" TargetMode="External" Id="rId27" /><Relationship Type="http://schemas.openxmlformats.org/officeDocument/2006/relationships/hyperlink" Target="https://adamscountyco.gov/our-county/community-economic-development/floodplain-management/" TargetMode="External" Id="rId28" /><Relationship Type="http://schemas.openxmlformats.org/officeDocument/2006/relationships/hyperlink" Target="https://data-adcogov.opendata.arcgis.com/datasets/flood-zones" TargetMode="External" Id="rId29" /><Relationship Type="http://schemas.openxmlformats.org/officeDocument/2006/relationships/hyperlink" Target="https://msc.fema.gov/" TargetMode="External" Id="rId30" /><Relationship Type="http://schemas.openxmlformats.org/officeDocument/2006/relationships/hyperlink" Target="https://coloradohazardmapping.com/hazardMapping/floodplainMapping" TargetMode="External" Id="rId31" /><Relationship Type="http://schemas.openxmlformats.org/officeDocument/2006/relationships/hyperlink" Target="https://www.fema.gov/flood-maps/national-flood-hazard-layer" TargetMode="External" Id="rId32" /><Relationship Type="http://schemas.openxmlformats.org/officeDocument/2006/relationships/hyperlink" Target="https://adamscountyco.gov/our-county/community-economic-development/advancing-adams/comprehensive-plan/" TargetMode="External" Id="rId33" /><Relationship Type="http://schemas.openxmlformats.org/officeDocument/2006/relationships/hyperlink" Target="https://adcogov.org/master-plans-maps" TargetMode="External" Id="rId34" /><Relationship Type="http://schemas.openxmlformats.org/officeDocument/2006/relationships/hyperlink" Target="https://adamscountyco.gov/wp-content/uploads/2026/01/CED-2030-Sustainability-Plan-011426.pdf" TargetMode="External" Id="rId35" /><Relationship Type="http://schemas.openxmlformats.org/officeDocument/2006/relationships/hyperlink" Target="https://adamscountyco.gov/our-county/community-economic-development/" TargetMode="External" Id="rId36" /><Relationship Type="http://schemas.openxmlformats.org/officeDocument/2006/relationships/hyperlink" Target="https://chooseadams.org/business-services/" TargetMode="External" Id="rId37" /><Relationship Type="http://schemas.openxmlformats.org/officeDocument/2006/relationships/hyperlink" Target="https://adamscountyedc.com/" TargetMode="External" Id="rId38" /><Relationship Type="http://schemas.openxmlformats.org/officeDocument/2006/relationships/hyperlink" Target="https://adamscountyco.gov/wp-content/uploads/2025/11/2025-Adams-County-Economic-Profile-CED.pdf" TargetMode="External" Id="rId39" /><Relationship Type="http://schemas.openxmlformats.org/officeDocument/2006/relationships/hyperlink" Target="https://adcogov.org/public-works" TargetMode="External" Id="rId40" /><Relationship Type="http://schemas.openxmlformats.org/officeDocument/2006/relationships/hyperlink" Target="https://adcogov.org/property-look" TargetMode="External" Id="rId41" /><Relationship Type="http://schemas.openxmlformats.org/officeDocument/2006/relationships/hyperlink" Target="https://adcotax.com/treasurer/web/login.jsp" TargetMode="External" Id="rId42" /><Relationship Type="http://schemas.openxmlformats.org/officeDocument/2006/relationships/hyperlink" Target="https://adamsil.devnetwedge.com/" TargetMode="External" Id="rId43" /><Relationship Type="http://schemas.openxmlformats.org/officeDocument/2006/relationships/hyperlink" Target="https://recording.adcogov.org/landmarkweb" TargetMode="External" Id="rId44" /><Relationship Type="http://schemas.openxmlformats.org/officeDocument/2006/relationships/hyperlink" Target="https://www.brightonco.gov/248/Geographic-Information-Systems" TargetMode="External" Id="rId45" /><Relationship Type="http://schemas.openxmlformats.org/officeDocument/2006/relationships/hyperlink" Target="https://www.brightonco.gov/1596/Interactive-Development-Map" TargetMode="External" Id="rId46" /><Relationship Type="http://schemas.openxmlformats.org/officeDocument/2006/relationships/hyperlink" Target="https://www.brightonco.gov/222/Permitting" TargetMode="External" Id="rId47" /><Relationship Type="http://schemas.openxmlformats.org/officeDocument/2006/relationships/hyperlink" Target="https://www.brightonco.gov/1130/Inspections" TargetMode="External" Id="rId48" /><Relationship Type="http://schemas.openxmlformats.org/officeDocument/2006/relationships/hyperlink" Target="https://www.brightonco.gov/1142/Land-Use-Development-Applications" TargetMode="External" Id="rId49" /><Relationship Type="http://schemas.openxmlformats.org/officeDocument/2006/relationships/hyperlink" Target="https://www.brightonco.gov/1162/Development-Services" TargetMode="External" Id="rId50" /><Relationship Type="http://schemas.openxmlformats.org/officeDocument/2006/relationships/hyperlink" Target="https://brightonco.gov/1143/Reports" TargetMode="External" Id="rId51" /><Relationship Type="http://schemas.openxmlformats.org/officeDocument/2006/relationships/hyperlink" Target="https://www.brightonco.gov/224/Planning-Zoning" TargetMode="External" Id="rId52" /><Relationship Type="http://schemas.openxmlformats.org/officeDocument/2006/relationships/hyperlink" Target="https://www.brightonco.gov/363/Land-Use-Development-Code" TargetMode="External" Id="rId53" /><Relationship Type="http://schemas.openxmlformats.org/officeDocument/2006/relationships/hyperlink" Target="https://www.brightonco.gov/553/Long-Range-Planning" TargetMode="External" Id="rId54" /><Relationship Type="http://schemas.openxmlformats.org/officeDocument/2006/relationships/hyperlink" Target="https://msc.fema.gov/" TargetMode="External" Id="rId55" /><Relationship Type="http://schemas.openxmlformats.org/officeDocument/2006/relationships/hyperlink" Target="https://adamscountyco.gov/our-county/community-economic-development/floodplain-management/" TargetMode="External" Id="rId56" /><Relationship Type="http://schemas.openxmlformats.org/officeDocument/2006/relationships/hyperlink" Target="https://www.brightonco.gov/1862/Weekly-Crime-Reports-Crime-Map" TargetMode="External" Id="rId57" /><Relationship Type="http://schemas.openxmlformats.org/officeDocument/2006/relationships/hyperlink" Target="https://www.brightonco.gov/213/Requesting-Records-Information" TargetMode="External" Id="rId58" /><Relationship Type="http://schemas.openxmlformats.org/officeDocument/2006/relationships/hyperlink" Target="https://www.sd27j.org/" TargetMode="External" Id="rId59" /><Relationship Type="http://schemas.openxmlformats.org/officeDocument/2006/relationships/hyperlink" Target="https://adcogov.org/property-look" TargetMode="External" Id="rId60" /><Relationship Type="http://schemas.openxmlformats.org/officeDocument/2006/relationships/hyperlink" Target="https://adcotax.com/treasurer/web/login.jsp" TargetMode="External" Id="rId61" /><Relationship Type="http://schemas.openxmlformats.org/officeDocument/2006/relationships/hyperlink" Target="https://adamsil.devnetwedge.com/" TargetMode="External" Id="rId62" /><Relationship Type="http://schemas.openxmlformats.org/officeDocument/2006/relationships/hyperlink" Target="https://recording.adcogov.org/landmarkweb" TargetMode="External" Id="rId63" /><Relationship Type="http://schemas.openxmlformats.org/officeDocument/2006/relationships/hyperlink" Target="https://www.c3gov.com/Residents/Maps-Data-GIS" TargetMode="External" Id="rId64" /><Relationship Type="http://schemas.openxmlformats.org/officeDocument/2006/relationships/hyperlink" Target="https://data-c3.opendata.arcgis.com/" TargetMode="External" Id="rId65" /><Relationship Type="http://schemas.openxmlformats.org/officeDocument/2006/relationships/hyperlink" Target="https://www.c3gov.com/doing-business/developing-in-commerce-city/building-permits" TargetMode="External" Id="rId66" /><Relationship Type="http://schemas.openxmlformats.org/officeDocument/2006/relationships/hyperlink" Target="https://comc.csqrcloud.com/community-etrakit/" TargetMode="External" Id="rId67" /><Relationship Type="http://schemas.openxmlformats.org/officeDocument/2006/relationships/hyperlink" Target="https://www.c3gov.com/doing-business/developing-in-commerce-city/building-permits-inspections/step-2-permit-application-contractor-licensing-reviews/building-permit-process" TargetMode="External" Id="rId68" /><Relationship Type="http://schemas.openxmlformats.org/officeDocument/2006/relationships/hyperlink" Target="https://www.c3gov.com/doing-business/developing-in-commerce-city/civil-plan-approval-grading-permits" TargetMode="External" Id="rId69" /><Relationship Type="http://schemas.openxmlformats.org/officeDocument/2006/relationships/hyperlink" Target="https://www.c3gov.com/Government/Departments-Divisions/Code-Enforcement" TargetMode="External" Id="rId70" /><Relationship Type="http://schemas.openxmlformats.org/officeDocument/2006/relationships/hyperlink" Target="https://www.c3gov.com/Business-Development/Developing-in-Commerce-City/Land-Use-Approvals" TargetMode="External" Id="rId71" /><Relationship Type="http://schemas.openxmlformats.org/officeDocument/2006/relationships/hyperlink" Target="https://www.c3gov.com/Business-Development/Developing-in-Commerce-City/Land-Use-Standards" TargetMode="External" Id="rId72" /><Relationship Type="http://schemas.openxmlformats.org/officeDocument/2006/relationships/hyperlink" Target="https://www.c3gov.com/Government/City-Codes/Land-Development-Code" TargetMode="External" Id="rId73" /><Relationship Type="http://schemas.openxmlformats.org/officeDocument/2006/relationships/hyperlink" Target="https://www.c3gov.com/Government/City-Charter-Master-Plans/Comprehensive-Plan" TargetMode="External" Id="rId74" /><Relationship Type="http://schemas.openxmlformats.org/officeDocument/2006/relationships/hyperlink" Target="https://msc.fema.gov/" TargetMode="External" Id="rId75" /><Relationship Type="http://schemas.openxmlformats.org/officeDocument/2006/relationships/hyperlink" Target="https://adamscountyco.gov/our-county/community-economic-development/floodplain-management/" TargetMode="External" Id="rId76" /><Relationship Type="http://schemas.openxmlformats.org/officeDocument/2006/relationships/hyperlink" Target="https://www.c3gov.com/Government/Departments-Divisions/Economic-Development" TargetMode="External" Id="rId77" /><Relationship Type="http://schemas.openxmlformats.org/officeDocument/2006/relationships/hyperlink" Target="https://www.c3gov.com/Public-Safety/Police-Department/Records-and-Crime-Statistics" TargetMode="External" Id="rId78" /><Relationship Type="http://schemas.openxmlformats.org/officeDocument/2006/relationships/hyperlink" Target="https://www.adams12.org/" TargetMode="External" Id="rId79" /><Relationship Type="http://schemas.openxmlformats.org/officeDocument/2006/relationships/hyperlink" Target="https://www.sd27j.org/" TargetMode="External" Id="rId80" /><Relationship Type="http://schemas.openxmlformats.org/officeDocument/2006/relationships/hyperlink" Target="https://www.mapleton.us/" TargetMode="External" Id="rId81" /><Relationship Type="http://schemas.openxmlformats.org/officeDocument/2006/relationships/hyperlink" Target="https://adcogov.org/property-look" TargetMode="External" Id="rId82" /><Relationship Type="http://schemas.openxmlformats.org/officeDocument/2006/relationships/hyperlink" Target="https://adcotax.com/treasurer/web/login.jsp" TargetMode="External" Id="rId83" /><Relationship Type="http://schemas.openxmlformats.org/officeDocument/2006/relationships/hyperlink" Target="https://adamsil.devnetwedge.com/" TargetMode="External" Id="rId84" /><Relationship Type="http://schemas.openxmlformats.org/officeDocument/2006/relationships/hyperlink" Target="https://recording.adcogov.org/landmarkweb" TargetMode="External" Id="rId85" /><Relationship Type="http://schemas.openxmlformats.org/officeDocument/2006/relationships/hyperlink" Target="https://www.fedheights.org/?SEC=D1A883BE-0C29-4602-8CC9-5D6A08DA5503" TargetMode="External" Id="rId86" /><Relationship Type="http://schemas.openxmlformats.org/officeDocument/2006/relationships/hyperlink" Target="https://www.fedheights.org/building" TargetMode="External" Id="rId87" /><Relationship Type="http://schemas.openxmlformats.org/officeDocument/2006/relationships/hyperlink" Target="https://www.fedheights.org/codeenforcement" TargetMode="External" Id="rId88" /><Relationship Type="http://schemas.openxmlformats.org/officeDocument/2006/relationships/hyperlink" Target="https://www.fedheights.org/planning" TargetMode="External" Id="rId89" /><Relationship Type="http://schemas.openxmlformats.org/officeDocument/2006/relationships/hyperlink" Target="https://www.fedheights.org/index.asp?SEC=D7AA9940-8607-468A-8215-7308DD3BF799&amp;Type=B_BASIC" TargetMode="External" Id="rId90" /><Relationship Type="http://schemas.openxmlformats.org/officeDocument/2006/relationships/hyperlink" Target="https://library.municode.com/co/federal_heights" TargetMode="External" Id="rId91" /><Relationship Type="http://schemas.openxmlformats.org/officeDocument/2006/relationships/hyperlink" Target="https://msc.fema.gov/" TargetMode="External" Id="rId92" /><Relationship Type="http://schemas.openxmlformats.org/officeDocument/2006/relationships/hyperlink" Target="https://www.fedheights.org/economicdevelopment" TargetMode="External" Id="rId93" /><Relationship Type="http://schemas.openxmlformats.org/officeDocument/2006/relationships/hyperlink" Target="https://www.fedheights.org/utilities" TargetMode="External" Id="rId94" /><Relationship Type="http://schemas.openxmlformats.org/officeDocument/2006/relationships/hyperlink" Target="https://www.fedheights.org/publicworks" TargetMode="External" Id="rId95" /><Relationship Type="http://schemas.openxmlformats.org/officeDocument/2006/relationships/hyperlink" Target="https://www.xcelenergy.com/" TargetMode="External" Id="rId96" /><Relationship Type="http://schemas.openxmlformats.org/officeDocument/2006/relationships/hyperlink" Target="https://www.adams12.org/" TargetMode="External" Id="rId97" /><Relationship Type="http://schemas.openxmlformats.org/officeDocument/2006/relationships/hyperlink" Target="https://adcogov.org/property-look" TargetMode="External" Id="rId98" /><Relationship Type="http://schemas.openxmlformats.org/officeDocument/2006/relationships/hyperlink" Target="https://adcotax.com/treasurer/web/login.jsp" TargetMode="External" Id="rId99" /><Relationship Type="http://schemas.openxmlformats.org/officeDocument/2006/relationships/hyperlink" Target="https://adamsil.devnetwedge.com/" TargetMode="External" Id="rId100" /><Relationship Type="http://schemas.openxmlformats.org/officeDocument/2006/relationships/hyperlink" Target="https://recording.adcogov.org/landmarkweb" TargetMode="External" Id="rId101" /><Relationship Type="http://schemas.openxmlformats.org/officeDocument/2006/relationships/hyperlink" Target="https://www.northglenn.org/residents/about_northglenn/maps.php" TargetMode="External" Id="rId102" /><Relationship Type="http://schemas.openxmlformats.org/officeDocument/2006/relationships/hyperlink" Target="https://www.arcgis.com/home/webmap/viewer.html?webmap=39b7188473574a07bcc84ca0ec3807fc" TargetMode="External" Id="rId103" /><Relationship Type="http://schemas.openxmlformats.org/officeDocument/2006/relationships/hyperlink" Target="https://www.northglenn.org/government/departments/building/" TargetMode="External" Id="rId104" /><Relationship Type="http://schemas.openxmlformats.org/officeDocument/2006/relationships/hyperlink" Target="https://www.northglenn.org/government/departments/building/permits.php" TargetMode="External" Id="rId105" /><Relationship Type="http://schemas.openxmlformats.org/officeDocument/2006/relationships/hyperlink" Target="https://www.northglenn.org/government/licenses_and_permits/building_permit.php" TargetMode="External" Id="rId106" /><Relationship Type="http://schemas.openxmlformats.org/officeDocument/2006/relationships/hyperlink" Target="https://secure.northglenn.org/quickzone" TargetMode="External" Id="rId107" /><Relationship Type="http://schemas.openxmlformats.org/officeDocument/2006/relationships/hyperlink" Target="https://www.northglenn.org/government/land_use_and_zoning/" TargetMode="External" Id="rId108" /><Relationship Type="http://schemas.openxmlformats.org/officeDocument/2006/relationships/hyperlink" Target="https://www.northglenn.org/government/land_use_and_zoning/zoning_map.php" TargetMode="External" Id="rId109" /><Relationship Type="http://schemas.openxmlformats.org/officeDocument/2006/relationships/hyperlink" Target="https://www.northglenn.org/government/land_use_and_zoning/comprehensive_plan.php" TargetMode="External" Id="rId110" /><Relationship Type="http://schemas.openxmlformats.org/officeDocument/2006/relationships/hyperlink" Target="https://www.northglenn.org/government/departments/planning_department/index.php" TargetMode="External" Id="rId111" /><Relationship Type="http://schemas.openxmlformats.org/officeDocument/2006/relationships/hyperlink" Target="https://msc.fema.gov/" TargetMode="External" Id="rId112" /><Relationship Type="http://schemas.openxmlformats.org/officeDocument/2006/relationships/hyperlink" Target="https://adamscountyco.gov/our-county/community-economic-development/floodplain-management/" TargetMode="External" Id="rId113" /><Relationship Type="http://schemas.openxmlformats.org/officeDocument/2006/relationships/hyperlink" Target="https://www.northglenn.org/biz/" TargetMode="External" Id="rId114" /><Relationship Type="http://schemas.openxmlformats.org/officeDocument/2006/relationships/hyperlink" Target="https://www.northglenn.org/government/licenses_and_permits/business_license.php" TargetMode="External" Id="rId115" /><Relationship Type="http://schemas.openxmlformats.org/officeDocument/2006/relationships/hyperlink" Target="https://www.northglenn.org/government/licenses_and_permits/short_term_rental_license.php" TargetMode="External" Id="rId116" /><Relationship Type="http://schemas.openxmlformats.org/officeDocument/2006/relationships/hyperlink" Target="https://secure.northglenn.org/maps/crime" TargetMode="External" Id="rId117" /><Relationship Type="http://schemas.openxmlformats.org/officeDocument/2006/relationships/hyperlink" Target="https://www.northglenn.org/public_safety/police/crime_stats.php" TargetMode="External" Id="rId118" /><Relationship Type="http://schemas.openxmlformats.org/officeDocument/2006/relationships/hyperlink" Target="https://www.northglenn.org/residents/water/" TargetMode="External" Id="rId119" /><Relationship Type="http://schemas.openxmlformats.org/officeDocument/2006/relationships/hyperlink" Target="https://www.adams12.org/" TargetMode="External" Id="rId120" /><Relationship Type="http://schemas.openxmlformats.org/officeDocument/2006/relationships/hyperlink" Target="https://www.northglenn.org/residents/schools.php" TargetMode="External" Id="rId121" /><Relationship Type="http://schemas.openxmlformats.org/officeDocument/2006/relationships/hyperlink" Target="https://cityviewportal.thorntonco.gov/Property" TargetMode="External" Id="rId122" /><Relationship Type="http://schemas.openxmlformats.org/officeDocument/2006/relationships/hyperlink" Target="https://adcogov.org/property-look" TargetMode="External" Id="rId123" /><Relationship Type="http://schemas.openxmlformats.org/officeDocument/2006/relationships/hyperlink" Target="https://adcotax.com/treasurer/web/login.jsp" TargetMode="External" Id="rId124" /><Relationship Type="http://schemas.openxmlformats.org/officeDocument/2006/relationships/hyperlink" Target="https://adamsil.devnetwedge.com/" TargetMode="External" Id="rId125" /><Relationship Type="http://schemas.openxmlformats.org/officeDocument/2006/relationships/hyperlink" Target="https://recording.adcogov.org/landmarkweb" TargetMode="External" Id="rId126" /><Relationship Type="http://schemas.openxmlformats.org/officeDocument/2006/relationships/hyperlink" Target="https://data-cityofthornton.opendata.arcgis.com/" TargetMode="External" Id="rId127" /><Relationship Type="http://schemas.openxmlformats.org/officeDocument/2006/relationships/hyperlink" Target="https://maps.thorntonco.gov/portal/apps/webappviewer/index.html?id=3ca678047c5b48568a9322c364808f7e" TargetMode="External" Id="rId128" /><Relationship Type="http://schemas.openxmlformats.org/officeDocument/2006/relationships/hyperlink" Target="https://city-of-thornton-development-code-cityofthornton.hub.arcgis.com/" TargetMode="External" Id="rId129" /><Relationship Type="http://schemas.openxmlformats.org/officeDocument/2006/relationships/hyperlink" Target="https://cityviewportal.thorntonco.gov/" TargetMode="External" Id="rId130" /><Relationship Type="http://schemas.openxmlformats.org/officeDocument/2006/relationships/hyperlink" Target="https://permits.thorntonco.gov/" TargetMode="External" Id="rId131" /><Relationship Type="http://schemas.openxmlformats.org/officeDocument/2006/relationships/hyperlink" Target="https://www.thorntonco.gov/city-services/code-compliance" TargetMode="External" Id="rId132" /><Relationship Type="http://schemas.openxmlformats.org/officeDocument/2006/relationships/hyperlink" Target="https://www.thorntonco.gov/business-development/city-development/current-planning-zoning" TargetMode="External" Id="rId133" /><Relationship Type="http://schemas.openxmlformats.org/officeDocument/2006/relationships/hyperlink" Target="https://www.thorntonco.gov/business-development/city-development/current-planning-zoning/zoning-districts-uses-and-regulations" TargetMode="External" Id="rId134" /><Relationship Type="http://schemas.openxmlformats.org/officeDocument/2006/relationships/hyperlink" Target="https://www.thorntonco.gov/business-development/active-development" TargetMode="External" Id="rId135" /><Relationship Type="http://schemas.openxmlformats.org/officeDocument/2006/relationships/hyperlink" Target="https://www.thorntonco.gov/business-development/city-development/long-range-planning" TargetMode="External" Id="rId136" /><Relationship Type="http://schemas.openxmlformats.org/officeDocument/2006/relationships/hyperlink" Target="https://www.thorntonco.gov/business-development/city-development/long-range-planning/plans/thornton-comprehensive-plan" TargetMode="External" Id="rId137" /><Relationship Type="http://schemas.openxmlformats.org/officeDocument/2006/relationships/hyperlink" Target="https://www.thorntonco.gov/business-development/city-development/long-range-planning/plans/functional-strategic-master-plans" TargetMode="External" Id="rId138" /><Relationship Type="http://schemas.openxmlformats.org/officeDocument/2006/relationships/hyperlink" Target="https://msc.fema.gov/" TargetMode="External" Id="rId139" /><Relationship Type="http://schemas.openxmlformats.org/officeDocument/2006/relationships/hyperlink" Target="https://adamscountyco.gov/our-county/community-economic-development/floodplain-management/" TargetMode="External" Id="rId140" /><Relationship Type="http://schemas.openxmlformats.org/officeDocument/2006/relationships/hyperlink" Target="https://www.thorntonco.gov/business-development/city-development" TargetMode="External" Id="rId141" /><Relationship Type="http://schemas.openxmlformats.org/officeDocument/2006/relationships/hyperlink" Target="https://www.thorntonco.gov/business-development/business-licenses" TargetMode="External" Id="rId142" /><Relationship Type="http://schemas.openxmlformats.org/officeDocument/2006/relationships/hyperlink" Target="https://www.thorntonco.gov/media/file/short-term-rental-ordinance" TargetMode="External" Id="rId143" /><Relationship Type="http://schemas.openxmlformats.org/officeDocument/2006/relationships/hyperlink" Target="https://www.thorntonpd.org/crime-info" TargetMode="External" Id="rId144" /><Relationship Type="http://schemas.openxmlformats.org/officeDocument/2006/relationships/hyperlink" Target="https://www.thorntonco.gov/city-services/water" TargetMode="External" Id="rId145" /><Relationship Type="http://schemas.openxmlformats.org/officeDocument/2006/relationships/hyperlink" Target="https://www.thorntonwater.com/" TargetMode="External" Id="rId146" /><Relationship Type="http://schemas.openxmlformats.org/officeDocument/2006/relationships/hyperlink" Target="https://www.thorntonco.gov/city-services/utility-billing" TargetMode="External" Id="rId147" /><Relationship Type="http://schemas.openxmlformats.org/officeDocument/2006/relationships/hyperlink" Target="https://www.thorntonco.gov/electric-gas-utility-services" TargetMode="External" Id="rId148" /><Relationship Type="http://schemas.openxmlformats.org/officeDocument/2006/relationships/hyperlink" Target="https://www.unitedpower.com/" TargetMode="External" Id="rId149" /><Relationship Type="http://schemas.openxmlformats.org/officeDocument/2006/relationships/hyperlink" Target="https://www.xcelenergy.com/" TargetMode="External" Id="rId150" /><Relationship Type="http://schemas.openxmlformats.org/officeDocument/2006/relationships/hyperlink" Target="https://www.adams12.org/" TargetMode="External" Id="rId151" /><Relationship Type="http://schemas.openxmlformats.org/officeDocument/2006/relationships/hyperlink" Target="https://www.sd27j.org/" TargetMode="External" Id="rId152" /><Relationship Type="http://schemas.openxmlformats.org/officeDocument/2006/relationships/hyperlink" Target="https://develop.cityofwestminster.us/ETRAKIT/Search/parcel.aspx" TargetMode="External" Id="rId153" /><Relationship Type="http://schemas.openxmlformats.org/officeDocument/2006/relationships/hyperlink" Target="https://adcogov.org/property-look" TargetMode="External" Id="rId154" /><Relationship Type="http://schemas.openxmlformats.org/officeDocument/2006/relationships/hyperlink" Target="https://propertysearch.jeffco.us/" TargetMode="External" Id="rId155" /><Relationship Type="http://schemas.openxmlformats.org/officeDocument/2006/relationships/hyperlink" Target="https://adcotax.com/treasurer/web/login.jsp" TargetMode="External" Id="rId156" /><Relationship Type="http://schemas.openxmlformats.org/officeDocument/2006/relationships/hyperlink" Target="https://jeffco.us/1293/Treasurer" TargetMode="External" Id="rId157" /><Relationship Type="http://schemas.openxmlformats.org/officeDocument/2006/relationships/hyperlink" Target="https://recording.adcogov.org/landmarkweb" TargetMode="External" Id="rId158" /><Relationship Type="http://schemas.openxmlformats.org/officeDocument/2006/relationships/hyperlink" Target="https://www.jeffco.us/1288/Clerk-Recorder" TargetMode="External" Id="rId159" /><Relationship Type="http://schemas.openxmlformats.org/officeDocument/2006/relationships/hyperlink" Target="https://opendata-westminster.hub.arcgis.com/" TargetMode="External" Id="rId160" /><Relationship Type="http://schemas.openxmlformats.org/officeDocument/2006/relationships/hyperlink" Target="https://maps.cityofwestminster.us/portal/apps/webappviewer/index.html?id=840164f9c48d49109f884695afe3f714" TargetMode="External" Id="rId161" /><Relationship Type="http://schemas.openxmlformats.org/officeDocument/2006/relationships/hyperlink" Target="https://www.westminsterco.gov/471/Maps" TargetMode="External" Id="rId162" /><Relationship Type="http://schemas.openxmlformats.org/officeDocument/2006/relationships/hyperlink" Target="https://develop.cityofwestminster.us/etrakit/" TargetMode="External" Id="rId163" /><Relationship Type="http://schemas.openxmlformats.org/officeDocument/2006/relationships/hyperlink" Target="https://develop.cityofwestminster.us/etrakit/Search/permit.aspx" TargetMode="External" Id="rId164" /><Relationship Type="http://schemas.openxmlformats.org/officeDocument/2006/relationships/hyperlink" Target="https://www.westminsterco.gov/617/Apply-for-a-Permit-Project" TargetMode="External" Id="rId165" /><Relationship Type="http://schemas.openxmlformats.org/officeDocument/2006/relationships/hyperlink" Target="https://www.westminsterco.gov/621/Building-Division" TargetMode="External" Id="rId166" /><Relationship Type="http://schemas.openxmlformats.org/officeDocument/2006/relationships/hyperlink" Target="https://www.westminsterco.gov/746/Right-of-Way-Permits" TargetMode="External" Id="rId167" /><Relationship Type="http://schemas.openxmlformats.org/officeDocument/2006/relationships/hyperlink" Target="https://www.westminsterco.gov/707/Planning" TargetMode="External" Id="rId168" /><Relationship Type="http://schemas.openxmlformats.org/officeDocument/2006/relationships/hyperlink" Target="https://www.westminsterco.gov/703/Develop-in-Westminster" TargetMode="External" Id="rId169" /><Relationship Type="http://schemas.openxmlformats.org/officeDocument/2006/relationships/hyperlink" Target="https://www.westminsterco.gov/DocumentCenter/View/1467/Executive-Summary-PDF" TargetMode="External" Id="rId170" /><Relationship Type="http://schemas.openxmlformats.org/officeDocument/2006/relationships/hyperlink" Target="https://msc.fema.gov/" TargetMode="External" Id="rId171" /><Relationship Type="http://schemas.openxmlformats.org/officeDocument/2006/relationships/hyperlink" Target="https://adamscountyco.gov/our-county/community-economic-development/floodplain-management/" TargetMode="External" Id="rId172" /><Relationship Type="http://schemas.openxmlformats.org/officeDocument/2006/relationships/hyperlink" Target="https://www.westminstereconomicdevelopment.org/" TargetMode="External" Id="rId173" /><Relationship Type="http://schemas.openxmlformats.org/officeDocument/2006/relationships/hyperlink" Target="https://www.westminstereconomicdevelopment.org/area-maps/" TargetMode="External" Id="rId174" /><Relationship Type="http://schemas.openxmlformats.org/officeDocument/2006/relationships/hyperlink" Target="https://www.westminstereconomicdevelopment.org/about-westminster/water-utilities-taxes/" TargetMode="External" Id="rId175" /><Relationship Type="http://schemas.openxmlformats.org/officeDocument/2006/relationships/hyperlink" Target="https://www.westminsterco.gov/Short-TermRentals" TargetMode="External" Id="rId176" /><Relationship Type="http://schemas.openxmlformats.org/officeDocument/2006/relationships/hyperlink" Target="https://www.crimemapping.com/map/co/westminster" TargetMode="External" Id="rId177" /><Relationship Type="http://schemas.openxmlformats.org/officeDocument/2006/relationships/hyperlink" Target="https://www.westminsterpdnews.com/crime-mapping" TargetMode="External" Id="rId178" /><Relationship Type="http://schemas.openxmlformats.org/officeDocument/2006/relationships/hyperlink" Target="https://www.westminsterco.gov/water" TargetMode="External" Id="rId179" /><Relationship Type="http://schemas.openxmlformats.org/officeDocument/2006/relationships/hyperlink" Target="https://www.adams12.org/" TargetMode="External" Id="rId180" /><Relationship Type="http://schemas.openxmlformats.org/officeDocument/2006/relationships/hyperlink" Target="https://www.jeffcopublicschools.org/" TargetMode="External" Id="rId181" /><Relationship Type="http://schemas.openxmlformats.org/officeDocument/2006/relationships/hyperlink" Target="https://ags.auroragov.org/propinfo/propinfo.html" TargetMode="External" Id="rId182" /><Relationship Type="http://schemas.openxmlformats.org/officeDocument/2006/relationships/hyperlink" Target="https://www.auroragov.org/city_hall/maps/property_information" TargetMode="External" Id="rId183" /><Relationship Type="http://schemas.openxmlformats.org/officeDocument/2006/relationships/hyperlink" Target="https://adcogov.org/property-look" TargetMode="External" Id="rId184" /><Relationship Type="http://schemas.openxmlformats.org/officeDocument/2006/relationships/hyperlink" Target="https://www.arapahoegov.com/assessor" TargetMode="External" Id="rId185" /><Relationship Type="http://schemas.openxmlformats.org/officeDocument/2006/relationships/hyperlink" Target="https://www.douglas.co.us/assessor/" TargetMode="External" Id="rId186" /><Relationship Type="http://schemas.openxmlformats.org/officeDocument/2006/relationships/hyperlink" Target="https://adcotax.com/treasurer/web/login.jsp" TargetMode="External" Id="rId187" /><Relationship Type="http://schemas.openxmlformats.org/officeDocument/2006/relationships/hyperlink" Target="https://www.arapahoegov.com/1053/Treasurer" TargetMode="External" Id="rId188" /><Relationship Type="http://schemas.openxmlformats.org/officeDocument/2006/relationships/hyperlink" Target="https://www.douglas.co.us/treasurer/" TargetMode="External" Id="rId189" /><Relationship Type="http://schemas.openxmlformats.org/officeDocument/2006/relationships/hyperlink" Target="https://recording.adcogov.org/landmarkweb" TargetMode="External" Id="rId190" /><Relationship Type="http://schemas.openxmlformats.org/officeDocument/2006/relationships/hyperlink" Target="https://www.arapahoegov.com/1043/Clerk-Recorder" TargetMode="External" Id="rId191" /><Relationship Type="http://schemas.openxmlformats.org/officeDocument/2006/relationships/hyperlink" Target="https://data-auroraco.opendata.arcgis.com/" TargetMode="External" Id="rId192" /><Relationship Type="http://schemas.openxmlformats.org/officeDocument/2006/relationships/hyperlink" Target="https://opendata-cityofaurora.hub.arcgis.com/" TargetMode="External" Id="rId193" /><Relationship Type="http://schemas.openxmlformats.org/officeDocument/2006/relationships/hyperlink" Target="https://www.auroragov.org/city_hall/maps" TargetMode="External" Id="rId194" /><Relationship Type="http://schemas.openxmlformats.org/officeDocument/2006/relationships/hyperlink" Target="https://www.auroragov.org/city_hall/maps/planning_and_zoning_maps" TargetMode="External" Id="rId195" /><Relationship Type="http://schemas.openxmlformats.org/officeDocument/2006/relationships/hyperlink" Target="https://www.auroragov.org/city_hall/maps/development_maps" TargetMode="External" Id="rId196" /><Relationship Type="http://schemas.openxmlformats.org/officeDocument/2006/relationships/hyperlink" Target="https://www.auroragov.org/business_services/building_division/permits" TargetMode="External" Id="rId197" /><Relationship Type="http://schemas.openxmlformats.org/officeDocument/2006/relationships/hyperlink" Target="https://www.auroragov.org/city_hall/maps/licensing_and_permits_maps" TargetMode="External" Id="rId198" /><Relationship Type="http://schemas.openxmlformats.org/officeDocument/2006/relationships/hyperlink" Target="https://www.auroragov.org/business_services/building_division/building_permit_statistics" TargetMode="External" Id="rId199" /><Relationship Type="http://schemas.openxmlformats.org/officeDocument/2006/relationships/hyperlink" Target="https://experience.arcgis.com/experience/25e68ba47119437cb4bf6bdeea6fbea4" TargetMode="External" Id="rId200" /><Relationship Type="http://schemas.openxmlformats.org/officeDocument/2006/relationships/hyperlink" Target="https://zoning.auroragov.org/" TargetMode="External" Id="rId201" /><Relationship Type="http://schemas.openxmlformats.org/officeDocument/2006/relationships/hyperlink" Target="https://www.auroragov.org/city_hall/maps/planning_and_zoning_maps" TargetMode="External" Id="rId202" /><Relationship Type="http://schemas.openxmlformats.org/officeDocument/2006/relationships/hyperlink" Target="https://data-auroraco.opendata.arcgis.com/datasets/9cfb0cffe16b41b68e38bcafbc4c037a_153/about" TargetMode="External" Id="rId203" /><Relationship Type="http://schemas.openxmlformats.org/officeDocument/2006/relationships/hyperlink" Target="https://msc.fema.gov/" TargetMode="External" Id="rId204" /><Relationship Type="http://schemas.openxmlformats.org/officeDocument/2006/relationships/hyperlink" Target="https://coloradohazardmapping.com/hazardMapping/floodplainMapping" TargetMode="External" Id="rId205" /><Relationship Type="http://schemas.openxmlformats.org/officeDocument/2006/relationships/hyperlink" Target="https://www.auroragov.org/business_services/economic___business_development" TargetMode="External" Id="rId206" /><Relationship Type="http://schemas.openxmlformats.org/officeDocument/2006/relationships/hyperlink" Target="https://www.auroragov.org/residents/public_safety/police/crime_data" TargetMode="External" Id="rId207" /><Relationship Type="http://schemas.openxmlformats.org/officeDocument/2006/relationships/hyperlink" Target="https://www.auroragov.org/city_hall/maps/police_and_fire_maps" TargetMode="External" Id="rId208" /><Relationship Type="http://schemas.openxmlformats.org/officeDocument/2006/relationships/hyperlink" Target="https://www.auroragov.org/city_hall/about_aurora/data___demographics" TargetMode="External" Id="rId209" /><Relationship Type="http://schemas.openxmlformats.org/officeDocument/2006/relationships/hyperlink" Target="https://www.auroragov.org/common/pages/GetFile.ashx?key=0Fc6ARWp" TargetMode="External" Id="rId210" /><Relationship Type="http://schemas.openxmlformats.org/officeDocument/2006/relationships/hyperlink" Target="https://www.aurorak12.org/" TargetMode="External" Id="rId211" /><Relationship Type="http://schemas.openxmlformats.org/officeDocument/2006/relationships/hyperlink" Target="https://www.cherrycreekschools.org/" TargetMode="External" Id="rId212" /><Relationship Type="http://schemas.openxmlformats.org/officeDocument/2006/relationships/hyperlink" Target="https://www.adams12.org/" TargetMode="External" Id="rId213" /><Relationship Type="http://schemas.openxmlformats.org/officeDocument/2006/relationships/hyperlink" Target="https://adcogov.org/property-look" TargetMode="External" Id="rId214" /><Relationship Type="http://schemas.openxmlformats.org/officeDocument/2006/relationships/hyperlink" Target="https://adcotax.com/treasurer/web/login.jsp" TargetMode="External" Id="rId215" /><Relationship Type="http://schemas.openxmlformats.org/officeDocument/2006/relationships/hyperlink" Target="https://adamsil.devnetwedge.com/" TargetMode="External" Id="rId216" /><Relationship Type="http://schemas.openxmlformats.org/officeDocument/2006/relationships/hyperlink" Target="https://recording.adcogov.org/landmarkweb" TargetMode="External" Id="rId217" /><Relationship Type="http://schemas.openxmlformats.org/officeDocument/2006/relationships/hyperlink" Target="https://www.bennettco.gov/business/page/bennett-zoning-map" TargetMode="External" Id="rId218" /><Relationship Type="http://schemas.openxmlformats.org/officeDocument/2006/relationships/hyperlink" Target="https://www.arcgis.com/apps/webappviewer/index.html?id=d36fe1b73c514d29ba9b6d2d818e183e" TargetMode="External" Id="rId219" /><Relationship Type="http://schemas.openxmlformats.org/officeDocument/2006/relationships/hyperlink" Target="https://experience.arcgis.com/experience/3d3babff4d9e4ac998d13ed805412374" TargetMode="External" Id="rId220" /><Relationship Type="http://schemas.openxmlformats.org/officeDocument/2006/relationships/hyperlink" Target="https://www.bennettco.gov/community-development/page/building-department" TargetMode="External" Id="rId221" /><Relationship Type="http://schemas.openxmlformats.org/officeDocument/2006/relationships/hyperlink" Target="https://twn-bennett-co.smartgovcommunity.com/" TargetMode="External" Id="rId222" /><Relationship Type="http://schemas.openxmlformats.org/officeDocument/2006/relationships/hyperlink" Target="https://www.bennettco.gov/development" TargetMode="External" Id="rId223" /><Relationship Type="http://schemas.openxmlformats.org/officeDocument/2006/relationships/hyperlink" Target="https://www.bennettco.gov/planning-economic-development/page/planning-and-zoning" TargetMode="External" Id="rId224" /><Relationship Type="http://schemas.openxmlformats.org/officeDocument/2006/relationships/hyperlink" Target="https://www.bennettco.gov/planning-economic-development" TargetMode="External" Id="rId225" /><Relationship Type="http://schemas.openxmlformats.org/officeDocument/2006/relationships/hyperlink" Target="https://msc.fema.gov/" TargetMode="External" Id="rId226" /><Relationship Type="http://schemas.openxmlformats.org/officeDocument/2006/relationships/hyperlink" Target="https://adamscountyco.gov/our-county/community-economic-development/floodplain-management/" TargetMode="External" Id="rId227" /><Relationship Type="http://schemas.openxmlformats.org/officeDocument/2006/relationships/hyperlink" Target="https://whybennett.colorado.gov/" TargetMode="External" Id="rId228" /><Relationship Type="http://schemas.openxmlformats.org/officeDocument/2006/relationships/hyperlink" Target="https://whybennett.colorado.gov/infrastructure-and-utilities" TargetMode="External" Id="rId229" /><Relationship Type="http://schemas.openxmlformats.org/officeDocument/2006/relationships/hyperlink" Target="https://www.bennettco.gov/site-selection/page/utilities" TargetMode="External" Id="rId230" /><Relationship Type="http://schemas.openxmlformats.org/officeDocument/2006/relationships/hyperlink" Target="https://www.bsd29j.com/" TargetMode="External" Id="rId231" /><Relationship Type="http://schemas.openxmlformats.org/officeDocument/2006/relationships/hyperlink" Target="https://adcogov.org/property-look" TargetMode="External" Id="rId232" /><Relationship Type="http://schemas.openxmlformats.org/officeDocument/2006/relationships/hyperlink" Target="https://www.weld.gov/Government/Departments/Assessor/Property-Data-Search" TargetMode="External" Id="rId233" /><Relationship Type="http://schemas.openxmlformats.org/officeDocument/2006/relationships/hyperlink" Target="https://adcotax.com/treasurer/web/login.jsp" TargetMode="External" Id="rId234" /><Relationship Type="http://schemas.openxmlformats.org/officeDocument/2006/relationships/hyperlink" Target="https://www.weldgov.com/departments/treasurer" TargetMode="External" Id="rId235" /><Relationship Type="http://schemas.openxmlformats.org/officeDocument/2006/relationships/hyperlink" Target="https://recording.adcogov.org/landmarkweb" TargetMode="External" Id="rId236" /><Relationship Type="http://schemas.openxmlformats.org/officeDocument/2006/relationships/hyperlink" Target="https://www.weld.gov/Government/Departments/Clerk-Recorder" TargetMode="External" Id="rId237" /><Relationship Type="http://schemas.openxmlformats.org/officeDocument/2006/relationships/hyperlink" Target="https://www.lochbuie.org/administration/page/zoning-map" TargetMode="External" Id="rId238" /><Relationship Type="http://schemas.openxmlformats.org/officeDocument/2006/relationships/hyperlink" Target="https://www.lochbuie.org/community-dev/page/building-permits-and-inspections" TargetMode="External" Id="rId239" /><Relationship Type="http://schemas.openxmlformats.org/officeDocument/2006/relationships/hyperlink" Target="https://www.lochbuie.org/community-dev/page/do-i-need-permit" TargetMode="External" Id="rId240" /><Relationship Type="http://schemas.openxmlformats.org/officeDocument/2006/relationships/hyperlink" Target="https://www.lochbuie.org/building/page/guides-and-checklists" TargetMode="External" Id="rId241" /><Relationship Type="http://schemas.openxmlformats.org/officeDocument/2006/relationships/hyperlink" Target="https://www.lochbuie.org/community-dev/page/current-planning" TargetMode="External" Id="rId242" /><Relationship Type="http://schemas.openxmlformats.org/officeDocument/2006/relationships/hyperlink" Target="https://library.municode.com/co/lochbuie/codes/municipal_code" TargetMode="External" Id="rId243" /><Relationship Type="http://schemas.openxmlformats.org/officeDocument/2006/relationships/hyperlink" Target="https://msc.fema.gov/" TargetMode="External" Id="rId244" /><Relationship Type="http://schemas.openxmlformats.org/officeDocument/2006/relationships/hyperlink" Target="https://adamscountyco.gov/our-county/community-economic-development/floodplain-management/" TargetMode="External" Id="rId245" /><Relationship Type="http://schemas.openxmlformats.org/officeDocument/2006/relationships/hyperlink" Target="https://www.sd27j.org/" TargetMode="External" Id="rId246" /><Relationship Type="http://schemas.openxmlformats.org/officeDocument/2006/relationships/hyperlink" Target="https://adcogov.org/property-look" TargetMode="External" Id="rId247" /><Relationship Type="http://schemas.openxmlformats.org/officeDocument/2006/relationships/hyperlink" Target="https://propertysearch.jeffco.us/" TargetMode="External" Id="rId248" /><Relationship Type="http://schemas.openxmlformats.org/officeDocument/2006/relationships/hyperlink" Target="https://jeffco.us/1293/Treasurer" TargetMode="External" Id="rId249" /><Relationship Type="http://schemas.openxmlformats.org/officeDocument/2006/relationships/hyperlink" Target="https://adcotax.com/treasurer/web/login.jsp" TargetMode="External" Id="rId250" /><Relationship Type="http://schemas.openxmlformats.org/officeDocument/2006/relationships/hyperlink" Target="https://www.jeffco.us/1288/Clerk-Recorder" TargetMode="External" Id="rId251" /><Relationship Type="http://schemas.openxmlformats.org/officeDocument/2006/relationships/hyperlink" Target="https://recording.adcogov.org/landmarkweb" TargetMode="External" Id="rId252" /><Relationship Type="http://schemas.openxmlformats.org/officeDocument/2006/relationships/hyperlink" Target="https://gis-arvada.opendata.arcgis.com/" TargetMode="External" Id="rId253" /><Relationship Type="http://schemas.openxmlformats.org/officeDocument/2006/relationships/hyperlink" Target="https://www.arvadaco.gov/702/Maps-and-Property-Search" TargetMode="External" Id="rId254" /><Relationship Type="http://schemas.openxmlformats.org/officeDocument/2006/relationships/hyperlink" Target="https://arvadaeconomicdevelopment.org/intel/maps/" TargetMode="External" Id="rId255" /><Relationship Type="http://schemas.openxmlformats.org/officeDocument/2006/relationships/hyperlink" Target="https://arvadapermits.org/" TargetMode="External" Id="rId256" /><Relationship Type="http://schemas.openxmlformats.org/officeDocument/2006/relationships/hyperlink" Target="https://www.arvadaco.gov/332/Building-Permits" TargetMode="External" Id="rId257" /><Relationship Type="http://schemas.openxmlformats.org/officeDocument/2006/relationships/hyperlink" Target="https://www.arvadaco.gov/729/Check-the-Status-of-a-Permit-Schedule-a-" TargetMode="External" Id="rId258" /><Relationship Type="http://schemas.openxmlformats.org/officeDocument/2006/relationships/hyperlink" Target="https://permits.arvada.org/etrakit3/Search/permit.aspx" TargetMode="External" Id="rId259" /><Relationship Type="http://schemas.openxmlformats.org/officeDocument/2006/relationships/hyperlink" Target="https://www.arvadaco.gov/168/Zoning" TargetMode="External" Id="rId260" /><Relationship Type="http://schemas.openxmlformats.org/officeDocument/2006/relationships/hyperlink" Target="https://speakup.arvadaco.gov/" TargetMode="External" Id="rId261" /><Relationship Type="http://schemas.openxmlformats.org/officeDocument/2006/relationships/hyperlink" Target="https://www.jeffco.us/2019/Flood-Mapping-and-Information" TargetMode="External" Id="rId262" /><Relationship Type="http://schemas.openxmlformats.org/officeDocument/2006/relationships/hyperlink" Target="https://adamscountyco.gov/our-county/community-economic-development/floodplain-management/" TargetMode="External" Id="rId263" /><Relationship Type="http://schemas.openxmlformats.org/officeDocument/2006/relationships/hyperlink" Target="https://msc.fema.gov/" TargetMode="External" Id="rId264" /><Relationship Type="http://schemas.openxmlformats.org/officeDocument/2006/relationships/hyperlink" Target="https://arvadaeconomicdevelopment.org/" TargetMode="External" Id="rId265" /><Relationship Type="http://schemas.openxmlformats.org/officeDocument/2006/relationships/hyperlink" Target="https://www.arvadaco.gov/" TargetMode="External" Id="rId266" /><Relationship Type="http://schemas.openxmlformats.org/officeDocument/2006/relationships/hyperlink" Target="https://www.arvadaco.gov/538/Crime-Maps-Statistics" TargetMode="External" Id="rId267" /><Relationship Type="http://schemas.openxmlformats.org/officeDocument/2006/relationships/hyperlink" Target="https://www.jeffcopublicschools.org/" TargetMode="External" Id="rId268" /><Relationship Type="http://schemas.openxmlformats.org/officeDocument/2006/relationships/hyperlink" Target="https://www.adams12.org/" TargetMode="External" Id="rId269" /><Relationship Type="http://schemas.openxmlformats.org/officeDocument/2006/relationships/hyperlink" Target="https://adcogov.org/assessor" TargetMode="External" Id="rId270" /><Relationship Type="http://schemas.openxmlformats.org/officeDocument/2006/relationships/hyperlink" Target="https://adcogov.org/recording" TargetMode="External" Id="rId271" /><Relationship Type="http://schemas.openxmlformats.org/officeDocument/2006/relationships/hyperlink" Target="https://recording.adcogov.org/landmarkweb" TargetMode="External" Id="rId272" /><Relationship Type="http://schemas.openxmlformats.org/officeDocument/2006/relationships/hyperlink" Target="https://data-adcogov.opendata.arcgis.com/" TargetMode="External" Id="rId273" /><Relationship Type="http://schemas.openxmlformats.org/officeDocument/2006/relationships/hyperlink" Target="https://data.drcog.org/" TargetMode="External" Id="rId274" /><Relationship Type="http://schemas.openxmlformats.org/officeDocument/2006/relationships/hyperlink" Target="https://www.drcog.org/data-maps-modeling" TargetMode="External" Id="rId275" /><Relationship Type="http://schemas.openxmlformats.org/officeDocument/2006/relationships/hyperlink" Target="https://www.drcog.org/data-maps-modeling/community-profiles" TargetMode="External" Id="rId276" /><Relationship Type="http://schemas.openxmlformats.org/officeDocument/2006/relationships/hyperlink" Target="https://geodata.colorado.gov/" TargetMode="External" Id="rId277" /><Relationship Type="http://schemas.openxmlformats.org/officeDocument/2006/relationships/hyperlink" Target="https://dwr.colorado.gov/services/data-information/gis" TargetMode="External" Id="rId278" /><Relationship Type="http://schemas.openxmlformats.org/officeDocument/2006/relationships/hyperlink" Target="https://dtdapps.coloradodot.info/otis" TargetMode="External" Id="rId279" /><Relationship Type="http://schemas.openxmlformats.org/officeDocument/2006/relationships/hyperlink" Target="https://data-cdot.opendata.arcgis.com/" TargetMode="External" Id="rId280" /><Relationship Type="http://schemas.openxmlformats.org/officeDocument/2006/relationships/hyperlink" Target="https://data-cdot.opendata.arcgis.com/datasets/highways-traffic-counts/about" TargetMode="External" Id="rId281" /><Relationship Type="http://schemas.openxmlformats.org/officeDocument/2006/relationships/hyperlink" Target="https://www.sos.state.co.us/biz/BusinessEntityCriteriaExt.do" TargetMode="External" Id="rId282" /><Relationship Type="http://schemas.openxmlformats.org/officeDocument/2006/relationships/hyperlink" Target="https://www.sos.state.co.us/biz/AdvancedSearchCriteria.do" TargetMode="External" Id="rId283" /><Relationship Type="http://schemas.openxmlformats.org/officeDocument/2006/relationships/hyperlink" Target="https://dre.colorado.gov/" TargetMode="External" Id="rId284" /><Relationship Type="http://schemas.openxmlformats.org/officeDocument/2006/relationships/hyperlink" Target="https://www.sos.state.co.us/pubs/info_center/cora.html" TargetMode="External" Id="rId285" /><Relationship Type="http://schemas.openxmlformats.org/officeDocument/2006/relationships/hyperlink" Target="https://msc.fema.gov/" TargetMode="External" Id="rId286" /><Relationship Type="http://schemas.openxmlformats.org/officeDocument/2006/relationships/hyperlink" Target="https://coloradohazardmapping.com/hazardMapping/floodplainMapping" TargetMode="External" Id="rId287" /><Relationship Type="http://schemas.openxmlformats.org/officeDocument/2006/relationships/hyperlink" Target="https://recolorado.com/" TargetMode="External" Id="rId288" /><Relationship Type="http://schemas.openxmlformats.org/officeDocument/2006/relationships/hyperlink" Target="https://coloproperty.com/" TargetMode="External" Id="rId289" /><Relationship Type="http://schemas.openxmlformats.org/officeDocument/2006/relationships/hyperlink" Target="https://iresmls.com/" TargetMode="External" Id="rId290" /><Relationship Type="http://schemas.openxmlformats.org/officeDocument/2006/relationships/hyperlink" Target="https://www.adams12.org/" TargetMode="External" Id="rId291" /><Relationship Type="http://schemas.openxmlformats.org/officeDocument/2006/relationships/hyperlink" Target="https://www.sd27j.org/" TargetMode="External" Id="rId292" /><Relationship Type="http://schemas.openxmlformats.org/officeDocument/2006/relationships/hyperlink" Target="https://www.mapleton.us/" TargetMode="External" Id="rId293" /><Relationship Type="http://schemas.openxmlformats.org/officeDocument/2006/relationships/hyperlink" Target="https://www.aurorak12.org/" TargetMode="External" Id="rId294" /><Relationship Type="http://schemas.openxmlformats.org/officeDocument/2006/relationships/hyperlink" Target="https://www.cherrycreekschools.org/" TargetMode="External" Id="rId295" /><Relationship Type="http://schemas.openxmlformats.org/officeDocument/2006/relationships/hyperlink" Target="https://www.bsd29j.com/" TargetMode="External" Id="rId296" /><Relationship Type="http://schemas.openxmlformats.org/officeDocument/2006/relationships/hyperlink" Target="https://www.jeffcopublicschools.org/" TargetMode="External" Id="rId297" /><Relationship Type="http://schemas.openxmlformats.org/officeDocument/2006/relationships/table" Target="/xl/tables/table1.xml" Id="rId298" /></Relationships>
</file>

<file path=xl/worksheets/sheet1.xml><?xml version="1.0" encoding="utf-8"?>
<worksheet xmlns="http://schemas.openxmlformats.org/spreadsheetml/2006/main">
  <sheetPr>
    <outlinePr summaryBelow="1" summaryRight="1"/>
    <pageSetUpPr/>
  </sheetPr>
  <dimension ref="A1:G30"/>
  <sheetViews>
    <sheetView topLeftCell="A3" zoomScale="120" zoomScaleNormal="120" workbookViewId="0">
      <selection activeCell="F31" sqref="F31"/>
    </sheetView>
  </sheetViews>
  <sheetFormatPr baseColWidth="8" defaultRowHeight="15"/>
  <cols>
    <col width="24.42578125" bestFit="1" customWidth="1" style="1439" min="1" max="1"/>
    <col width="35.7109375" bestFit="1" customWidth="1" style="1439" min="2" max="2"/>
    <col width="17.140625" customWidth="1" style="1439" min="3" max="3"/>
    <col width="18.28515625" customWidth="1" style="1439" min="6" max="6"/>
    <col width="32.42578125" bestFit="1" customWidth="1" style="1439" min="7" max="7"/>
  </cols>
  <sheetData>
    <row r="1">
      <c r="A1" t="inlineStr">
        <is>
          <t>Account</t>
        </is>
      </c>
      <c r="B1" s="1136" t="inlineStr">
        <is>
          <t>R0118932</t>
        </is>
      </c>
      <c r="E1" s="1236" t="n"/>
      <c r="F1" s="1237" t="n"/>
      <c r="G1" s="1246" t="inlineStr">
        <is>
          <t>Fill in Highlighted Fields</t>
        </is>
      </c>
    </row>
    <row r="2" ht="15.75" customHeight="1" s="1439" thickBot="1">
      <c r="A2" t="inlineStr">
        <is>
          <t>Occ. Code</t>
        </is>
      </c>
      <c r="B2" s="1137" t="n">
        <v>407</v>
      </c>
      <c r="E2" s="1239" t="n"/>
      <c r="F2" s="362" t="n"/>
      <c r="G2" s="1234" t="inlineStr">
        <is>
          <t>DO NOT UPDATE CELLS IN THIS BOX</t>
        </is>
      </c>
    </row>
    <row r="3">
      <c r="A3" t="inlineStr">
        <is>
          <t>Number of Buildings</t>
        </is>
      </c>
      <c r="B3" s="1137" t="n">
        <v>1</v>
      </c>
      <c r="E3" s="1239" t="n"/>
      <c r="F3" s="362" t="n"/>
      <c r="G3" s="1241" t="n"/>
    </row>
    <row r="4">
      <c r="A4" t="inlineStr">
        <is>
          <t>GBA</t>
        </is>
      </c>
      <c r="B4" s="1138" t="n">
        <v>187720</v>
      </c>
      <c r="E4" s="1239" t="n"/>
      <c r="F4" s="362" t="n"/>
      <c r="G4" s="1242" t="n"/>
    </row>
    <row r="5">
      <c r="A5" t="inlineStr">
        <is>
          <t>Footprint</t>
        </is>
      </c>
      <c r="B5" s="1138" t="n">
        <v>33950</v>
      </c>
      <c r="E5" s="1239" t="n"/>
      <c r="F5" s="362" t="n"/>
      <c r="G5" s="1242" t="n"/>
    </row>
    <row r="6">
      <c r="A6" t="inlineStr">
        <is>
          <t>NRA</t>
        </is>
      </c>
      <c r="B6" s="1138" t="n">
        <v>33750</v>
      </c>
      <c r="E6" s="1239" t="n"/>
      <c r="F6" s="362" t="n"/>
      <c r="G6" s="1242" t="n"/>
    </row>
    <row r="7">
      <c r="A7" t="inlineStr">
        <is>
          <t>SF Basis</t>
        </is>
      </c>
      <c r="B7" s="1138" t="inlineStr">
        <is>
          <t>GBA</t>
        </is>
      </c>
      <c r="C7" t="inlineStr">
        <is>
          <t>←Dropdown</t>
        </is>
      </c>
      <c r="E7" s="1239" t="inlineStr">
        <is>
          <t>GBA</t>
        </is>
      </c>
      <c r="F7" s="362" t="inlineStr">
        <is>
          <t>Gross Building Area</t>
        </is>
      </c>
      <c r="G7" s="1242" t="n"/>
    </row>
    <row r="8">
      <c r="A8" t="inlineStr">
        <is>
          <t>Year Built</t>
        </is>
      </c>
      <c r="B8" s="1136" t="n">
        <v>1999</v>
      </c>
      <c r="E8" s="1239" t="inlineStr">
        <is>
          <t>NRA</t>
        </is>
      </c>
      <c r="F8" s="362" t="inlineStr">
        <is>
          <t>Net Renatable Area</t>
        </is>
      </c>
      <c r="G8" s="1242" t="n"/>
    </row>
    <row r="9">
      <c r="A9" t="inlineStr">
        <is>
          <t>Condition</t>
        </is>
      </c>
      <c r="B9" s="1136" t="inlineStr">
        <is>
          <t>Average</t>
        </is>
      </c>
      <c r="E9" s="1239" t="inlineStr">
        <is>
          <t>GLA</t>
        </is>
      </c>
      <c r="F9" s="362" t="inlineStr">
        <is>
          <t>Gross Leasable Area</t>
        </is>
      </c>
      <c r="G9" s="1242" t="n"/>
    </row>
    <row r="10">
      <c r="A10" t="inlineStr">
        <is>
          <t>Year/Condition</t>
        </is>
      </c>
      <c r="B10" s="1139" t="inlineStr">
        <is>
          <t>1999/Average</t>
        </is>
      </c>
      <c r="E10" s="1239" t="n"/>
      <c r="F10" s="362" t="n"/>
      <c r="G10" s="1242" t="n"/>
    </row>
    <row r="11">
      <c r="A11" t="inlineStr">
        <is>
          <t>Site Size</t>
        </is>
      </c>
      <c r="B11" s="1138" t="n">
        <v>108316</v>
      </c>
      <c r="E11" s="1239" t="n"/>
      <c r="F11" s="362" t="n"/>
      <c r="G11" s="1242" t="n"/>
    </row>
    <row r="12" ht="15.75" customHeight="1" s="1439" thickBot="1">
      <c r="A12" t="inlineStr">
        <is>
          <t>Acres</t>
        </is>
      </c>
      <c r="B12" s="732">
        <f>B11/43560</f>
        <v/>
      </c>
      <c r="E12" s="1243" t="n"/>
      <c r="F12" s="1244" t="n"/>
      <c r="G12" s="1245" t="n"/>
    </row>
    <row r="13">
      <c r="A13" t="inlineStr">
        <is>
          <t>Coverage Ratio</t>
        </is>
      </c>
      <c r="B13" s="733">
        <f>B5/B11</f>
        <v/>
      </c>
      <c r="E13" s="1550" t="n"/>
      <c r="F13" s="1550" t="n"/>
      <c r="G13" s="1550" t="n"/>
    </row>
    <row r="14">
      <c r="A14" t="inlineStr">
        <is>
          <t>Office %</t>
        </is>
      </c>
      <c r="B14" s="1141" t="n">
        <v>0.052</v>
      </c>
      <c r="E14" s="1550" t="n"/>
      <c r="F14" s="1550" t="n"/>
      <c r="G14" s="1550" t="n"/>
    </row>
    <row r="15">
      <c r="A15" t="inlineStr">
        <is>
          <t>Type</t>
        </is>
      </c>
      <c r="B15" s="1136" t="inlineStr">
        <is>
          <t>Distribution Warehouse</t>
        </is>
      </c>
      <c r="E15" s="1550" t="n"/>
      <c r="F15" s="1550" t="n"/>
      <c r="G15" s="1550" t="n"/>
    </row>
    <row r="16">
      <c r="A16" t="inlineStr">
        <is>
          <t>Address</t>
        </is>
      </c>
      <c r="B16" s="1136" t="inlineStr">
        <is>
          <t>6245  Washington Street</t>
        </is>
      </c>
      <c r="E16" s="1550" t="n"/>
      <c r="F16" s="1550" t="n"/>
      <c r="G16" s="1550" t="n"/>
    </row>
    <row r="17">
      <c r="A17" t="inlineStr">
        <is>
          <t>City</t>
        </is>
      </c>
      <c r="B17" s="1136" t="inlineStr">
        <is>
          <t>Unincorporated Adams County, CO</t>
        </is>
      </c>
      <c r="E17" s="1550" t="n"/>
      <c r="F17" s="1550" t="n"/>
      <c r="G17" s="1550" t="n"/>
    </row>
    <row r="18">
      <c r="A18" t="inlineStr">
        <is>
          <t>County</t>
        </is>
      </c>
      <c r="B18" s="465" t="inlineStr">
        <is>
          <t>Adams County</t>
        </is>
      </c>
      <c r="E18" s="1550" t="n"/>
      <c r="F18" s="1550" t="n"/>
      <c r="G18" s="1550" t="n"/>
    </row>
    <row r="19">
      <c r="A19" t="inlineStr">
        <is>
          <t>Assumed Occupancy</t>
        </is>
      </c>
      <c r="B19" s="1141" t="n">
        <v>1</v>
      </c>
      <c r="E19" s="1550" t="n"/>
      <c r="F19" s="1550" t="n"/>
      <c r="G19" s="1550" t="n"/>
    </row>
    <row r="20">
      <c r="A20" t="inlineStr">
        <is>
          <t>Assessor's Assigned Value</t>
        </is>
      </c>
      <c r="B20" s="1690" t="n">
        <v>3916200</v>
      </c>
      <c r="C20" s="1691" t="n"/>
      <c r="D20" s="1692" t="n"/>
      <c r="E20" s="1247" t="n"/>
      <c r="F20" s="1550" t="n"/>
      <c r="G20" s="1550" t="n"/>
    </row>
    <row r="21">
      <c r="A21" t="inlineStr">
        <is>
          <t>Petitioner's Value</t>
        </is>
      </c>
      <c r="B21" s="1690" t="n">
        <v>3060000</v>
      </c>
      <c r="C21" s="1691" t="n"/>
      <c r="E21" s="1550" t="n"/>
      <c r="F21" s="1550" t="n"/>
      <c r="G21" s="1550" t="n"/>
    </row>
    <row r="22">
      <c r="A22" t="inlineStr">
        <is>
          <t>Recent Sale Date</t>
        </is>
      </c>
      <c r="B22" s="1143" t="n">
        <v>42675</v>
      </c>
      <c r="E22" s="1550" t="n"/>
      <c r="F22" s="1550" t="n"/>
      <c r="G22" s="1550" t="n"/>
    </row>
    <row r="23">
      <c r="A23" t="inlineStr">
        <is>
          <t>Recent Sale Price</t>
        </is>
      </c>
      <c r="B23" s="1690" t="n">
        <v>2880000</v>
      </c>
      <c r="C23" s="1691" t="n"/>
      <c r="E23" s="1550" t="n"/>
      <c r="F23" s="1550" t="n"/>
      <c r="G23" s="1550" t="n"/>
    </row>
    <row r="24">
      <c r="A24" t="inlineStr">
        <is>
          <t>Sale Type</t>
        </is>
      </c>
      <c r="B24" s="1136" t="inlineStr">
        <is>
          <t>Investment</t>
        </is>
      </c>
      <c r="E24" s="1550" t="n"/>
      <c r="F24" s="1550" t="n"/>
      <c r="G24" s="1550" t="n"/>
    </row>
    <row r="25">
      <c r="A25" t="inlineStr">
        <is>
          <t>Value Premise</t>
        </is>
      </c>
      <c r="B25" s="1693" t="inlineStr">
        <is>
          <t>Fee Simple</t>
        </is>
      </c>
      <c r="E25" s="1550" t="n"/>
      <c r="F25" s="1550" t="n"/>
      <c r="G25" s="1550" t="n"/>
    </row>
    <row r="26">
      <c r="A26" t="inlineStr">
        <is>
          <t>Date of Value</t>
        </is>
      </c>
      <c r="B26" s="1143" t="n">
        <v>44012</v>
      </c>
    </row>
    <row r="27">
      <c r="A27" t="inlineStr">
        <is>
          <t>Report Date</t>
        </is>
      </c>
      <c r="B27" s="1143" t="n">
        <v>45127</v>
      </c>
    </row>
    <row r="28">
      <c r="A28" t="inlineStr">
        <is>
          <t>Hearing Date</t>
        </is>
      </c>
      <c r="B28" s="1144" t="n">
        <v>45192</v>
      </c>
    </row>
    <row r="29">
      <c r="A29" t="inlineStr">
        <is>
          <t>Zoning</t>
        </is>
      </c>
      <c r="B29" s="1140" t="inlineStr">
        <is>
          <t>I-1 (Light Industrial)</t>
        </is>
      </c>
    </row>
    <row r="30">
      <c r="A30" t="inlineStr">
        <is>
          <t>Zoning Authority</t>
        </is>
      </c>
      <c r="B30" s="1140" t="inlineStr">
        <is>
          <t>Adams County</t>
        </is>
      </c>
    </row>
  </sheetData>
  <dataValidations count="1">
    <dataValidation sqref="B7" showDropDown="0" showInputMessage="1" showErrorMessage="1" allowBlank="1" type="list">
      <formula1>$E$7:$E$9</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164"/>
  <sheetViews>
    <sheetView zoomScale="70" zoomScaleNormal="70" workbookViewId="0">
      <selection activeCell="M13" sqref="M13"/>
    </sheetView>
  </sheetViews>
  <sheetFormatPr baseColWidth="8" defaultRowHeight="15"/>
  <cols>
    <col width="9.140625" customWidth="1" style="1450" min="1" max="1"/>
    <col width="33.85546875" bestFit="1" customWidth="1" style="1439" min="2" max="2"/>
    <col width="51" customWidth="1" style="1439" min="3" max="3"/>
    <col width="33.42578125" customWidth="1" style="1439" min="4" max="4"/>
    <col width="13" bestFit="1" customWidth="1" style="1439" min="5" max="5"/>
    <col width="12.140625" customWidth="1" style="1439" min="6" max="6"/>
    <col width="33.7109375" customWidth="1" style="1439" min="7" max="7"/>
    <col width="11.140625" customWidth="1" style="1439" min="8" max="12"/>
    <col width="43.85546875" bestFit="1" customWidth="1" style="1439" min="13" max="13"/>
    <col width="14.28515625" customWidth="1" style="1439" min="14" max="16"/>
    <col width="27.7109375" customWidth="1" style="1439" min="17" max="17"/>
    <col width="38.28515625" customWidth="1" style="1439" min="18" max="18"/>
    <col width="57.5703125" customWidth="1" style="1439" min="19" max="19"/>
    <col width="27.140625" customWidth="1" style="1439" min="20" max="20"/>
    <col width="29.28515625" customWidth="1" style="1439" min="21" max="21"/>
    <col width="12" bestFit="1" customWidth="1" style="1439" min="22" max="22"/>
    <col width="10.28515625" customWidth="1" style="1439" min="23" max="23"/>
    <col width="6.28515625" customWidth="1" style="1439" min="24" max="24"/>
    <col width="26.85546875" bestFit="1" customWidth="1" style="1439" min="25" max="25"/>
    <col width="16.42578125" customWidth="1" style="1439" min="26" max="28"/>
    <col width="30.28515625" customWidth="1" style="1439" min="29" max="29"/>
    <col width="15" customWidth="1" style="1439" min="30" max="32"/>
    <col width="25.28515625" bestFit="1" customWidth="1" style="1439" min="33" max="33"/>
    <col width="6.7109375" bestFit="1" customWidth="1" style="1439" min="34" max="34"/>
    <col width="21.140625" customWidth="1" style="1439" min="35" max="36"/>
  </cols>
  <sheetData>
    <row r="1" customFormat="1" s="1450">
      <c r="A1" s="1450" t="inlineStr">
        <is>
          <t>Note:</t>
        </is>
      </c>
      <c r="B1" s="1450" t="inlineStr">
        <is>
          <t>FILL ONLY HIGHLIGHTED CELLS</t>
        </is>
      </c>
    </row>
    <row r="2" customFormat="1" s="1450"/>
    <row r="3">
      <c r="B3" s="1465" t="inlineStr">
        <is>
          <t>EXECUTIVE SUMMARY</t>
        </is>
      </c>
      <c r="D3" s="1450" t="n"/>
      <c r="E3" s="1450" t="n"/>
      <c r="F3" s="1450" t="n"/>
      <c r="G3" s="1450" t="n"/>
      <c r="H3" s="1450" t="n"/>
      <c r="I3" s="1450" t="n"/>
      <c r="J3" s="1450" t="n"/>
      <c r="K3" s="1450" t="n"/>
      <c r="L3" s="1450" t="n"/>
      <c r="M3" s="1450" t="n"/>
      <c r="N3" s="1450" t="n"/>
      <c r="O3" s="1450" t="n"/>
      <c r="P3" s="1450" t="n"/>
      <c r="Q3" s="1450" t="n"/>
      <c r="R3" s="1450" t="n"/>
      <c r="S3" s="1450" t="n"/>
      <c r="T3" s="1450" t="n"/>
    </row>
    <row r="4">
      <c r="B4" s="1152" t="inlineStr">
        <is>
          <t>Account Number</t>
        </is>
      </c>
      <c r="C4" s="1153">
        <f>'Property Info'!B1</f>
        <v/>
      </c>
      <c r="D4" s="1450" t="n"/>
      <c r="E4" s="1450" t="n"/>
      <c r="F4" s="1450" t="n"/>
      <c r="G4" s="1450" t="n"/>
      <c r="H4" s="1450" t="n"/>
      <c r="I4" s="1450" t="n"/>
      <c r="J4" s="1450" t="n"/>
      <c r="K4" s="1450" t="n"/>
      <c r="L4" s="1450" t="n"/>
      <c r="M4" s="1450" t="n"/>
      <c r="N4" s="1450" t="n"/>
      <c r="O4" s="1450" t="n"/>
      <c r="P4" s="1450" t="n"/>
      <c r="Q4" s="1450" t="n"/>
      <c r="R4" s="1450" t="n"/>
      <c r="S4" s="1450" t="n"/>
      <c r="T4" s="1450" t="n"/>
    </row>
    <row r="5">
      <c r="B5" s="1152" t="inlineStr">
        <is>
          <t>Address</t>
        </is>
      </c>
      <c r="C5" s="1153">
        <f>'Property Info'!B16</f>
        <v/>
      </c>
      <c r="D5" s="1450" t="n"/>
      <c r="E5" s="1450" t="n"/>
      <c r="F5" s="1450" t="n"/>
      <c r="G5" s="1450" t="n"/>
      <c r="H5" s="1450" t="n"/>
      <c r="I5" s="1450" t="n"/>
      <c r="J5" s="1450" t="n"/>
      <c r="K5" s="1450" t="n"/>
      <c r="L5" s="1450" t="n"/>
      <c r="M5" s="1450" t="n"/>
      <c r="N5" s="1450" t="n"/>
      <c r="O5" s="1450" t="n"/>
      <c r="P5" s="1450" t="n"/>
      <c r="Q5" s="1450" t="n"/>
      <c r="R5" s="1450" t="n"/>
      <c r="S5" s="1450" t="n"/>
      <c r="T5" s="1450" t="n"/>
    </row>
    <row r="6">
      <c r="B6" s="1152" t="inlineStr">
        <is>
          <t>County</t>
        </is>
      </c>
      <c r="C6" s="1153">
        <f>'Property Info'!B18</f>
        <v/>
      </c>
      <c r="D6" s="1450" t="n"/>
      <c r="E6" s="1450" t="n"/>
      <c r="F6" s="1450" t="n"/>
      <c r="G6" s="1450" t="n"/>
      <c r="H6" s="1450" t="n"/>
      <c r="I6" s="1450" t="n"/>
      <c r="J6" s="1450" t="n"/>
      <c r="K6" s="1450" t="n"/>
      <c r="L6" s="1450" t="n"/>
      <c r="M6" s="1450" t="n"/>
      <c r="N6" s="1450" t="n"/>
      <c r="O6" s="1450" t="n"/>
      <c r="P6" s="1450" t="n"/>
      <c r="Q6" s="1450" t="n"/>
      <c r="R6" s="1450" t="n"/>
      <c r="S6" s="1450" t="n"/>
      <c r="T6" s="1450" t="n"/>
    </row>
    <row r="7">
      <c r="B7" s="1152" t="inlineStr">
        <is>
          <t>City, State</t>
        </is>
      </c>
      <c r="C7" s="1153">
        <f>'Property Info'!B17</f>
        <v/>
      </c>
      <c r="D7" s="1450" t="n"/>
      <c r="E7" s="1450" t="n"/>
      <c r="F7" s="1450" t="n"/>
      <c r="G7" s="1450" t="n"/>
      <c r="H7" s="1450" t="n"/>
      <c r="I7" s="1450" t="n"/>
      <c r="J7" s="1450" t="n"/>
      <c r="K7" s="1450" t="n"/>
      <c r="L7" s="1450" t="n"/>
      <c r="M7" s="1450" t="n"/>
      <c r="N7" s="1450" t="n"/>
      <c r="O7" s="1450" t="n"/>
      <c r="P7" s="1450" t="n"/>
      <c r="Q7" s="1450" t="n"/>
      <c r="R7" s="1450" t="n"/>
      <c r="S7" s="1450" t="n"/>
      <c r="T7" s="1450" t="n"/>
    </row>
    <row r="8">
      <c r="B8" s="1152" t="inlineStr">
        <is>
          <t>Effective Date</t>
        </is>
      </c>
      <c r="C8" s="1694">
        <f>'Property Info'!B26</f>
        <v/>
      </c>
      <c r="D8" s="1450" t="n"/>
      <c r="E8" s="1450" t="n"/>
      <c r="F8" s="1450" t="n"/>
      <c r="G8" s="1450" t="n"/>
      <c r="H8" s="1450" t="n"/>
      <c r="I8" s="1450" t="n"/>
      <c r="J8" s="1450" t="n"/>
      <c r="K8" s="1450" t="n"/>
      <c r="L8" s="1450" t="n"/>
      <c r="M8" s="1450" t="n"/>
      <c r="N8" s="1450" t="n"/>
      <c r="O8" s="1450" t="n"/>
      <c r="P8" s="1450" t="n"/>
      <c r="Q8" s="1450" t="n"/>
      <c r="R8" s="1450" t="n"/>
      <c r="S8" s="1450" t="n"/>
      <c r="T8" s="1450" t="n"/>
    </row>
    <row r="9">
      <c r="B9" s="1152" t="inlineStr">
        <is>
          <t>Appraisal Date</t>
        </is>
      </c>
      <c r="C9" s="1694">
        <f>'Property Info'!B27</f>
        <v/>
      </c>
      <c r="D9" s="1450" t="n"/>
      <c r="E9" s="1450" t="n"/>
      <c r="F9" s="1450" t="n"/>
      <c r="G9" s="1450" t="n"/>
      <c r="H9" s="1450" t="n"/>
      <c r="I9" s="1450" t="n"/>
      <c r="J9" s="1450" t="n"/>
      <c r="K9" s="1450" t="n"/>
      <c r="L9" s="1450" t="n"/>
      <c r="M9" s="1450" t="n"/>
      <c r="N9" s="1450" t="n"/>
      <c r="O9" s="1450" t="n"/>
      <c r="P9" s="1450" t="n"/>
      <c r="Q9" s="1450" t="n"/>
      <c r="R9" s="1450" t="n"/>
      <c r="S9" s="1450" t="n"/>
      <c r="T9" s="1450" t="n"/>
    </row>
    <row r="10">
      <c r="B10" s="1152" t="inlineStr">
        <is>
          <t>Hearing Date</t>
        </is>
      </c>
      <c r="C10" s="1694">
        <f>'Property Info'!B28</f>
        <v/>
      </c>
      <c r="D10" s="1450" t="n"/>
      <c r="E10" s="1450" t="n"/>
      <c r="F10" s="1450" t="n"/>
      <c r="G10" s="1450" t="n"/>
      <c r="H10" s="1450" t="n"/>
      <c r="I10" s="1450" t="n"/>
      <c r="J10" s="1450" t="n"/>
      <c r="K10" s="1450" t="n"/>
      <c r="L10" s="1450" t="n"/>
      <c r="M10" s="1450" t="n"/>
      <c r="N10" s="1450" t="n"/>
      <c r="O10" s="1450" t="n"/>
      <c r="P10" s="1450" t="n"/>
      <c r="Q10" s="1450" t="n"/>
      <c r="R10" s="1450" t="n"/>
      <c r="S10" s="1450" t="n"/>
      <c r="T10" s="1450" t="n"/>
    </row>
    <row r="11" ht="2.25" customHeight="1" s="1439">
      <c r="B11" s="1155" t="n"/>
      <c r="C11" s="1156" t="n"/>
      <c r="D11" s="1450" t="n"/>
      <c r="E11" s="1450" t="n"/>
      <c r="F11" s="1450" t="n"/>
      <c r="G11" s="1450" t="n"/>
      <c r="H11" s="1450" t="n"/>
      <c r="I11" s="1450" t="n"/>
      <c r="J11" s="1450" t="n"/>
      <c r="K11" s="1450" t="n"/>
      <c r="L11" s="1450" t="n"/>
      <c r="M11" s="1450" t="n"/>
      <c r="N11" s="1450" t="n"/>
      <c r="O11" s="1450" t="n"/>
      <c r="P11" s="1450" t="n"/>
      <c r="Q11" s="1450" t="n"/>
      <c r="R11" s="1450" t="n"/>
      <c r="S11" s="1450" t="n"/>
      <c r="T11" s="1450" t="n"/>
    </row>
    <row r="12">
      <c r="B12" s="1152" t="inlineStr">
        <is>
          <t>Property Type</t>
        </is>
      </c>
      <c r="C12" s="1153">
        <f>'Property Info'!B15</f>
        <v/>
      </c>
      <c r="D12" s="1450" t="n"/>
      <c r="E12" s="1450" t="n"/>
      <c r="F12" s="1450" t="n"/>
      <c r="G12" s="1450" t="n"/>
      <c r="H12" s="1450" t="n"/>
      <c r="I12" s="1450" t="n"/>
      <c r="J12" s="1450" t="n"/>
      <c r="K12" s="1450" t="n"/>
      <c r="L12" s="1450" t="n"/>
      <c r="M12" s="1450" t="n"/>
      <c r="N12" s="1450" t="n"/>
      <c r="O12" s="1450" t="n"/>
      <c r="P12" s="1450" t="n"/>
      <c r="Q12" s="1450" t="n"/>
      <c r="R12" s="1450" t="n"/>
      <c r="S12" s="1450" t="n"/>
      <c r="T12" s="1450" t="n"/>
    </row>
    <row r="13">
      <c r="B13" s="1152" t="inlineStr">
        <is>
          <t>Property Size</t>
        </is>
      </c>
      <c r="C13" s="1157" t="n"/>
      <c r="D13" s="1450" t="n"/>
      <c r="E13" s="1450" t="n"/>
      <c r="F13" s="1450" t="n"/>
      <c r="G13" s="1450" t="n"/>
      <c r="H13" s="1450" t="n"/>
      <c r="I13" s="1450" t="n"/>
      <c r="J13" s="1450" t="n"/>
      <c r="K13" s="1450" t="n"/>
      <c r="L13" s="1450" t="n"/>
      <c r="M13" s="1450" t="n"/>
      <c r="N13" s="1450" t="n"/>
      <c r="O13" s="1450" t="n"/>
      <c r="P13" s="1450" t="n"/>
      <c r="Q13" s="1450" t="n"/>
      <c r="R13" s="1450" t="n"/>
      <c r="S13" s="1450" t="n"/>
      <c r="T13" s="1450" t="n"/>
    </row>
    <row r="14">
      <c r="B14" s="1233">
        <f>'Property Info'!B7</f>
        <v/>
      </c>
      <c r="C14" s="1157">
        <f>IF(B14="GBA", 'Property Info'!B4,IF(B14="NRA",'Property Info'!B6,'Property Info'!B4))</f>
        <v/>
      </c>
      <c r="D14" s="1450" t="n"/>
      <c r="E14" s="1450" t="n"/>
      <c r="F14" s="1450" t="n"/>
      <c r="G14" s="1450" t="n"/>
      <c r="H14" s="1450" t="n"/>
      <c r="I14" s="1450" t="n"/>
      <c r="J14" s="1450" t="n"/>
      <c r="K14" s="1450" t="n"/>
      <c r="L14" s="1450" t="n"/>
      <c r="M14" s="1450" t="n"/>
      <c r="N14" s="1450" t="n"/>
      <c r="O14" s="1450" t="n"/>
      <c r="P14" s="1450" t="n"/>
      <c r="Q14" s="1450" t="n"/>
      <c r="R14" s="1450" t="n"/>
      <c r="S14" s="1450" t="n"/>
      <c r="T14" s="1450" t="n"/>
    </row>
    <row r="15">
      <c r="B15" s="1152" t="inlineStr">
        <is>
          <t>Number of Buildings</t>
        </is>
      </c>
      <c r="C15" s="1158">
        <f>'Property Info'!B3</f>
        <v/>
      </c>
      <c r="D15" s="1450" t="n"/>
      <c r="E15" s="1450" t="n"/>
      <c r="F15" s="1450" t="n"/>
      <c r="G15" s="1450" t="n"/>
      <c r="H15" s="1450" t="n"/>
      <c r="I15" s="1450" t="n"/>
      <c r="J15" s="1450" t="n"/>
      <c r="K15" s="1450" t="n"/>
      <c r="L15" s="1450" t="n"/>
      <c r="M15" s="1450" t="n"/>
      <c r="N15" s="1450" t="n"/>
      <c r="O15" s="1450" t="n"/>
      <c r="P15" s="1450" t="n"/>
      <c r="Q15" s="1450" t="n"/>
      <c r="R15" s="1450" t="n"/>
      <c r="S15" s="1450" t="n"/>
      <c r="T15" s="1450" t="n"/>
    </row>
    <row r="16">
      <c r="B16" s="1152" t="inlineStr">
        <is>
          <t>Year Built/Condition</t>
        </is>
      </c>
      <c r="C16" s="1153">
        <f>'Property Info'!B10</f>
        <v/>
      </c>
      <c r="D16" s="1450" t="n"/>
      <c r="E16" s="1450" t="n"/>
      <c r="F16" s="1450" t="n"/>
      <c r="G16" s="1450" t="n"/>
      <c r="H16" s="1450" t="n"/>
      <c r="I16" s="1450" t="n"/>
      <c r="J16" s="1450" t="n"/>
      <c r="K16" s="1450" t="n"/>
      <c r="L16" s="1450" t="n"/>
      <c r="M16" s="1450" t="n"/>
      <c r="N16" s="1450" t="n"/>
      <c r="O16" s="1450" t="n"/>
      <c r="P16" s="1450" t="n"/>
      <c r="Q16" s="1450" t="n"/>
      <c r="R16" s="1450" t="n"/>
      <c r="S16" s="1450" t="n"/>
      <c r="T16" s="1450" t="n"/>
    </row>
    <row r="17" hidden="1" s="1439">
      <c r="B17" s="1152" t="inlineStr">
        <is>
          <t>Condition</t>
        </is>
      </c>
      <c r="C17" s="1159" t="inlineStr">
        <is>
          <t>Average</t>
        </is>
      </c>
      <c r="D17" s="1450" t="n"/>
      <c r="E17" s="1450" t="n"/>
      <c r="F17" s="1450" t="n"/>
      <c r="G17" s="1450" t="n"/>
      <c r="H17" s="1450" t="n"/>
      <c r="I17" s="1450" t="n"/>
      <c r="J17" s="1450" t="n"/>
      <c r="K17" s="1450" t="n"/>
      <c r="L17" s="1450" t="n"/>
      <c r="M17" s="1450" t="n"/>
      <c r="N17" s="1450" t="n"/>
      <c r="O17" s="1450" t="n"/>
      <c r="P17" s="1450" t="n"/>
      <c r="Q17" s="1450" t="n"/>
      <c r="R17" s="1450" t="n"/>
      <c r="S17" s="1450" t="n"/>
      <c r="T17" s="1450" t="n"/>
    </row>
    <row r="18">
      <c r="B18" s="1152" t="inlineStr">
        <is>
          <t>Site Size (SF)</t>
        </is>
      </c>
      <c r="C18" s="1157">
        <f>'Property Info'!B11</f>
        <v/>
      </c>
      <c r="D18" s="1450" t="n"/>
      <c r="E18" s="1450" t="n"/>
      <c r="F18" s="1450" t="n"/>
      <c r="G18" s="1450" t="n"/>
      <c r="H18" s="1450" t="n"/>
      <c r="I18" s="1450" t="n"/>
      <c r="J18" s="1450" t="n"/>
      <c r="K18" s="1450" t="n"/>
      <c r="L18" s="1450" t="n"/>
      <c r="M18" s="1450" t="n"/>
      <c r="N18" s="1450" t="n"/>
      <c r="O18" s="1450" t="n"/>
      <c r="P18" s="1450" t="n"/>
      <c r="Q18" s="1450" t="n"/>
      <c r="R18" s="1450" t="n"/>
      <c r="S18" s="1450" t="n"/>
      <c r="T18" s="1450" t="n"/>
    </row>
    <row r="19">
      <c r="B19" s="1152" t="inlineStr">
        <is>
          <t>Property Rights Appraised</t>
        </is>
      </c>
      <c r="C19" s="1153">
        <f>'Property Info'!B25</f>
        <v/>
      </c>
      <c r="D19" s="1450" t="n"/>
      <c r="E19" s="1450" t="n"/>
      <c r="F19" s="1450" t="n"/>
      <c r="G19" s="1450" t="n"/>
      <c r="H19" s="1450" t="n"/>
      <c r="I19" s="1450" t="n"/>
      <c r="J19" s="1450" t="n"/>
      <c r="K19" s="1450" t="n"/>
      <c r="L19" s="1450" t="n"/>
      <c r="M19" s="1450" t="n"/>
      <c r="N19" s="1450" t="n"/>
      <c r="O19" s="1450" t="n"/>
      <c r="P19" s="1450" t="n"/>
      <c r="Q19" s="1450" t="n"/>
      <c r="R19" s="1450" t="n"/>
      <c r="S19" s="1450" t="n"/>
      <c r="T19" s="1450" t="n"/>
    </row>
    <row r="20">
      <c r="B20" s="1152" t="inlineStr">
        <is>
          <t>Assumed Occupancy</t>
        </is>
      </c>
      <c r="C20" s="1160">
        <f>'Property Info'!B19</f>
        <v/>
      </c>
      <c r="D20" s="1450" t="n"/>
      <c r="E20" s="1450" t="n"/>
      <c r="F20" s="1450" t="n"/>
      <c r="G20" s="1450" t="n"/>
      <c r="H20" s="1450" t="n"/>
      <c r="I20" s="1450" t="n"/>
      <c r="J20" s="1450" t="n"/>
      <c r="K20" s="1450" t="n"/>
      <c r="L20" s="1450" t="n"/>
      <c r="M20" s="1450" t="n"/>
      <c r="N20" s="1450" t="n"/>
      <c r="O20" s="1450" t="n"/>
      <c r="P20" s="1450" t="n"/>
      <c r="Q20" s="1450" t="n"/>
      <c r="R20" s="1450" t="n"/>
      <c r="S20" s="1450" t="n"/>
      <c r="T20" s="1450" t="n"/>
    </row>
    <row r="21">
      <c r="B21" s="1161" t="inlineStr">
        <is>
          <t>Stabilized Occupancy</t>
        </is>
      </c>
      <c r="C21" s="1162">
        <f>'Income Approach'!D22</f>
        <v/>
      </c>
      <c r="D21" s="1450" t="n"/>
      <c r="E21" s="1450" t="n"/>
      <c r="F21" s="1450" t="n"/>
      <c r="G21" s="1450" t="n"/>
      <c r="H21" s="1450" t="n"/>
      <c r="I21" s="1450" t="n"/>
      <c r="J21" s="1450" t="n"/>
      <c r="K21" s="1450" t="n"/>
      <c r="L21" s="1450" t="n"/>
      <c r="M21" s="1450" t="n"/>
      <c r="N21" s="1450" t="n"/>
      <c r="O21" s="1450" t="n"/>
      <c r="P21" s="1450" t="n"/>
      <c r="Q21" s="1450" t="n"/>
      <c r="R21" s="1450" t="n"/>
      <c r="S21" s="1450" t="n"/>
      <c r="T21" s="1450" t="n"/>
    </row>
    <row r="22">
      <c r="B22" s="1152" t="n"/>
      <c r="C22" s="1160" t="n"/>
      <c r="D22" s="1450" t="n"/>
      <c r="E22" s="1450" t="n"/>
      <c r="F22" s="1450" t="n"/>
      <c r="G22" s="1450" t="n"/>
      <c r="H22" s="1450" t="n"/>
      <c r="I22" s="1450" t="n"/>
      <c r="J22" s="1450" t="n"/>
      <c r="K22" s="1450" t="n"/>
      <c r="L22" s="1450" t="n"/>
      <c r="M22" s="1450" t="n"/>
      <c r="N22" s="1450" t="n"/>
      <c r="O22" s="1450" t="n"/>
      <c r="P22" s="1450" t="n"/>
      <c r="Q22" s="1450" t="n"/>
      <c r="R22" s="1450" t="n"/>
      <c r="S22" s="1450" t="n"/>
      <c r="T22" s="1450" t="n"/>
    </row>
    <row r="23">
      <c r="B23" s="1450" t="n"/>
      <c r="C23" s="1450" t="n"/>
      <c r="D23" s="1472" t="inlineStr">
        <is>
          <t xml:space="preserve">PETITION SCENARIO </t>
        </is>
      </c>
      <c r="E23" s="1468" t="n"/>
      <c r="F23" s="1468" t="n"/>
      <c r="G23" s="1450" t="n"/>
      <c r="H23" s="1450" t="n"/>
      <c r="I23" s="1450" t="n"/>
      <c r="J23" s="1450" t="n"/>
      <c r="K23" s="1450" t="n"/>
      <c r="L23" s="1450" t="n"/>
      <c r="M23" s="1450" t="n"/>
      <c r="N23" s="1450" t="n"/>
      <c r="O23" s="1450" t="n"/>
      <c r="P23" s="1450" t="n"/>
      <c r="Q23" s="1450" t="n"/>
      <c r="R23" s="1450" t="n"/>
      <c r="S23" s="1450" t="n"/>
      <c r="T23" s="1450" t="n"/>
    </row>
    <row r="24">
      <c r="B24" s="1450" t="n"/>
      <c r="C24" s="1450" t="n"/>
      <c r="D24" s="1440" t="n"/>
      <c r="E24" s="1440" t="inlineStr">
        <is>
          <t>$</t>
        </is>
      </c>
      <c r="F24" s="1440" t="inlineStr">
        <is>
          <t>$/SF</t>
        </is>
      </c>
      <c r="G24" s="1450" t="n"/>
      <c r="H24" s="1450" t="n"/>
      <c r="I24" s="1450" t="n"/>
      <c r="J24" s="1450" t="n"/>
      <c r="K24" s="1450" t="n"/>
      <c r="L24" s="1450" t="n"/>
      <c r="M24" s="1450" t="n"/>
      <c r="N24" s="1450" t="n"/>
      <c r="O24" s="1450" t="n"/>
      <c r="P24" s="1450" t="n"/>
      <c r="Q24" s="1450" t="n"/>
      <c r="R24" s="1450" t="n"/>
      <c r="S24" s="1450" t="n"/>
      <c r="T24" s="1450" t="n"/>
    </row>
    <row r="25">
      <c r="B25" s="1450" t="n"/>
      <c r="C25" s="1450" t="n"/>
      <c r="D25" s="1164" t="inlineStr">
        <is>
          <t>Assessor's Assigned Value</t>
        </is>
      </c>
      <c r="E25" s="1695">
        <f>'Basic Sales Grid'!D51</f>
        <v/>
      </c>
      <c r="F25" s="1696">
        <f>E25/C14</f>
        <v/>
      </c>
      <c r="G25" s="1450" t="n"/>
      <c r="H25" s="1450" t="n"/>
      <c r="I25" s="1450" t="n"/>
      <c r="J25" s="1450" t="n"/>
      <c r="K25" s="1450" t="n"/>
      <c r="L25" s="1450" t="n"/>
      <c r="M25" s="1450" t="n"/>
      <c r="N25" s="1450" t="n"/>
      <c r="O25" s="1450" t="n"/>
      <c r="P25" s="1450" t="n"/>
      <c r="Q25" s="1450" t="n"/>
      <c r="R25" s="1450" t="n"/>
      <c r="S25" s="1450" t="n"/>
      <c r="T25" s="1450" t="n"/>
    </row>
    <row r="26">
      <c r="B26" s="1450" t="n"/>
      <c r="C26" s="1450" t="n"/>
      <c r="D26" s="1167" t="inlineStr">
        <is>
          <t>Petitioner’s Requested Value</t>
        </is>
      </c>
      <c r="E26" s="1697">
        <f>'Basic Sales Grid'!D52</f>
        <v/>
      </c>
      <c r="F26" s="1698">
        <f>E26/C14</f>
        <v/>
      </c>
      <c r="G26" s="1450" t="n"/>
      <c r="H26" s="1450" t="n"/>
      <c r="I26" s="1450" t="n"/>
      <c r="J26" s="1450" t="n"/>
      <c r="K26" s="1450" t="n"/>
      <c r="L26" s="1450" t="n"/>
      <c r="M26" s="1450" t="n"/>
      <c r="N26" s="1450" t="n"/>
      <c r="O26" s="1450" t="n"/>
      <c r="P26" s="1450" t="n"/>
      <c r="Q26" s="1450" t="n"/>
      <c r="R26" s="1450" t="n"/>
      <c r="S26" s="1450" t="n"/>
      <c r="T26" s="1450" t="n"/>
    </row>
    <row r="27">
      <c r="B27" s="1450" t="n"/>
      <c r="C27" s="1450" t="n"/>
      <c r="D27" s="1450" t="n"/>
      <c r="E27" s="1450" t="n"/>
      <c r="F27" s="1450" t="n"/>
      <c r="G27" s="1450" t="n"/>
      <c r="H27" s="1450" t="n"/>
      <c r="I27" s="1450" t="n"/>
      <c r="J27" s="1450" t="n"/>
      <c r="K27" s="1450" t="n"/>
      <c r="L27" s="1450" t="n"/>
      <c r="M27" s="1450" t="n"/>
      <c r="N27" s="1450" t="n"/>
      <c r="O27" s="1450" t="n"/>
      <c r="P27" s="1450" t="n"/>
      <c r="Q27" s="1450" t="n"/>
      <c r="R27" s="1450" t="n"/>
      <c r="S27" s="1450" t="n"/>
      <c r="T27" s="1450" t="n"/>
    </row>
    <row r="28">
      <c r="B28" s="1450" t="n"/>
      <c r="C28" s="1450" t="n"/>
      <c r="D28" s="1450" t="n"/>
      <c r="E28" s="1450" t="n"/>
      <c r="F28" s="1450" t="n"/>
      <c r="G28" s="1471" t="inlineStr">
        <is>
          <t>APPRAISAL INFORMATION</t>
        </is>
      </c>
      <c r="M28" s="1170" t="n"/>
      <c r="N28" s="1170" t="n"/>
      <c r="O28" s="1170" t="n"/>
      <c r="P28" s="1170" t="n"/>
      <c r="Q28" s="1170" t="n"/>
      <c r="R28" s="1170" t="n"/>
      <c r="S28" s="1170" t="n"/>
      <c r="T28" s="1450" t="n"/>
    </row>
    <row r="29" ht="31.5" customHeight="1" s="1439">
      <c r="B29" s="1450" t="n"/>
      <c r="C29" s="1450" t="n"/>
      <c r="D29" s="1450" t="n"/>
      <c r="E29" s="1450" t="n"/>
      <c r="F29" s="1450" t="n"/>
      <c r="G29" s="1171" t="inlineStr">
        <is>
          <t>Intended User</t>
        </is>
      </c>
      <c r="H29" s="1448" t="inlineStr">
        <is>
          <t>Adams County Board of Equalization, Adams County Attorney, Colorado Board of Assessment Appeals</t>
        </is>
      </c>
      <c r="M29" s="1482" t="n"/>
      <c r="N29" s="1482" t="n"/>
      <c r="O29" s="1482" t="n"/>
      <c r="P29" s="1482" t="n"/>
      <c r="Q29" s="1482" t="n"/>
      <c r="R29" s="1482" t="n"/>
      <c r="S29" s="1482" t="n"/>
      <c r="T29" s="1450" t="n"/>
    </row>
    <row r="30" hidden="1" s="1439">
      <c r="B30" s="1450" t="n"/>
      <c r="C30" s="1450" t="n"/>
      <c r="D30" s="1450" t="n"/>
      <c r="E30" s="1450" t="n"/>
      <c r="F30" s="1450" t="n"/>
      <c r="G30" s="1171" t="n"/>
      <c r="H30" s="1460">
        <f>clCompanyAddressStreet1&amp;", "&amp;clCompanyAddressStreet2</f>
        <v/>
      </c>
      <c r="L30" s="1173" t="n"/>
      <c r="M30" s="1173" t="n"/>
      <c r="N30" s="1173" t="n"/>
      <c r="O30" s="1173" t="n"/>
      <c r="P30" s="1173" t="n"/>
      <c r="Q30" s="1173" t="n"/>
      <c r="R30" s="1173" t="n"/>
      <c r="S30" s="1173" t="n"/>
      <c r="T30" s="1450" t="n"/>
    </row>
    <row r="31" hidden="1" s="1439">
      <c r="B31" s="1450" t="n"/>
      <c r="C31" s="1450" t="n"/>
      <c r="D31" s="1450" t="n"/>
      <c r="E31" s="1450" t="n"/>
      <c r="F31" s="1450" t="n"/>
      <c r="G31" s="1171" t="n"/>
      <c r="H31" s="1460">
        <f>clCompanyAddressCity&amp;", "&amp;clCompanyAddressState&amp;"  "&amp;clCompanyAddressZip</f>
        <v/>
      </c>
      <c r="L31" s="1173" t="n"/>
      <c r="M31" s="1173" t="n"/>
      <c r="N31" s="1173" t="n"/>
      <c r="O31" s="1173" t="n"/>
      <c r="P31" s="1173" t="n"/>
      <c r="Q31" s="1173" t="n"/>
      <c r="R31" s="1173" t="n"/>
      <c r="S31" s="1173" t="n"/>
      <c r="T31" s="1450" t="n"/>
    </row>
    <row r="32" hidden="1" s="1439">
      <c r="B32" s="1450" t="n"/>
      <c r="C32" s="1450" t="n"/>
      <c r="D32" s="1450" t="n"/>
      <c r="E32" s="1450" t="n"/>
      <c r="F32" s="1450" t="n"/>
      <c r="G32" s="1171" t="inlineStr">
        <is>
          <t>Intended User(s)</t>
        </is>
      </c>
      <c r="H32" s="1461">
        <f>H29</f>
        <v/>
      </c>
      <c r="L32" s="1174" t="n"/>
      <c r="M32" s="1173" t="n"/>
      <c r="N32" s="1173" t="n"/>
      <c r="O32" s="1173" t="n"/>
      <c r="P32" s="1173" t="n"/>
      <c r="Q32" s="1173" t="n"/>
      <c r="R32" s="1173" t="n"/>
      <c r="S32" s="1173" t="n"/>
      <c r="T32" s="1450" t="n"/>
    </row>
    <row r="33" ht="15" customHeight="1" s="1439">
      <c r="B33" s="1450" t="n"/>
      <c r="C33" s="1450" t="n"/>
      <c r="D33" s="1450" t="n"/>
      <c r="E33" s="1450" t="n"/>
      <c r="F33" s="1450" t="n"/>
      <c r="G33" s="1171" t="inlineStr">
        <is>
          <t>Intended Use</t>
        </is>
      </c>
      <c r="H33" s="1448" t="inlineStr">
        <is>
          <t>Aid in tax appeal decision</t>
        </is>
      </c>
      <c r="M33" s="1482" t="n"/>
      <c r="N33" s="1482" t="n"/>
      <c r="O33" s="1482" t="n"/>
      <c r="P33" s="1482" t="n"/>
      <c r="Q33" s="1482" t="n"/>
      <c r="R33" s="1482" t="n"/>
      <c r="S33" s="1482" t="n"/>
      <c r="T33" s="1450" t="n"/>
    </row>
    <row r="34" ht="20.25" customHeight="1" s="1439">
      <c r="B34" s="1450" t="n"/>
      <c r="C34" s="1450" t="n"/>
      <c r="D34" s="1450" t="n"/>
      <c r="E34" s="1450" t="n"/>
      <c r="F34" s="1450" t="n"/>
      <c r="G34" s="1171" t="inlineStr">
        <is>
          <t>Values Concluded</t>
        </is>
      </c>
      <c r="H34" s="1448" t="inlineStr">
        <is>
          <t xml:space="preserve">Retrospective Market Value </t>
        </is>
      </c>
      <c r="M34" s="1482" t="n"/>
      <c r="N34" s="1482" t="n"/>
      <c r="O34" s="1482" t="n"/>
      <c r="P34" s="1482" t="n"/>
      <c r="Q34" s="1482" t="n"/>
      <c r="R34" s="1482" t="n"/>
      <c r="S34" s="1482" t="n"/>
      <c r="T34" s="1450" t="n"/>
    </row>
    <row r="35" ht="29.25" customHeight="1" s="1439">
      <c r="B35" s="1450" t="n"/>
      <c r="C35" s="1450" t="n"/>
      <c r="D35" s="1450" t="n"/>
      <c r="E35" s="1450" t="n"/>
      <c r="F35" s="1450" t="n"/>
      <c r="G35" s="1171" t="inlineStr">
        <is>
          <t>Property Rights Appraised / Premise</t>
        </is>
      </c>
      <c r="H35" s="1448" t="inlineStr">
        <is>
          <t>Retrospective Market Value of the Fee Simple interest in the subject property, As Is as of June 30, 2020</t>
        </is>
      </c>
      <c r="M35" s="1482" t="n"/>
      <c r="N35" s="1482" t="n"/>
      <c r="O35" s="1482" t="n"/>
      <c r="P35" s="1482" t="n"/>
      <c r="Q35" s="1482" t="n"/>
      <c r="R35" s="1482" t="n"/>
      <c r="S35" s="1482" t="n"/>
      <c r="T35" s="1450" t="n"/>
    </row>
    <row r="36" ht="18" customHeight="1" s="1439">
      <c r="B36" s="1450" t="n"/>
      <c r="C36" s="1450" t="n"/>
      <c r="D36" s="1450" t="n"/>
      <c r="E36" s="1450" t="n"/>
      <c r="F36" s="1450" t="n"/>
      <c r="G36" s="1171" t="inlineStr">
        <is>
          <t>Premise Summary</t>
        </is>
      </c>
      <c r="H36" s="1448" t="inlineStr">
        <is>
          <t>Retrospective Market Value As Is  - June 30, 2020</t>
        </is>
      </c>
      <c r="M36" s="1482" t="n"/>
      <c r="N36" s="1482" t="n"/>
      <c r="O36" s="1482" t="n"/>
      <c r="P36" s="1482" t="n"/>
      <c r="Q36" s="1482" t="n"/>
      <c r="R36" s="1482" t="n"/>
      <c r="S36" s="1482" t="n"/>
      <c r="T36" s="1450" t="n"/>
    </row>
    <row r="37">
      <c r="B37" s="1450" t="n"/>
      <c r="C37" s="1450" t="n"/>
      <c r="D37" s="1450" t="n"/>
      <c r="E37" s="1450" t="n"/>
      <c r="F37" s="1450" t="n"/>
      <c r="G37" s="1171" t="inlineStr">
        <is>
          <t>Date of Inspection</t>
        </is>
      </c>
      <c r="H37" s="1699" t="n">
        <v>45079</v>
      </c>
      <c r="M37" s="1700" t="n"/>
      <c r="N37" s="1700" t="n"/>
      <c r="O37" s="1700" t="n"/>
      <c r="P37" s="1700" t="n"/>
      <c r="Q37" s="1700" t="n"/>
      <c r="R37" s="1700" t="n"/>
      <c r="S37" s="1700" t="n"/>
      <c r="T37" s="1450" t="n"/>
    </row>
    <row r="38">
      <c r="B38" s="1450" t="n"/>
      <c r="C38" s="1450" t="n"/>
      <c r="D38" s="1450" t="n"/>
      <c r="E38" s="1450" t="n"/>
      <c r="F38" s="1450" t="n"/>
      <c r="G38" s="1171" t="inlineStr">
        <is>
          <t>Report Date</t>
        </is>
      </c>
      <c r="H38" s="1700">
        <f>'Property Info'!B27</f>
        <v/>
      </c>
      <c r="M38" s="1700" t="n"/>
      <c r="N38" s="1700" t="n"/>
      <c r="O38" s="1700" t="n"/>
      <c r="P38" s="1700" t="n"/>
      <c r="Q38" s="1700" t="n"/>
      <c r="R38" s="1700" t="n"/>
      <c r="S38" s="1700" t="n"/>
      <c r="T38" s="1450" t="n"/>
    </row>
    <row r="39">
      <c r="B39" s="1450" t="n"/>
      <c r="C39" s="1450" t="n"/>
      <c r="D39" s="1450" t="n"/>
      <c r="E39" s="1450" t="n"/>
      <c r="F39" s="1450" t="n"/>
      <c r="G39" s="1171" t="inlineStr">
        <is>
          <t>Marketing Time</t>
        </is>
      </c>
      <c r="H39" s="1701" t="inlineStr">
        <is>
          <t>12 months</t>
        </is>
      </c>
      <c r="M39" s="1701" t="n"/>
      <c r="N39" s="1701" t="n"/>
      <c r="O39" s="1701" t="n"/>
      <c r="P39" s="1701" t="n"/>
      <c r="Q39" s="1701" t="n"/>
      <c r="R39" s="1701" t="n"/>
      <c r="S39" s="1701" t="n"/>
      <c r="T39" s="1450" t="n"/>
    </row>
    <row r="40">
      <c r="B40" s="1450" t="n"/>
      <c r="C40" s="1450" t="n"/>
      <c r="D40" s="1450" t="n"/>
      <c r="E40" s="1450" t="n"/>
      <c r="F40" s="1450" t="n"/>
      <c r="G40" s="1171" t="inlineStr">
        <is>
          <t>Exposure Time</t>
        </is>
      </c>
      <c r="H40" s="1701" t="inlineStr">
        <is>
          <t>12 months</t>
        </is>
      </c>
      <c r="M40" s="1701" t="n"/>
      <c r="N40" s="1701" t="n"/>
      <c r="O40" s="1701" t="n"/>
      <c r="P40" s="1701" t="n"/>
      <c r="Q40" s="1701" t="n"/>
      <c r="R40" s="1701" t="n"/>
      <c r="S40" s="1701" t="n"/>
      <c r="T40" s="1450" t="n"/>
    </row>
    <row r="41">
      <c r="B41" s="1450" t="n"/>
      <c r="C41" s="1450" t="n"/>
      <c r="D41" s="1450" t="n"/>
      <c r="E41" s="1450" t="n"/>
      <c r="F41" s="1450" t="n"/>
      <c r="G41" s="1171" t="inlineStr">
        <is>
          <t>Owner of Record</t>
        </is>
      </c>
      <c r="H41" s="1448" t="n"/>
      <c r="M41" s="1482" t="n"/>
      <c r="N41" s="1482" t="n"/>
      <c r="O41" s="1482" t="n"/>
      <c r="P41" s="1482" t="n"/>
      <c r="Q41" s="1482" t="n"/>
      <c r="R41" s="1482" t="n"/>
      <c r="S41" s="1482" t="n"/>
      <c r="T41" s="1450" t="n"/>
    </row>
    <row r="42" ht="67.5" customHeight="1" s="1439">
      <c r="B42" s="1450" t="n"/>
      <c r="C42" s="1450" t="n"/>
      <c r="D42" s="1450" t="n"/>
      <c r="E42" s="1450" t="n"/>
      <c r="F42" s="1450" t="n"/>
      <c r="G42" s="1171" t="inlineStr">
        <is>
          <t>Property Contact(s)</t>
        </is>
      </c>
      <c r="H42" s="1448" t="inlineStr">
        <is>
          <t xml:space="preserve">Mr. Patrick de Jongh and Mr. Michael Kaufman, taxpayer representatives, were interviewed by phone and email throughout the appraisal process and intended our inspection of the subject property. </t>
        </is>
      </c>
      <c r="M42" s="1482" t="n"/>
      <c r="N42" s="1482" t="n"/>
      <c r="O42" s="1482" t="n"/>
      <c r="P42" s="1482" t="n"/>
      <c r="Q42" s="1482" t="n"/>
      <c r="R42" s="1482" t="n"/>
      <c r="S42" s="1482" t="n"/>
      <c r="T42" s="1450" t="n"/>
    </row>
    <row r="43">
      <c r="B43" s="1450" t="n"/>
      <c r="C43" s="1450" t="n"/>
      <c r="D43" s="1450" t="n"/>
      <c r="E43" s="1450" t="n"/>
      <c r="F43" s="1450" t="n"/>
      <c r="G43" s="1171" t="inlineStr">
        <is>
          <t>Most Probable Purchaser</t>
        </is>
      </c>
      <c r="H43" s="1482">
        <f>pdMostProbablePurchaser</f>
        <v/>
      </c>
      <c r="M43" s="1482" t="n"/>
      <c r="N43" s="1482" t="n"/>
      <c r="O43" s="1482" t="n"/>
      <c r="P43" s="1482" t="n"/>
      <c r="Q43" s="1482" t="n"/>
      <c r="R43" s="1482" t="n"/>
      <c r="S43" s="1482" t="n"/>
      <c r="T43" s="1450" t="n"/>
    </row>
    <row r="44">
      <c r="B44" s="1450" t="n"/>
      <c r="C44" s="1450" t="n"/>
      <c r="D44" s="1450" t="n"/>
      <c r="E44" s="1450" t="n"/>
      <c r="F44" s="1450" t="n"/>
      <c r="G44" s="1171" t="inlineStr">
        <is>
          <t>Highest and Best Use</t>
        </is>
      </c>
      <c r="H44" s="1460" t="n"/>
      <c r="I44" s="1178" t="n"/>
      <c r="J44" s="1178" t="n"/>
      <c r="K44" s="1178" t="n"/>
      <c r="L44" s="1178" t="n"/>
      <c r="M44" s="1178" t="n"/>
      <c r="N44" s="1178" t="n"/>
      <c r="O44" s="1178" t="n"/>
      <c r="P44" s="1178" t="n"/>
      <c r="Q44" s="1178" t="n"/>
      <c r="R44" s="1178" t="n"/>
      <c r="S44" s="1178" t="n"/>
      <c r="T44" s="1450" t="n"/>
    </row>
    <row r="45" ht="15" customHeight="1" s="1439">
      <c r="B45" s="1450" t="n"/>
      <c r="C45" s="1450" t="n"/>
      <c r="D45" s="1450" t="n"/>
      <c r="E45" s="1450" t="n"/>
      <c r="F45" s="1450" t="n"/>
      <c r="G45" s="1179" t="inlineStr">
        <is>
          <t>If Vacant</t>
        </is>
      </c>
      <c r="H45" s="1448" t="inlineStr">
        <is>
          <t xml:space="preserve">Light Industrial Development </t>
        </is>
      </c>
      <c r="M45" s="1482" t="n"/>
      <c r="N45" s="1482" t="n"/>
      <c r="O45" s="1482" t="n"/>
      <c r="P45" s="1482" t="n"/>
      <c r="Q45" s="1482" t="n"/>
      <c r="R45" s="1482" t="n"/>
      <c r="S45" s="1482" t="n"/>
      <c r="T45" s="1450" t="n"/>
    </row>
    <row r="46" ht="15" customHeight="1" s="1439">
      <c r="B46" s="1450" t="n"/>
      <c r="C46" s="1450" t="n"/>
      <c r="D46" s="1450" t="n"/>
      <c r="E46" s="1450" t="n"/>
      <c r="F46" s="1450" t="n"/>
      <c r="G46" s="1180" t="inlineStr">
        <is>
          <t>As Improved</t>
        </is>
      </c>
      <c r="H46" s="1483">
        <f>pdHBUAsImproved</f>
        <v/>
      </c>
      <c r="I46" s="1458" t="n"/>
      <c r="J46" s="1458" t="n"/>
      <c r="K46" s="1458" t="n"/>
      <c r="L46" s="1458" t="n"/>
      <c r="M46" s="1482" t="n"/>
      <c r="N46" s="1482" t="n"/>
      <c r="O46" s="1482" t="n"/>
      <c r="P46" s="1482" t="n"/>
      <c r="Q46" s="1482" t="n"/>
      <c r="R46" s="1482" t="n"/>
      <c r="S46" s="1482" t="n"/>
      <c r="T46" s="1450" t="n"/>
    </row>
    <row r="47">
      <c r="B47" s="1450" t="n"/>
      <c r="C47" s="1450" t="n"/>
      <c r="D47" s="1450" t="n"/>
      <c r="E47" s="1450" t="n"/>
      <c r="F47" s="1450" t="n"/>
      <c r="G47" s="1179" t="n"/>
      <c r="H47" s="1460" t="n"/>
      <c r="I47" s="1173" t="n"/>
      <c r="J47" s="1173" t="n"/>
      <c r="K47" s="1173" t="n"/>
      <c r="L47" s="1173" t="n"/>
      <c r="M47" s="1173" t="n"/>
      <c r="N47" s="1173" t="n"/>
      <c r="O47" s="1173" t="n"/>
      <c r="P47" s="1173" t="n"/>
      <c r="Q47" s="1173" t="n"/>
      <c r="R47" s="1173" t="n"/>
      <c r="S47" s="1173" t="n"/>
      <c r="T47" s="1450" t="n"/>
    </row>
    <row r="48">
      <c r="B48" s="1450" t="n"/>
      <c r="C48" s="1450" t="n"/>
      <c r="D48" s="1450" t="n"/>
      <c r="E48" s="1450" t="n"/>
      <c r="F48" s="1450" t="n"/>
      <c r="G48" s="1179" t="n"/>
      <c r="H48" s="1460" t="n"/>
      <c r="I48" s="1173" t="n"/>
      <c r="J48" s="1173" t="n"/>
      <c r="K48" s="1173" t="n"/>
      <c r="L48" s="1173" t="n"/>
      <c r="M48" s="1173" t="n"/>
      <c r="N48" s="1173" t="n"/>
      <c r="O48" s="1173" t="n"/>
      <c r="P48" s="1173" t="n"/>
      <c r="Q48" s="1173" t="n"/>
      <c r="R48" s="1173" t="n"/>
      <c r="S48" s="1173" t="n"/>
      <c r="T48" s="1450" t="n"/>
    </row>
    <row r="49">
      <c r="B49" s="1450" t="n"/>
      <c r="C49" s="1450" t="n"/>
      <c r="D49" s="1450" t="n"/>
      <c r="E49" s="1450" t="n"/>
      <c r="F49" s="1450" t="n"/>
      <c r="G49" s="1179" t="n"/>
      <c r="H49" s="1460" t="n"/>
      <c r="I49" s="1173" t="n"/>
      <c r="J49" s="1173" t="n"/>
      <c r="K49" s="1173" t="n"/>
      <c r="L49" s="1173" t="n"/>
      <c r="M49" s="1474" t="inlineStr">
        <is>
          <t>SCOPE OF THE INVESTIGATION</t>
        </is>
      </c>
      <c r="R49" s="1409" t="n"/>
      <c r="S49" s="1409" t="n"/>
    </row>
    <row r="50" customFormat="1" s="1450">
      <c r="G50" s="1179" t="n"/>
      <c r="H50" s="1460" t="n"/>
      <c r="I50" s="1173" t="n"/>
      <c r="J50" s="1173" t="n"/>
      <c r="K50" s="1173" t="n"/>
      <c r="L50" s="1173" t="n"/>
      <c r="M50" s="1470" t="inlineStr">
        <is>
          <t>General and Market Data Analyzed</t>
        </is>
      </c>
      <c r="N50" s="1456" t="inlineStr">
        <is>
          <t>§  Regional economic data and trends</t>
        </is>
      </c>
      <c r="R50" s="1456" t="n"/>
      <c r="S50" s="1456" t="n"/>
    </row>
    <row r="51" customFormat="1" s="1450">
      <c r="G51" s="1179" t="n"/>
      <c r="H51" s="1460" t="n"/>
      <c r="I51" s="1173" t="n"/>
      <c r="J51" s="1173" t="n"/>
      <c r="K51" s="1173" t="n"/>
      <c r="L51" s="1173" t="n"/>
      <c r="N51" s="1456" t="inlineStr">
        <is>
          <t>§  Market analysis data specific to the subject property type</t>
        </is>
      </c>
      <c r="R51" s="1456" t="n"/>
      <c r="S51" s="1456" t="n"/>
    </row>
    <row r="52" customFormat="1" s="1450">
      <c r="G52" s="1179" t="n"/>
      <c r="H52" s="1460" t="n"/>
      <c r="I52" s="1173" t="n"/>
      <c r="J52" s="1173" t="n"/>
      <c r="K52" s="1173" t="n"/>
      <c r="L52" s="1173" t="n"/>
      <c r="N52" s="1456" t="inlineStr">
        <is>
          <t>§  Published survey data</t>
        </is>
      </c>
      <c r="R52" s="1456" t="n"/>
      <c r="S52" s="1456" t="n"/>
    </row>
    <row r="53" customFormat="1" s="1450">
      <c r="G53" s="1179" t="n"/>
      <c r="H53" s="1460" t="n"/>
      <c r="I53" s="1173" t="n"/>
      <c r="J53" s="1173" t="n"/>
      <c r="K53" s="1173" t="n"/>
      <c r="L53" s="1173" t="n"/>
      <c r="N53" s="1456" t="inlineStr">
        <is>
          <t>§  Neighborhood demographic data</t>
        </is>
      </c>
      <c r="R53" s="1456" t="n"/>
      <c r="S53" s="1456" t="n"/>
    </row>
    <row r="54" customFormat="1" s="1450">
      <c r="G54" s="1179" t="n"/>
      <c r="H54" s="1460" t="n"/>
      <c r="I54" s="1173" t="n"/>
      <c r="J54" s="1173" t="n"/>
      <c r="K54" s="1173" t="n"/>
      <c r="L54" s="1173" t="n"/>
      <c r="N54" s="1456" t="inlineStr">
        <is>
          <t>§  Comparable cost, sale, rental, expense, and capitalization rate data</t>
        </is>
      </c>
      <c r="R54" s="1456" t="n"/>
      <c r="S54" s="1456" t="n"/>
    </row>
    <row r="55" customFormat="1" s="1450">
      <c r="G55" s="1179" t="n"/>
      <c r="H55" s="1460" t="n"/>
      <c r="I55" s="1173" t="n"/>
      <c r="J55" s="1173" t="n"/>
      <c r="K55" s="1173" t="n"/>
      <c r="L55" s="1173" t="n"/>
      <c r="N55" s="1456" t="inlineStr">
        <is>
          <t>§  Floodplain status</t>
        </is>
      </c>
      <c r="R55" s="1456" t="n"/>
      <c r="S55" s="1456" t="n"/>
    </row>
    <row r="56" customFormat="1" s="1450">
      <c r="G56" s="1179" t="n"/>
      <c r="H56" s="1460" t="n"/>
      <c r="I56" s="1173" t="n"/>
      <c r="J56" s="1173" t="n"/>
      <c r="K56" s="1173" t="n"/>
      <c r="L56" s="1173" t="n"/>
      <c r="N56" s="1456" t="inlineStr">
        <is>
          <t>§  Zoning information</t>
        </is>
      </c>
      <c r="R56" s="1456" t="n"/>
      <c r="S56" s="1456" t="n"/>
    </row>
    <row r="57" customFormat="1" s="1450">
      <c r="G57" s="1179" t="n"/>
      <c r="H57" s="1460" t="n"/>
      <c r="I57" s="1173" t="n"/>
      <c r="J57" s="1173" t="n"/>
      <c r="K57" s="1173" t="n"/>
      <c r="L57" s="1173" t="n"/>
      <c r="N57" s="1456" t="inlineStr">
        <is>
          <t>§  Assessor’s information</t>
        </is>
      </c>
      <c r="R57" s="1456" t="n"/>
      <c r="S57" s="1456" t="n"/>
    </row>
    <row r="58" customFormat="1" s="1450">
      <c r="G58" s="1179" t="n"/>
      <c r="H58" s="1460" t="n"/>
      <c r="I58" s="1173" t="n"/>
      <c r="J58" s="1173" t="n"/>
      <c r="K58" s="1173" t="n"/>
      <c r="L58" s="1173" t="n"/>
      <c r="N58" s="1456" t="inlineStr">
        <is>
          <t>§  Interviewed professionals knowledgeable about the subject’s property type and market</t>
        </is>
      </c>
      <c r="R58" s="1456" t="n"/>
      <c r="S58" s="1456" t="n"/>
    </row>
    <row r="59" ht="15" customFormat="1" customHeight="1" s="1450">
      <c r="G59" s="1179" t="n"/>
      <c r="H59" s="1460" t="n"/>
      <c r="I59" s="1173" t="n"/>
      <c r="J59" s="1173" t="n"/>
      <c r="K59" s="1173" t="n"/>
      <c r="L59" s="1173" t="n"/>
      <c r="M59" s="1470" t="inlineStr">
        <is>
          <t>Inspection Details</t>
        </is>
      </c>
      <c r="N59" s="1449" t="inlineStr">
        <is>
          <t>The interior and exterior of the subject was inspected.</t>
        </is>
      </c>
      <c r="R59" s="1449" t="n"/>
      <c r="S59" s="1449" t="n"/>
    </row>
    <row r="60" customFormat="1" s="1450">
      <c r="G60" s="1179" t="n"/>
      <c r="H60" s="1460" t="n"/>
      <c r="I60" s="1173" t="n"/>
      <c r="J60" s="1173" t="n"/>
      <c r="K60" s="1173" t="n"/>
      <c r="L60" s="1173" t="n"/>
      <c r="M60" s="1470" t="inlineStr">
        <is>
          <t>Data Sources</t>
        </is>
      </c>
      <c r="N60" s="1449" t="n"/>
      <c r="R60" s="1449" t="n"/>
      <c r="S60" s="1449" t="n"/>
    </row>
    <row r="61" customFormat="1" s="1450">
      <c r="G61" s="1179" t="n"/>
      <c r="H61" s="1460" t="n"/>
      <c r="I61" s="1173" t="n"/>
      <c r="J61" s="1173" t="n"/>
      <c r="K61" s="1173" t="n"/>
      <c r="L61" s="1173" t="n"/>
      <c r="M61" s="1206" t="inlineStr">
        <is>
          <t>Site Size</t>
        </is>
      </c>
      <c r="N61" s="1476" t="inlineStr">
        <is>
          <t>Adams County Assessor Records, Appraiser Measurement</t>
        </is>
      </c>
      <c r="R61" s="1449" t="n"/>
      <c r="S61" s="1449" t="n"/>
    </row>
    <row r="62" customFormat="1" s="1450">
      <c r="G62" s="1179" t="n"/>
      <c r="H62" s="1460" t="n"/>
      <c r="I62" s="1173" t="n"/>
      <c r="J62" s="1173" t="n"/>
      <c r="K62" s="1173" t="n"/>
      <c r="L62" s="1173" t="n"/>
      <c r="M62" s="1206" t="inlineStr">
        <is>
          <t>Building Size</t>
        </is>
      </c>
      <c r="N62" s="1462" t="inlineStr">
        <is>
          <t>Adams County Assessor Records, Appraiser Measurement</t>
        </is>
      </c>
      <c r="R62" s="1449" t="n"/>
      <c r="S62" s="1449" t="n"/>
    </row>
    <row r="63" customFormat="1" s="1450">
      <c r="G63" s="1179" t="n"/>
      <c r="H63" s="1460" t="n"/>
      <c r="I63" s="1173" t="n"/>
      <c r="J63" s="1173" t="n"/>
      <c r="K63" s="1173" t="n"/>
      <c r="L63" s="1173" t="n"/>
      <c r="M63" s="1206" t="inlineStr">
        <is>
          <t>Zoning information</t>
        </is>
      </c>
      <c r="N63" s="1462" t="inlineStr">
        <is>
          <t>Adams County Planning Department</t>
        </is>
      </c>
      <c r="R63" s="1449" t="n"/>
      <c r="S63" s="1449" t="n"/>
    </row>
    <row r="64" customFormat="1" s="1450">
      <c r="G64" s="1179" t="n"/>
      <c r="H64" s="1460" t="n"/>
      <c r="I64" s="1173" t="n"/>
      <c r="J64" s="1173" t="n"/>
      <c r="K64" s="1173" t="n"/>
      <c r="L64" s="1173" t="n"/>
      <c r="M64" s="1206" t="inlineStr">
        <is>
          <t>Flood Status</t>
        </is>
      </c>
      <c r="N64" s="1462" t="inlineStr">
        <is>
          <t>FEMA Flood Map Service Center</t>
        </is>
      </c>
      <c r="R64" s="1449" t="n"/>
      <c r="S64" s="1449" t="n"/>
    </row>
    <row r="65" customFormat="1" s="1450">
      <c r="G65" s="1179" t="n"/>
      <c r="H65" s="1460" t="n"/>
      <c r="I65" s="1173" t="n"/>
      <c r="J65" s="1173" t="n"/>
      <c r="K65" s="1173" t="n"/>
      <c r="L65" s="1173" t="n"/>
      <c r="M65" s="1206" t="inlineStr">
        <is>
          <t>Demographics</t>
        </is>
      </c>
      <c r="N65" s="1462" t="inlineStr">
        <is>
          <t>CoStar Market Reports</t>
        </is>
      </c>
      <c r="R65" s="1449" t="n"/>
      <c r="S65" s="1449" t="n"/>
    </row>
    <row r="66" customFormat="1" s="1450">
      <c r="G66" s="1179" t="n"/>
      <c r="H66" s="1460" t="n"/>
      <c r="I66" s="1173" t="n"/>
      <c r="J66" s="1173" t="n"/>
      <c r="K66" s="1173" t="n"/>
      <c r="L66" s="1173" t="n"/>
      <c r="M66" s="1206" t="inlineStr">
        <is>
          <t>Land Sales</t>
        </is>
      </c>
      <c r="N66" s="1462" t="inlineStr">
        <is>
          <t>CoStar, MLS, Adams County Sales Data, Local Brokers</t>
        </is>
      </c>
      <c r="R66" s="1449" t="n"/>
      <c r="S66" s="1449" t="n"/>
    </row>
    <row r="67" customFormat="1" s="1450">
      <c r="G67" s="1179" t="n"/>
      <c r="H67" s="1460" t="n"/>
      <c r="I67" s="1173" t="n"/>
      <c r="J67" s="1173" t="n"/>
      <c r="K67" s="1173" t="n"/>
      <c r="L67" s="1173" t="n"/>
      <c r="M67" s="1206" t="inlineStr">
        <is>
          <t>Cost Estimate Data</t>
        </is>
      </c>
      <c r="N67" s="1462" t="inlineStr">
        <is>
          <t>Marshall &amp; Swift Cost Estimator</t>
        </is>
      </c>
      <c r="R67" s="1449" t="n"/>
      <c r="S67" s="1449" t="n"/>
    </row>
    <row r="68" customFormat="1" s="1450">
      <c r="G68" s="1179" t="n"/>
      <c r="H68" s="1460" t="n"/>
      <c r="I68" s="1173" t="n"/>
      <c r="J68" s="1173" t="n"/>
      <c r="K68" s="1173" t="n"/>
      <c r="L68" s="1173" t="n"/>
      <c r="M68" s="1206" t="inlineStr">
        <is>
          <t>Comparable Improved Sales</t>
        </is>
      </c>
      <c r="N68" s="1462" t="inlineStr">
        <is>
          <t>CoStar, MLS, Adams County Sales Data, Local Brokers</t>
        </is>
      </c>
      <c r="R68" s="1449" t="n"/>
      <c r="S68" s="1449" t="n"/>
    </row>
    <row r="69" customFormat="1" s="1450">
      <c r="G69" s="1179" t="n"/>
      <c r="H69" s="1460" t="n"/>
      <c r="I69" s="1173" t="n"/>
      <c r="J69" s="1173" t="n"/>
      <c r="K69" s="1173" t="n"/>
      <c r="L69" s="1173" t="n"/>
      <c r="M69" s="1206" t="inlineStr">
        <is>
          <t>Comparable Improved Rents</t>
        </is>
      </c>
      <c r="N69" s="1462" t="inlineStr">
        <is>
          <t>CoStar, MLS, Adams County Lease Data, Local Brokers</t>
        </is>
      </c>
      <c r="R69" s="1449" t="n"/>
      <c r="S69" s="1449" t="n"/>
    </row>
    <row r="70" ht="15" customFormat="1" customHeight="1" s="1450">
      <c r="K70" s="1482" t="n"/>
      <c r="L70" s="1482" t="n"/>
      <c r="M70" s="1475" t="inlineStr">
        <is>
          <t>Property Specific Data Requested and Received</t>
        </is>
      </c>
      <c r="N70" s="1482" t="n"/>
      <c r="R70" s="1482" t="n"/>
      <c r="S70" s="1482" t="n"/>
    </row>
    <row r="71" ht="15" customFormat="1" customHeight="1" s="1450">
      <c r="K71" s="1482" t="n"/>
      <c r="L71" s="1482" t="n"/>
      <c r="N71" s="1448" t="inlineStr">
        <is>
          <t>Lease, Lease Addendum</t>
        </is>
      </c>
      <c r="R71" s="1482" t="n"/>
      <c r="S71" s="1482" t="n"/>
    </row>
    <row r="72" customFormat="1" s="1450">
      <c r="K72" s="1482" t="n"/>
      <c r="L72" s="1482" t="n"/>
      <c r="N72" s="1448" t="inlineStr">
        <is>
          <t>Estimated financial analysis</t>
        </is>
      </c>
      <c r="R72" s="1482" t="n"/>
      <c r="S72" s="1482" t="n"/>
    </row>
    <row r="73" customFormat="1" s="1450">
      <c r="K73" s="1482" t="n"/>
      <c r="L73" s="1482" t="n"/>
      <c r="N73" s="1448" t="inlineStr">
        <is>
          <t>Property Expenses (2019, 2020)</t>
        </is>
      </c>
      <c r="R73" s="1482" t="n"/>
      <c r="S73" s="1482" t="n"/>
    </row>
    <row r="74" hidden="1" ht="15" customFormat="1" customHeight="1" s="1450">
      <c r="K74" s="1482" t="n"/>
      <c r="L74" s="1482" t="n"/>
      <c r="N74" s="1448" t="n"/>
      <c r="R74" s="1482" t="n"/>
      <c r="S74" s="1482" t="n"/>
    </row>
    <row r="75" customFormat="1" s="1450">
      <c r="K75" s="1482" t="n"/>
      <c r="L75" s="1482" t="n"/>
      <c r="M75" s="1171" t="inlineStr">
        <is>
          <t>Data Requested, but not Provided</t>
        </is>
      </c>
      <c r="N75" s="1448" t="n"/>
      <c r="R75" s="1482" t="n"/>
      <c r="S75" s="1482" t="n"/>
    </row>
    <row r="76" ht="15" customFormat="1" customHeight="1" s="1450">
      <c r="K76" s="1182" t="n"/>
      <c r="L76" s="1182" t="n"/>
      <c r="M76" s="1179" t="n"/>
      <c r="N76" s="1448" t="inlineStr">
        <is>
          <t>Rent Roll</t>
        </is>
      </c>
      <c r="O76" s="1448" t="n"/>
      <c r="P76" s="1448" t="n"/>
      <c r="Q76" s="1448" t="n"/>
      <c r="R76" s="1482" t="n"/>
      <c r="S76" s="1482" t="n"/>
    </row>
    <row r="77" customFormat="1" s="1450">
      <c r="K77" s="1482" t="n"/>
      <c r="L77" s="1482" t="n"/>
      <c r="M77" s="1179" t="n"/>
      <c r="N77" s="1448" t="inlineStr">
        <is>
          <t>Building Plans</t>
        </is>
      </c>
      <c r="O77" s="1448" t="n"/>
      <c r="P77" s="1448" t="n"/>
      <c r="Q77" s="1448" t="n"/>
      <c r="R77" s="1482" t="n"/>
      <c r="S77" s="1482" t="n"/>
    </row>
    <row r="78" ht="15" customFormat="1" customHeight="1" s="1450">
      <c r="K78" s="1482" t="n"/>
      <c r="L78" s="1482" t="n"/>
      <c r="M78" s="1179" t="n"/>
      <c r="N78" s="1448" t="inlineStr">
        <is>
          <t>Environmental survey</t>
        </is>
      </c>
      <c r="R78" s="1482" t="n"/>
      <c r="S78" s="1482" t="n"/>
    </row>
    <row r="79" ht="15" customFormat="1" customHeight="1" s="1450">
      <c r="K79" s="1482" t="n"/>
      <c r="L79" s="1482" t="n"/>
      <c r="M79" s="1180" t="n"/>
      <c r="N79" s="1483" t="inlineStr">
        <is>
          <t>ALTA Survey</t>
        </is>
      </c>
      <c r="O79" s="1458" t="n"/>
      <c r="P79" s="1458" t="n"/>
      <c r="Q79" s="1458" t="n"/>
      <c r="R79" s="1482" t="n"/>
      <c r="S79" s="1482" t="n"/>
    </row>
    <row r="80" ht="15" customFormat="1" customHeight="1" s="1450">
      <c r="K80" s="1482" t="n"/>
      <c r="L80" s="1482" t="n"/>
      <c r="M80" s="1179" t="n"/>
      <c r="N80" s="1482" t="n"/>
      <c r="O80" s="1482" t="n"/>
      <c r="P80" s="1482" t="n"/>
      <c r="Q80" s="1482" t="n"/>
      <c r="R80" s="1482" t="n"/>
      <c r="S80" s="1482" t="n"/>
    </row>
    <row r="81">
      <c r="D81" s="1402" t="n"/>
      <c r="R81" s="1471" t="inlineStr">
        <is>
          <t>EXTRAORDINARY ASSUMPTION(S) AND HYPOTHETICAL CONDITION(S)</t>
        </is>
      </c>
    </row>
    <row r="82" ht="63" customFormat="1" customHeight="1" s="1450">
      <c r="R82" s="1459" t="inlineStr">
        <is>
          <t>The values presented within this appraisal report are subject to the extraordinary assumptions and hypothetical conditions listed below. Pursuant to the requirement within Uniform Standards of Professional Appraisal Practice Standards, it is stated here that the use of any extraordinary assumptions might have affected the assignment results.</t>
        </is>
      </c>
    </row>
    <row r="83" customFormat="1" s="1450">
      <c r="E83" s="1403" t="n"/>
      <c r="F83" s="1404" t="n"/>
      <c r="R83" s="1053" t="inlineStr">
        <is>
          <t>Extraordinary Assumption(s)</t>
        </is>
      </c>
      <c r="S83" s="1459" t="n"/>
    </row>
    <row r="84" customFormat="1" s="1450">
      <c r="A84" s="1407">
        <f>IF(R84="","X","")</f>
        <v/>
      </c>
      <c r="E84" s="1403" t="n"/>
      <c r="Q84" s="1450" t="n">
        <v>1</v>
      </c>
      <c r="R84" s="1454" t="inlineStr">
        <is>
          <t>This appraisal employs no extroidinary assumptions.</t>
        </is>
      </c>
    </row>
    <row r="85" customFormat="1" s="1450">
      <c r="A85" s="1407">
        <f>IF(R85="","X","")</f>
        <v/>
      </c>
      <c r="E85" s="1403" t="n"/>
      <c r="Q85" s="1450" t="n">
        <v>2</v>
      </c>
      <c r="R85" s="1454">
        <f>IFERROR(IF(INDEX([14]!TableCondLang[#Data],MATCH($E85,[14]!TableCondLang[Row_Num],0),COLUMN([14]!TableCondLang[Discriminator])-1)="Extraordinary",INDEX([14]!TableCondLang[#Data],MATCH($E85,[14]!TableCondLang[Row_Num],0),COLUMN([14]!TableCondLang[Description])-1),""),"")</f>
        <v/>
      </c>
    </row>
    <row r="86" customFormat="1" s="1450">
      <c r="A86" s="1407">
        <f>IF(R86="","X","")</f>
        <v/>
      </c>
      <c r="E86" s="1403" t="n"/>
      <c r="Q86" s="1450" t="n">
        <v>3</v>
      </c>
      <c r="R86" s="1454">
        <f>IFERROR(IF(INDEX([14]!TableCondLang[#Data],MATCH($E86,[14]!TableCondLang[Row_Num],0),COLUMN([14]!TableCondLang[Discriminator])-1)="Extraordinary",INDEX([14]!TableCondLang[#Data],MATCH($E86,[14]!TableCondLang[Row_Num],0),COLUMN([14]!TableCondLang[Description])-1),""),"")</f>
        <v/>
      </c>
    </row>
    <row r="87" customFormat="1" s="1450">
      <c r="A87" s="1407">
        <f>IF(R87="","X","")</f>
        <v/>
      </c>
      <c r="E87" s="1403" t="n"/>
      <c r="Q87" s="1450" t="n">
        <v>4</v>
      </c>
      <c r="R87" s="1454">
        <f>IFERROR(IF(INDEX([14]!TableCondLang[#Data],MATCH($E87,[14]!TableCondLang[Row_Num],0),COLUMN([14]!TableCondLang[Discriminator])-1)="Extraordinary",INDEX([14]!TableCondLang[#Data],MATCH($E87,[14]!TableCondLang[Row_Num],0),COLUMN([14]!TableCondLang[Description])-1),""),"")</f>
        <v/>
      </c>
    </row>
    <row r="88" customFormat="1" s="1450">
      <c r="A88" s="1407">
        <f>IF(S88="","X","")</f>
        <v/>
      </c>
      <c r="E88" s="1403" t="n"/>
      <c r="S88" s="1459">
        <f>IFERROR(IF(INDEX([14]!TableCondLang[#Data],MATCH($E88,[14]!TableCondLang[Row_Num],0),COLUMN([14]!TableCondLang[Discriminator])-1)="Extraordinary",INDEX([14]!TableCondLang[#Data],MATCH($E88,[14]!TableCondLang[Row_Num],0),COLUMN([14]!TableCondLang[Description])-1),""),"")</f>
        <v/>
      </c>
    </row>
    <row r="89" customFormat="1" s="1450">
      <c r="A89" s="1407">
        <f>IF(S89="","X","")</f>
        <v/>
      </c>
      <c r="E89" s="1403" t="n"/>
      <c r="R89" s="1053" t="inlineStr">
        <is>
          <t>Hypothetical Condition(s)</t>
        </is>
      </c>
      <c r="S89" s="1459">
        <f>IFERROR(IF(INDEX([14]!TableCondLang[#Data],MATCH($E89,[14]!TableCondLang[Row_Num],0),COLUMN([14]!TableCondLang[Discriminator])-1)="Extraordinary",INDEX([14]!TableCondLang[#Data],MATCH($E89,[14]!TableCondLang[Row_Num],0),COLUMN([14]!TableCondLang[Description])-1),""),"")</f>
        <v/>
      </c>
    </row>
    <row r="90" customFormat="1" s="1450">
      <c r="A90" s="1407">
        <f>IF(R90="","X","")</f>
        <v/>
      </c>
      <c r="E90" s="1403" t="n"/>
      <c r="Q90" s="1450" t="n">
        <v>1</v>
      </c>
      <c r="R90" s="1454" t="inlineStr">
        <is>
          <t>This appraisal employs no hypothetical conditions.</t>
        </is>
      </c>
    </row>
    <row r="91" customFormat="1" s="1450">
      <c r="A91" s="1407">
        <f>IF(R91="","X","")</f>
        <v/>
      </c>
      <c r="E91" s="1403" t="n"/>
      <c r="Q91" s="1450" t="n">
        <v>2</v>
      </c>
      <c r="R91" s="1454">
        <f>IFERROR(IF(INDEX([14]!TableCondLang[#Data],MATCH($E91,[14]!TableCondLang[Row_Num],0),COLUMN([14]!TableCondLang[Discriminator])-1)="Extraordinary",INDEX([14]!TableCondLang[#Data],MATCH($E91,[14]!TableCondLang[Row_Num],0),COLUMN([14]!TableCondLang[Description])-1),""),"")</f>
        <v/>
      </c>
    </row>
    <row r="92" customFormat="1" s="1450">
      <c r="A92" s="1407">
        <f>IF(R92="","X","")</f>
        <v/>
      </c>
      <c r="E92" s="1403" t="n"/>
      <c r="Q92" s="1450" t="n">
        <v>3</v>
      </c>
      <c r="R92" s="1481">
        <f>IFERROR(IF(INDEX([14]!TableCondLang[#Data],MATCH($E92,[14]!TableCondLang[Row_Num],0),COLUMN([14]!TableCondLang[Discriminator])-1)="Extraordinary",INDEX([14]!TableCondLang[#Data],MATCH($E92,[14]!TableCondLang[Row_Num],0),COLUMN([14]!TableCondLang[Description])-1),""),"")</f>
        <v/>
      </c>
    </row>
    <row r="93" customFormat="1" s="1450">
      <c r="A93" s="1407">
        <f>IF(R93="","X","")</f>
        <v/>
      </c>
      <c r="E93" s="1403" t="n"/>
      <c r="F93" s="1405" t="n"/>
      <c r="G93" s="1406" t="n"/>
      <c r="Q93" s="1450" t="n">
        <v>4</v>
      </c>
      <c r="R93" s="1464">
        <f>IFERROR(IF(INDEX([14]!TableCondLang[#Data],MATCH($E93,[14]!TableCondLang[Row_Num],0),COLUMN([14]!TableCondLang[Discriminator])-1)="Extraordinary",INDEX([14]!TableCondLang[#Data],MATCH($E93,[14]!TableCondLang[Row_Num],0),COLUMN([14]!TableCondLang[Description])-1),""),"")</f>
        <v/>
      </c>
      <c r="S93" s="1458" t="n"/>
    </row>
    <row r="94" customFormat="1" s="1450">
      <c r="A94" s="1407">
        <f>IF(R94="","X","")</f>
        <v/>
      </c>
      <c r="E94" s="1403" t="n"/>
      <c r="F94" s="1405" t="n"/>
      <c r="G94" s="1406" t="n"/>
      <c r="R94" s="1484">
        <f>IFERROR(IF(INDEX([14]!TableCondLang[#Data],MATCH($E94,[14]!TableCondLang[Row_Num],0),COLUMN([14]!TableCondLang[Discriminator])-1)="Extraordinary",INDEX([14]!TableCondLang[#Data],MATCH($E94,[14]!TableCondLang[Row_Num],0),COLUMN([14]!TableCondLang[Description])-1),""),"")</f>
        <v/>
      </c>
    </row>
    <row r="95">
      <c r="G95" s="1179" t="n"/>
      <c r="H95" s="1486" t="n"/>
      <c r="K95" s="1450" t="n"/>
      <c r="L95" s="1450" t="n"/>
      <c r="M95" s="1450" t="n"/>
      <c r="N95" s="1450" t="n"/>
      <c r="O95" s="1450" t="n"/>
      <c r="P95" s="1450" t="n"/>
      <c r="Q95" s="1450" t="n"/>
      <c r="R95" s="1450" t="n"/>
      <c r="S95" s="1450" t="n"/>
      <c r="T95" s="1471" t="inlineStr">
        <is>
          <t>PROPERTY OVERVIEW</t>
        </is>
      </c>
    </row>
    <row r="96" ht="15" customHeight="1" s="1439">
      <c r="N96" s="1450" t="n"/>
      <c r="O96" s="1450" t="n"/>
      <c r="P96" s="1450" t="n"/>
      <c r="Q96" s="1450" t="n"/>
      <c r="R96" s="1450" t="n"/>
      <c r="S96" s="1450" t="n"/>
      <c r="T96" s="808" t="inlineStr">
        <is>
          <t>Property Name</t>
        </is>
      </c>
      <c r="U96" s="1451" t="inlineStr">
        <is>
          <t>Single-Tenant Industrial Building</t>
        </is>
      </c>
    </row>
    <row r="97">
      <c r="N97" s="1450" t="n"/>
      <c r="O97" s="1450" t="n"/>
      <c r="P97" s="1450" t="n"/>
      <c r="Q97" s="1450" t="n"/>
      <c r="R97" s="1450" t="n"/>
      <c r="S97" s="1450" t="n"/>
      <c r="T97" s="808" t="inlineStr">
        <is>
          <t>Address</t>
        </is>
      </c>
      <c r="U97" s="1445">
        <f>'Property Info'!B16</f>
        <v/>
      </c>
    </row>
    <row r="98">
      <c r="N98" s="1450" t="n"/>
      <c r="O98" s="1450" t="n"/>
      <c r="P98" s="1450" t="n"/>
      <c r="Q98" s="1450" t="n"/>
      <c r="R98" s="1450" t="n"/>
      <c r="S98" s="1450" t="n"/>
      <c r="T98" s="808" t="n"/>
      <c r="U98" s="1445">
        <f>'Property Info'!B17</f>
        <v/>
      </c>
    </row>
    <row r="99" ht="30.75" customHeight="1" s="1439">
      <c r="N99" s="1450" t="n"/>
      <c r="O99" s="1450" t="n"/>
      <c r="P99" s="1450" t="n"/>
      <c r="Q99" s="1450" t="n"/>
      <c r="R99" s="1450" t="n"/>
      <c r="S99" s="1450" t="n"/>
      <c r="T99" s="808" t="inlineStr">
        <is>
          <t>Location</t>
        </is>
      </c>
      <c r="U99" s="1451" t="inlineStr">
        <is>
          <t xml:space="preserve">North side of West 62nd Avenue, west of Washington Street, in unincorporated Adams County, Colorado. </t>
        </is>
      </c>
    </row>
    <row r="100">
      <c r="N100" s="1450" t="n"/>
      <c r="O100" s="1450" t="n"/>
      <c r="P100" s="1450" t="n"/>
      <c r="Q100" s="1450" t="n"/>
      <c r="R100" s="1450" t="n"/>
      <c r="S100" s="1450" t="n"/>
      <c r="T100" s="808" t="inlineStr">
        <is>
          <t>Property Description</t>
        </is>
      </c>
      <c r="U100" s="1445">
        <f>U96</f>
        <v/>
      </c>
    </row>
    <row r="101" hidden="1" ht="15" customHeight="1" s="1439">
      <c r="N101" s="1450" t="n"/>
      <c r="O101" s="1450" t="n"/>
      <c r="P101" s="1450" t="n"/>
      <c r="Q101" s="1450" t="n"/>
      <c r="R101" s="1450" t="n"/>
      <c r="S101" s="1450" t="n"/>
      <c r="T101" s="1147" t="inlineStr">
        <is>
          <t>and</t>
        </is>
      </c>
      <c r="U101" s="1451">
        <f>'[7]Improvement Description_2'!C31&amp;" ("&amp;'[7]Improvement Description_2'!C32&amp;")
"&amp;'[7]Improvement Description_2'!C33</f>
        <v/>
      </c>
    </row>
    <row r="102">
      <c r="N102" s="1450" t="n"/>
      <c r="O102" s="1450" t="n"/>
      <c r="P102" s="1450" t="n"/>
      <c r="Q102" s="1450" t="n"/>
      <c r="R102" s="1450" t="n"/>
      <c r="S102" s="1450" t="n"/>
      <c r="T102" s="808" t="inlineStr">
        <is>
          <t>County</t>
        </is>
      </c>
      <c r="U102" s="1479">
        <f>'Property Info'!B18</f>
        <v/>
      </c>
    </row>
    <row r="103">
      <c r="N103" s="1450" t="n"/>
      <c r="O103" s="1450" t="n"/>
      <c r="P103" s="1450" t="n"/>
      <c r="Q103" s="1450" t="n"/>
      <c r="R103" s="1450" t="n"/>
      <c r="S103" s="1450" t="n"/>
      <c r="T103" s="808" t="inlineStr">
        <is>
          <t>Account Number(s)</t>
        </is>
      </c>
      <c r="U103" s="1479">
        <f>'Property Info'!B1</f>
        <v/>
      </c>
    </row>
    <row r="104" ht="49.5" customHeight="1" s="1439">
      <c r="N104" s="1450" t="n"/>
      <c r="O104" s="1450" t="n"/>
      <c r="P104" s="1450" t="n"/>
      <c r="Q104" s="1450" t="n"/>
      <c r="R104" s="1470" t="n"/>
      <c r="S104" s="1470" t="n"/>
      <c r="T104" s="1148" t="inlineStr">
        <is>
          <t>Note:</t>
        </is>
      </c>
      <c r="U104" s="1469" t="inlineStr">
        <is>
          <t xml:space="preserve">Property has a mailing address for the City of Denver, but is located in unincorporated Adams County and is governed by County regulations. </t>
        </is>
      </c>
    </row>
    <row r="105" hidden="1" ht="15" customHeight="1" s="1439">
      <c r="N105" s="1450" t="n"/>
      <c r="O105" s="1450" t="n"/>
      <c r="P105" s="1450" t="n"/>
      <c r="Q105" s="1450" t="n"/>
      <c r="R105" s="1450" t="n"/>
      <c r="S105" s="1450" t="n"/>
      <c r="T105" s="826" t="inlineStr">
        <is>
          <t>Census Tract No.</t>
        </is>
      </c>
      <c r="U105" s="1445">
        <f>pdCensusTract</f>
        <v/>
      </c>
    </row>
    <row r="106">
      <c r="N106" s="1450" t="n"/>
      <c r="O106" s="1450" t="n"/>
      <c r="P106" s="1450" t="n"/>
      <c r="Q106" s="1450" t="n"/>
      <c r="R106" s="1450" t="n"/>
      <c r="S106" s="1450" t="n"/>
      <c r="T106" s="808" t="inlineStr">
        <is>
          <t>Legal Description</t>
        </is>
      </c>
      <c r="U106" s="1451" t="inlineStr">
        <is>
          <t>SUB:SAL LOT:1</t>
        </is>
      </c>
    </row>
    <row r="107">
      <c r="N107" s="1450" t="n"/>
      <c r="O107" s="1450" t="n"/>
      <c r="P107" s="1450" t="n"/>
      <c r="Q107" s="1450" t="n"/>
      <c r="R107" s="1450" t="n"/>
      <c r="S107" s="1450" t="n"/>
      <c r="T107" s="808" t="inlineStr">
        <is>
          <t>Site Area</t>
        </is>
      </c>
      <c r="U107" s="1479" t="n"/>
      <c r="V107" s="1148" t="n"/>
      <c r="W107" s="1148" t="n"/>
      <c r="X107" s="1148" t="n"/>
    </row>
    <row r="108">
      <c r="N108" s="1450" t="n"/>
      <c r="O108" s="1450" t="n"/>
      <c r="P108" s="1450" t="n"/>
      <c r="Q108" s="1450" t="n"/>
      <c r="R108" s="1450" t="n"/>
      <c r="S108" s="1450" t="n"/>
      <c r="T108" s="1209" t="inlineStr">
        <is>
          <t>Primary Site</t>
        </is>
      </c>
      <c r="U108" s="1702">
        <f>'Property Info'!B11</f>
        <v/>
      </c>
      <c r="V108" s="1703">
        <f>U108/43560</f>
        <v/>
      </c>
      <c r="W108" s="1148" t="n"/>
      <c r="X108" s="1148" t="n"/>
    </row>
    <row r="109">
      <c r="N109" s="1450" t="n"/>
      <c r="O109" s="1450" t="n"/>
      <c r="P109" s="1450" t="n"/>
      <c r="Q109" s="1450" t="n"/>
      <c r="R109" s="1450" t="n"/>
      <c r="S109" s="1450" t="n"/>
      <c r="T109" s="1209" t="inlineStr">
        <is>
          <t>Excess Land</t>
        </is>
      </c>
      <c r="U109" s="1702" t="n">
        <v>0</v>
      </c>
      <c r="V109" s="1703">
        <f>U109/43560</f>
        <v/>
      </c>
      <c r="W109" s="1148" t="n"/>
      <c r="X109" s="1148" t="n"/>
    </row>
    <row r="110">
      <c r="N110" s="1450" t="n"/>
      <c r="O110" s="1450" t="n"/>
      <c r="P110" s="1450" t="n"/>
      <c r="Q110" s="1450" t="n"/>
      <c r="R110" s="1450" t="n"/>
      <c r="S110" s="1450" t="n"/>
      <c r="T110" s="1209" t="inlineStr">
        <is>
          <t>Surplus Land</t>
        </is>
      </c>
      <c r="U110" s="1702" t="n">
        <v>0</v>
      </c>
      <c r="V110" s="1703">
        <f>U110/43560</f>
        <v/>
      </c>
      <c r="W110" s="1148" t="n"/>
      <c r="X110" s="1148" t="n"/>
    </row>
    <row r="111">
      <c r="N111" s="1450" t="n"/>
      <c r="O111" s="1450" t="n"/>
      <c r="P111" s="1450" t="n"/>
      <c r="Q111" s="1450" t="n"/>
      <c r="R111" s="1450" t="n"/>
      <c r="S111" s="1450" t="n"/>
      <c r="T111" s="826" t="inlineStr">
        <is>
          <t>Total</t>
        </is>
      </c>
      <c r="U111" s="1704">
        <f>SUM(U108:U110)</f>
        <v/>
      </c>
      <c r="V111" s="1705">
        <f>U111/43560</f>
        <v/>
      </c>
      <c r="W111" s="1148" t="n"/>
      <c r="X111" s="1148" t="n"/>
    </row>
    <row r="112">
      <c r="N112" s="1450" t="n"/>
      <c r="O112" s="1450" t="n"/>
      <c r="P112" s="1450" t="n"/>
      <c r="Q112" s="1450" t="n"/>
      <c r="R112" s="1450" t="n"/>
      <c r="S112" s="1450" t="n"/>
      <c r="T112" s="826" t="inlineStr">
        <is>
          <t>Zoning</t>
        </is>
      </c>
      <c r="U112" s="1445">
        <f>'Property Info'!B29</f>
        <v/>
      </c>
    </row>
    <row r="113">
      <c r="N113" s="1450" t="n"/>
      <c r="O113" s="1450" t="n"/>
      <c r="P113" s="1450" t="n"/>
      <c r="Q113" s="1450" t="n"/>
      <c r="R113" s="1450" t="n"/>
      <c r="S113" s="1450" t="n"/>
      <c r="T113" s="826" t="inlineStr">
        <is>
          <t>Flood Status</t>
        </is>
      </c>
      <c r="U113" s="1445">
        <f>'Site Information'!C17</f>
        <v/>
      </c>
    </row>
    <row r="114">
      <c r="N114" s="1450" t="n"/>
      <c r="O114" s="1450" t="n"/>
      <c r="P114" s="1450" t="n"/>
      <c r="Q114" s="1450" t="n"/>
      <c r="R114" s="1450" t="n"/>
      <c r="S114" s="1450" t="n"/>
      <c r="T114" s="826" t="inlineStr">
        <is>
          <t>Year Built</t>
        </is>
      </c>
      <c r="U114" s="1445">
        <f>'Property Info'!B8</f>
        <v/>
      </c>
    </row>
    <row r="115" hidden="1" s="1439">
      <c r="N115" s="1450" t="n"/>
      <c r="O115" s="1450" t="n"/>
      <c r="P115" s="1450" t="n"/>
      <c r="Q115" s="1450" t="n"/>
      <c r="R115" s="1450" t="n"/>
      <c r="S115" s="1450" t="n"/>
      <c r="T115" s="1147" t="inlineStr">
        <is>
          <t>and</t>
        </is>
      </c>
      <c r="U115" s="1451">
        <f>'[7]Improvement Description_2'!C34</f>
        <v/>
      </c>
    </row>
    <row r="116">
      <c r="N116" s="1450" t="n"/>
      <c r="O116" s="1450" t="n"/>
      <c r="P116" s="1450" t="n"/>
      <c r="Q116" s="1450" t="n"/>
      <c r="R116" s="1450" t="n"/>
      <c r="S116" s="1450" t="n"/>
      <c r="T116" s="826" t="inlineStr">
        <is>
          <t>Year Renovated</t>
        </is>
      </c>
      <c r="U116" s="1451" t="n">
        <v>2009</v>
      </c>
    </row>
    <row r="117" hidden="1" s="1439">
      <c r="N117" s="1450" t="n"/>
      <c r="O117" s="1450" t="n"/>
      <c r="P117" s="1450" t="n"/>
      <c r="Q117" s="1450" t="n"/>
      <c r="R117" s="1450" t="n"/>
      <c r="S117" s="1450" t="n"/>
      <c r="T117" s="1147" t="inlineStr">
        <is>
          <t>and</t>
        </is>
      </c>
      <c r="U117" s="1445">
        <f>IF(OR('[7]Improvement Description_2'!C35=0,'[7]Improvement Description_2'!C35=""),"N/A",'[7]Improvement Description_2'!C35)</f>
        <v/>
      </c>
    </row>
    <row r="118">
      <c r="N118" s="1450" t="n"/>
      <c r="O118" s="1450" t="n"/>
      <c r="P118" s="1450" t="n"/>
      <c r="Q118" s="1450" t="n"/>
      <c r="R118" s="1450" t="n"/>
      <c r="S118" s="1450" t="n"/>
      <c r="T118" s="826" t="inlineStr">
        <is>
          <t>Type of Construction</t>
        </is>
      </c>
      <c r="U118" s="1451" t="inlineStr">
        <is>
          <t>Masonry, steel-frame</t>
        </is>
      </c>
    </row>
    <row r="119" hidden="1" s="1439">
      <c r="N119" s="1450" t="n"/>
      <c r="O119" s="1450" t="n"/>
      <c r="P119" s="1450" t="n"/>
      <c r="Q119" s="1450" t="n"/>
      <c r="R119" s="1450" t="n"/>
      <c r="S119" s="1450" t="n"/>
      <c r="T119" s="1147" t="inlineStr">
        <is>
          <t>and</t>
        </is>
      </c>
      <c r="U119" s="1445">
        <f>'[7]Improvement Description_2'!C85</f>
        <v/>
      </c>
    </row>
    <row r="120">
      <c r="N120" s="1450" t="n"/>
      <c r="O120" s="1450" t="n"/>
      <c r="P120" s="1450" t="n"/>
      <c r="Q120" s="1450" t="n"/>
      <c r="R120" s="1450" t="n"/>
      <c r="S120" s="1450" t="n"/>
      <c r="T120" s="826" t="inlineStr">
        <is>
          <t>Number of Buildings</t>
        </is>
      </c>
      <c r="U120" s="1473">
        <f>'Property Info'!B3</f>
        <v/>
      </c>
    </row>
    <row r="121" hidden="1" s="1439">
      <c r="N121" s="1450" t="n"/>
      <c r="O121" s="1450" t="n"/>
      <c r="P121" s="1450" t="n"/>
      <c r="Q121" s="1450" t="n"/>
      <c r="R121" s="1450" t="n"/>
      <c r="S121" s="1450" t="n"/>
      <c r="T121" s="1147" t="inlineStr">
        <is>
          <t>and</t>
        </is>
      </c>
      <c r="U121" s="1445">
        <f>'[7]Improvement Description_2'!C36</f>
        <v/>
      </c>
    </row>
    <row r="122">
      <c r="N122" s="1450" t="n"/>
      <c r="O122" s="1450" t="n"/>
      <c r="P122" s="1450" t="n"/>
      <c r="Q122" s="1450" t="n"/>
      <c r="R122" s="1450" t="n"/>
      <c r="S122" s="1450" t="n"/>
      <c r="T122" s="826" t="inlineStr">
        <is>
          <t>Gross Leasable Area (SF)</t>
        </is>
      </c>
      <c r="U122" s="1706">
        <f>'Property Info'!B4</f>
        <v/>
      </c>
    </row>
    <row r="123" hidden="1" s="1439">
      <c r="N123" s="1450" t="n"/>
      <c r="O123" s="1450" t="n"/>
      <c r="P123" s="1450" t="n"/>
      <c r="Q123" s="1450" t="n"/>
      <c r="R123" s="1450" t="n"/>
      <c r="S123" s="1450" t="n"/>
      <c r="T123" s="1147" t="inlineStr">
        <is>
          <t>and</t>
        </is>
      </c>
      <c r="U123" s="1706">
        <f>'[7]Improvement Description_2'!C39</f>
        <v/>
      </c>
    </row>
    <row r="124" hidden="1" s="1439">
      <c r="N124" s="1450" t="n"/>
      <c r="O124" s="1450" t="n"/>
      <c r="P124" s="1450" t="n"/>
      <c r="Q124" s="1450" t="n"/>
      <c r="R124" s="1450" t="n"/>
      <c r="S124" s="1450" t="n"/>
      <c r="T124" s="826" t="inlineStr">
        <is>
          <t>Net Rentable Area (SF)</t>
        </is>
      </c>
      <c r="U124" s="1706">
        <f>'Property Info'!B6</f>
        <v/>
      </c>
    </row>
    <row r="125" hidden="1" ht="14.25" customHeight="1" s="1439">
      <c r="N125" s="1450" t="n"/>
      <c r="O125" s="1450" t="n"/>
      <c r="P125" s="1450" t="n"/>
      <c r="Q125" s="1450" t="n"/>
      <c r="R125" s="1450" t="n"/>
      <c r="S125" s="1450" t="n"/>
      <c r="T125" s="1147" t="inlineStr">
        <is>
          <t>and</t>
        </is>
      </c>
      <c r="U125" s="1706">
        <f>'[7]Improvement Description_2'!C40</f>
        <v/>
      </c>
    </row>
    <row r="126">
      <c r="N126" s="1450" t="n"/>
      <c r="O126" s="1450" t="n"/>
      <c r="P126" s="1450" t="n"/>
      <c r="Q126" s="1450" t="n"/>
      <c r="R126" s="1470" t="n"/>
      <c r="S126" s="1470" t="n"/>
      <c r="T126" s="826" t="inlineStr">
        <is>
          <t>Total Number of Units</t>
        </is>
      </c>
      <c r="U126" s="1451" t="n">
        <v>1</v>
      </c>
    </row>
    <row r="127">
      <c r="N127" s="1450" t="n"/>
      <c r="O127" s="1450" t="n"/>
      <c r="P127" s="1450" t="n"/>
      <c r="Q127" s="1450" t="n"/>
      <c r="R127" s="1470" t="n"/>
      <c r="S127" s="1470" t="n"/>
      <c r="T127" s="826" t="inlineStr">
        <is>
          <t>Total Number of Tenants</t>
        </is>
      </c>
      <c r="U127" s="1451" t="n">
        <v>1</v>
      </c>
    </row>
    <row r="128">
      <c r="N128" s="1450" t="n"/>
      <c r="O128" s="1450" t="n"/>
      <c r="P128" s="1450" t="n"/>
      <c r="Q128" s="1450" t="n"/>
      <c r="R128" s="1450" t="n"/>
      <c r="S128" s="1450" t="n"/>
      <c r="T128" s="826" t="inlineStr">
        <is>
          <t>Assumed Occupancy</t>
        </is>
      </c>
      <c r="U128" s="1485">
        <f>'Property Info'!B19</f>
        <v/>
      </c>
    </row>
    <row r="129">
      <c r="N129" s="1450" t="n"/>
      <c r="O129" s="1450" t="n"/>
      <c r="P129" s="1450" t="n"/>
      <c r="Q129" s="1450" t="n"/>
      <c r="R129" s="1450" t="n"/>
      <c r="S129" s="1450" t="n"/>
      <c r="T129" s="826" t="inlineStr">
        <is>
          <t>Overall Condition</t>
        </is>
      </c>
      <c r="U129" s="1445">
        <f>'Property Info'!B9</f>
        <v/>
      </c>
    </row>
    <row r="130">
      <c r="N130" s="1450" t="n"/>
      <c r="O130" s="1450" t="n"/>
      <c r="P130" s="1450" t="n"/>
      <c r="Q130" s="1450" t="n"/>
      <c r="R130" s="1450" t="n"/>
      <c r="S130" s="1450" t="n"/>
      <c r="T130" s="826" t="inlineStr">
        <is>
          <t>Overall Quality</t>
        </is>
      </c>
      <c r="U130" s="1473">
        <f>Export030823!U2</f>
        <v/>
      </c>
    </row>
    <row r="131">
      <c r="T131" s="886" t="inlineStr">
        <is>
          <t>Overall Design/Functionality</t>
        </is>
      </c>
      <c r="U131" s="1477">
        <f>Export030823!X2</f>
        <v/>
      </c>
      <c r="V131" s="1458" t="n"/>
      <c r="W131" s="1458" t="n"/>
      <c r="X131" s="1458" t="n"/>
    </row>
    <row r="132" customFormat="1" s="1450">
      <c r="Y132" s="1480" t="inlineStr">
        <is>
          <t>FILL IN ENTIRE TABLE HERE</t>
        </is>
      </c>
      <c r="Z132" s="1458" t="n"/>
      <c r="AA132" s="1458" t="n"/>
      <c r="AB132" s="1458" t="n"/>
    </row>
    <row r="133">
      <c r="Y133" s="1467" t="inlineStr">
        <is>
          <t>APPEAL HISTORY</t>
        </is>
      </c>
      <c r="Z133" s="1468" t="n"/>
      <c r="AA133" s="1468" t="n"/>
      <c r="AB133" s="1468" t="n"/>
    </row>
    <row r="134">
      <c r="Y134" s="417" t="inlineStr">
        <is>
          <t>Docket #:</t>
        </is>
      </c>
      <c r="Z134" s="1478" t="inlineStr">
        <is>
          <t>2022BAA1194</t>
        </is>
      </c>
    </row>
    <row r="135">
      <c r="Y135" s="1190" t="n"/>
      <c r="Z135" s="1191" t="inlineStr">
        <is>
          <t>Land</t>
        </is>
      </c>
      <c r="AA135" s="1191" t="inlineStr">
        <is>
          <t>Improvements</t>
        </is>
      </c>
      <c r="AB135" s="1191" t="inlineStr">
        <is>
          <t>Total</t>
        </is>
      </c>
    </row>
    <row r="136">
      <c r="Y136" s="824" t="inlineStr">
        <is>
          <t>Assessor's Assigned Value</t>
        </is>
      </c>
      <c r="Z136" s="1707" t="n">
        <v>758212</v>
      </c>
      <c r="AA136" s="1708">
        <f>3916200-Z136</f>
        <v/>
      </c>
      <c r="AB136" s="1708">
        <f>SUM(Z136:AA136)</f>
        <v/>
      </c>
    </row>
    <row r="137">
      <c r="Y137" s="824" t="inlineStr">
        <is>
          <t>Petitioners Estimated Value</t>
        </is>
      </c>
      <c r="Z137" s="1707" t="n">
        <v>758212</v>
      </c>
      <c r="AA137" s="1708">
        <f>3060000-Z137</f>
        <v/>
      </c>
      <c r="AB137" s="1708">
        <f>SUM(Z137:AA137)</f>
        <v/>
      </c>
    </row>
    <row r="138" ht="13.5" customHeight="1" s="1439">
      <c r="Y138" s="417" t="inlineStr">
        <is>
          <t>Adjustment by Assessor</t>
        </is>
      </c>
      <c r="Z138" s="1707" t="n">
        <v>0</v>
      </c>
      <c r="AA138" s="1708" t="n">
        <v>0</v>
      </c>
      <c r="AB138" s="1708">
        <f>SUM(Z138:AA138)</f>
        <v/>
      </c>
    </row>
    <row r="139" ht="6.75" customHeight="1" s="1439">
      <c r="Y139" s="417" t="n"/>
      <c r="Z139" s="1707" t="n"/>
      <c r="AA139" s="1708" t="n"/>
      <c r="AB139" s="1708" t="n"/>
    </row>
    <row r="140" ht="15" customHeight="1" s="1439">
      <c r="Y140" s="417" t="inlineStr">
        <is>
          <t>BOE Assigned Value</t>
        </is>
      </c>
      <c r="Z140" s="1707">
        <f>Z136</f>
        <v/>
      </c>
      <c r="AA140" s="1708">
        <f>AA136</f>
        <v/>
      </c>
      <c r="AB140" s="1708">
        <f>SUM(Z140:AA140)</f>
        <v/>
      </c>
    </row>
    <row r="141" ht="15" customHeight="1" s="1439">
      <c r="Y141" s="1194" t="inlineStr">
        <is>
          <t>BOE #</t>
        </is>
      </c>
      <c r="Z141" s="1453" t="n">
        <v>126437</v>
      </c>
      <c r="AB141" s="1709" t="n"/>
    </row>
    <row r="142" ht="15" customHeight="1" s="1439">
      <c r="Y142" s="1196" t="inlineStr">
        <is>
          <t>Adjustment by BOE</t>
        </is>
      </c>
      <c r="Z142" s="1707" t="n">
        <v>0</v>
      </c>
      <c r="AA142" s="1708" t="n">
        <v>0</v>
      </c>
      <c r="AB142" s="1708">
        <f>SUM(Z142:AA142)</f>
        <v/>
      </c>
    </row>
    <row r="143">
      <c r="Y143" s="1197" t="inlineStr">
        <is>
          <t>Current Actual Value</t>
        </is>
      </c>
      <c r="Z143" s="1710">
        <f>Z136</f>
        <v/>
      </c>
      <c r="AA143" s="1711">
        <f>AA136</f>
        <v/>
      </c>
      <c r="AB143" s="1711">
        <f>SUM(Z143:AA143)</f>
        <v/>
      </c>
      <c r="AC143" s="1480" t="inlineStr">
        <is>
          <t>FILL IN ENTIRE TABLE HERE</t>
        </is>
      </c>
      <c r="AD143" s="1458" t="n"/>
      <c r="AE143" s="1458" t="n"/>
      <c r="AF143" s="1458" t="n"/>
    </row>
    <row r="144" hidden="1" s="1439">
      <c r="Y144" s="417" t="inlineStr">
        <is>
          <t>Current Assessed Value</t>
        </is>
      </c>
      <c r="Z144" s="1712" t="n"/>
      <c r="AA144" s="1713" t="n"/>
      <c r="AB144" s="1708">
        <f>SUM(Z144:AA144)</f>
        <v/>
      </c>
    </row>
    <row r="145" hidden="1" s="1439">
      <c r="Y145" s="1189" t="inlineStr">
        <is>
          <t>Current Assessed Value</t>
        </is>
      </c>
      <c r="Z145" s="1714" t="n"/>
      <c r="AA145" s="1715" t="n"/>
      <c r="AB145" s="1711">
        <f>SUM(Z145:AA145)</f>
        <v/>
      </c>
    </row>
    <row r="146" hidden="1" s="1439">
      <c r="Y146" s="417" t="n"/>
      <c r="Z146" s="1463" t="n"/>
    </row>
    <row r="147">
      <c r="Y147" s="417" t="n"/>
      <c r="Z147" s="1124" t="n"/>
      <c r="AA147" s="1184" t="n"/>
      <c r="AB147" s="1184" t="n"/>
      <c r="AC147" s="1474" t="inlineStr">
        <is>
          <t>SUBJECT SALE HISTORY</t>
        </is>
      </c>
    </row>
    <row r="148">
      <c r="Y148" s="824" t="n"/>
      <c r="Z148" s="1716" t="n"/>
      <c r="AA148" s="1717" t="n"/>
      <c r="AB148" s="1184" t="n"/>
      <c r="AC148" s="1065" t="n"/>
      <c r="AD148" s="1204" t="inlineStr">
        <is>
          <t>Status</t>
        </is>
      </c>
      <c r="AE148" s="1204" t="inlineStr">
        <is>
          <t>Price</t>
        </is>
      </c>
      <c r="AF148" s="1204" t="inlineStr">
        <is>
          <t>Price PSF</t>
        </is>
      </c>
    </row>
    <row r="149">
      <c r="Y149" s="824" t="n"/>
      <c r="Z149" s="1716" t="n"/>
      <c r="AA149" s="1717" t="n"/>
      <c r="AB149" s="1184" t="n"/>
      <c r="AC149" s="889" t="inlineStr">
        <is>
          <t>Subject Listed for Sale/Price</t>
        </is>
      </c>
      <c r="AD149" s="1718">
        <f>IF(AE149="N/A","N/A","Currently Listed")</f>
        <v/>
      </c>
      <c r="AE149" s="1719">
        <f>IF('[7]Property History'!T115&gt;0,'[7]Property History'!T115,"N/A")</f>
        <v/>
      </c>
      <c r="AF149" s="1720">
        <f>IFERROR(AE149/GBA,0)</f>
        <v/>
      </c>
    </row>
    <row r="150">
      <c r="Y150" s="824" t="n"/>
      <c r="Z150" s="1716" t="n"/>
      <c r="AA150" s="1717" t="n"/>
      <c r="AB150" s="1184" t="n"/>
      <c r="AC150" s="889" t="inlineStr">
        <is>
          <t>Subject Under Contract/Price</t>
        </is>
      </c>
      <c r="AD150" s="1718">
        <f>IF('[7]Property History'!T122="","N/A",'[7]Property History'!T122)</f>
        <v/>
      </c>
      <c r="AE150" s="1719">
        <f>IF('[7]Property History'!T123&gt;0,'[7]Property History'!T123,"N/A")</f>
        <v/>
      </c>
      <c r="AF150" s="1720">
        <f>IFERROR(AE150/GBA,0)</f>
        <v/>
      </c>
    </row>
    <row r="151">
      <c r="Y151" s="824" t="n"/>
      <c r="Z151" s="1721" t="n"/>
      <c r="AA151" s="1722" t="n"/>
      <c r="AB151" s="1184" t="n"/>
      <c r="AC151" s="889" t="inlineStr">
        <is>
          <t>Recent Sale</t>
        </is>
      </c>
      <c r="AD151" s="1718">
        <f>IF('[7]Property History'!T132="","N/A",'[7]Property History'!T132)</f>
        <v/>
      </c>
      <c r="AE151" s="1719">
        <f>IF('[7]Property History'!T134&gt;0,'[7]Property History'!T134,"N/A")</f>
        <v/>
      </c>
      <c r="AF151" s="1720">
        <f>IFERROR(AE151/GBA,0)</f>
        <v/>
      </c>
    </row>
    <row r="152">
      <c r="Y152" s="824" t="n"/>
      <c r="Z152" s="1446" t="n"/>
      <c r="AC152" s="1205" t="inlineStr">
        <is>
          <t>Recent Sale</t>
        </is>
      </c>
      <c r="AD152" s="1723">
        <f>IF('[7]Property History'!T132="","N/A",'[7]Property History'!T132)</f>
        <v/>
      </c>
      <c r="AE152" s="1724">
        <f>IF('[7]Property History'!T134&gt;0,'[7]Property History'!T134,"N/A")</f>
        <v/>
      </c>
      <c r="AF152" s="1725">
        <f>IFERROR(AE152/GBA,0)</f>
        <v/>
      </c>
    </row>
    <row r="153">
      <c r="Y153" s="824" t="n"/>
      <c r="Z153" s="1446" t="n"/>
    </row>
    <row r="154">
      <c r="Y154" s="1183" t="n"/>
      <c r="Z154" s="1446" t="n"/>
    </row>
    <row r="155">
      <c r="Y155" s="824" t="n"/>
      <c r="Z155" s="1726" t="n"/>
    </row>
    <row r="156">
      <c r="Y156" s="1183" t="n"/>
      <c r="Z156" s="1726" t="n"/>
    </row>
    <row r="157">
      <c r="Y157" s="824" t="n"/>
      <c r="Z157" s="1726" t="n"/>
    </row>
    <row r="158">
      <c r="Y158" s="1183" t="n"/>
      <c r="Z158" s="1726" t="n"/>
    </row>
    <row r="159">
      <c r="Y159" s="824" t="n"/>
      <c r="Z159" s="1446" t="n"/>
    </row>
    <row r="160">
      <c r="Y160" s="824" t="n"/>
      <c r="Z160" s="1446" t="n"/>
    </row>
    <row r="161">
      <c r="Y161" s="824" t="n"/>
      <c r="Z161" s="1727" t="n"/>
    </row>
    <row r="162">
      <c r="Y162" s="824" t="n"/>
      <c r="Z162" s="1446" t="n"/>
    </row>
    <row r="163">
      <c r="Y163" s="824" t="n"/>
      <c r="Z163" s="1446" t="n"/>
    </row>
    <row r="164">
      <c r="Y164" s="1189" t="n"/>
      <c r="Z164" s="1457" t="n"/>
      <c r="AA164" s="1458" t="n"/>
      <c r="AB164" s="1458" t="n"/>
    </row>
  </sheetData>
  <mergeCells count="115">
    <mergeCell ref="Z156:AB156"/>
    <mergeCell ref="R92:S92"/>
    <mergeCell ref="U118:X118"/>
    <mergeCell ref="G28:L28"/>
    <mergeCell ref="H43:L43"/>
    <mergeCell ref="M49:Q49"/>
    <mergeCell ref="H41:L41"/>
    <mergeCell ref="R94:S94"/>
    <mergeCell ref="R84:S84"/>
    <mergeCell ref="U128:X128"/>
    <mergeCell ref="H95:J95"/>
    <mergeCell ref="Z152:AB152"/>
    <mergeCell ref="N75:Q75"/>
    <mergeCell ref="U96:X96"/>
    <mergeCell ref="N53:Q53"/>
    <mergeCell ref="D23:F23"/>
    <mergeCell ref="U105:X105"/>
    <mergeCell ref="Z158:AB158"/>
    <mergeCell ref="U120:X120"/>
    <mergeCell ref="AC147:AF147"/>
    <mergeCell ref="M70:M74"/>
    <mergeCell ref="N61:Q61"/>
    <mergeCell ref="Z160:AB160"/>
    <mergeCell ref="U122:X122"/>
    <mergeCell ref="U131:X131"/>
    <mergeCell ref="U100:X100"/>
    <mergeCell ref="T95:X95"/>
    <mergeCell ref="Z159:AB159"/>
    <mergeCell ref="U106:X106"/>
    <mergeCell ref="U115:X115"/>
    <mergeCell ref="Z134:AB134"/>
    <mergeCell ref="U102:X102"/>
    <mergeCell ref="Z164:AB164"/>
    <mergeCell ref="H29:L29"/>
    <mergeCell ref="R82:S82"/>
    <mergeCell ref="B3:C3"/>
    <mergeCell ref="H38:L38"/>
    <mergeCell ref="H40:L40"/>
    <mergeCell ref="N65:Q65"/>
    <mergeCell ref="N74:Q74"/>
    <mergeCell ref="U119:X119"/>
    <mergeCell ref="N50:Q50"/>
    <mergeCell ref="N51:Q51"/>
    <mergeCell ref="Y133:AB133"/>
    <mergeCell ref="R86:S86"/>
    <mergeCell ref="N66:Q66"/>
    <mergeCell ref="U104:X104"/>
    <mergeCell ref="M50:M58"/>
    <mergeCell ref="N68:Q68"/>
    <mergeCell ref="U97:X97"/>
    <mergeCell ref="N52:Q52"/>
    <mergeCell ref="R81:S81"/>
    <mergeCell ref="H42:L42"/>
    <mergeCell ref="N67:Q67"/>
    <mergeCell ref="N69:Q69"/>
    <mergeCell ref="N78:Q78"/>
    <mergeCell ref="U121:X121"/>
    <mergeCell ref="Z161:AB161"/>
    <mergeCell ref="U114:X114"/>
    <mergeCell ref="U129:X129"/>
    <mergeCell ref="U123:X123"/>
    <mergeCell ref="R90:S90"/>
    <mergeCell ref="N70:Q70"/>
    <mergeCell ref="N79:Q79"/>
    <mergeCell ref="H46:L46"/>
    <mergeCell ref="N54:Q54"/>
    <mergeCell ref="Z162:AB162"/>
    <mergeCell ref="Z153:AB153"/>
    <mergeCell ref="N63:Q63"/>
    <mergeCell ref="U124:X124"/>
    <mergeCell ref="H45:L45"/>
    <mergeCell ref="Z146:AB146"/>
    <mergeCell ref="N56:Q56"/>
    <mergeCell ref="R91:S91"/>
    <mergeCell ref="R85:S85"/>
    <mergeCell ref="Z163:AB163"/>
    <mergeCell ref="U125:X125"/>
    <mergeCell ref="H33:L33"/>
    <mergeCell ref="U112:X112"/>
    <mergeCell ref="N59:Q59"/>
    <mergeCell ref="U127:X127"/>
    <mergeCell ref="H35:L35"/>
    <mergeCell ref="Z155:AB155"/>
    <mergeCell ref="N60:Q60"/>
    <mergeCell ref="U98:X98"/>
    <mergeCell ref="Z141:AA141"/>
    <mergeCell ref="U113:X113"/>
    <mergeCell ref="Z157:AB157"/>
    <mergeCell ref="H34:L34"/>
    <mergeCell ref="R87:S87"/>
    <mergeCell ref="H39:L39"/>
    <mergeCell ref="H30:K30"/>
    <mergeCell ref="N55:Q55"/>
    <mergeCell ref="H36:L36"/>
    <mergeCell ref="U99:X99"/>
    <mergeCell ref="H31:K31"/>
    <mergeCell ref="N72:Q72"/>
    <mergeCell ref="U101:X101"/>
    <mergeCell ref="H37:L37"/>
    <mergeCell ref="N62:Q62"/>
    <mergeCell ref="Y132:AB132"/>
    <mergeCell ref="N71:Q71"/>
    <mergeCell ref="N58:Q58"/>
    <mergeCell ref="U126:X126"/>
    <mergeCell ref="Z154:AB154"/>
    <mergeCell ref="N64:Q64"/>
    <mergeCell ref="R93:S93"/>
    <mergeCell ref="N73:Q73"/>
    <mergeCell ref="U116:X116"/>
    <mergeCell ref="H32:K32"/>
    <mergeCell ref="U130:X130"/>
    <mergeCell ref="AC143:AF143"/>
    <mergeCell ref="U103:X103"/>
    <mergeCell ref="U117:X117"/>
    <mergeCell ref="N57:Q57"/>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B2:P37"/>
  <sheetViews>
    <sheetView topLeftCell="E16" zoomScale="175" zoomScaleNormal="175" workbookViewId="0">
      <selection activeCell="F32" sqref="F32"/>
    </sheetView>
  </sheetViews>
  <sheetFormatPr baseColWidth="8" defaultRowHeight="15"/>
  <cols>
    <col width="32.42578125" customWidth="1" style="1439" min="2" max="2"/>
    <col width="14.85546875" customWidth="1" style="1439" min="3" max="3"/>
    <col width="21.85546875" bestFit="1" customWidth="1" style="1439" min="4" max="4"/>
    <col width="14" bestFit="1" customWidth="1" style="1439" min="5" max="5"/>
    <col width="23.28515625" customWidth="1" style="1439" min="6" max="6"/>
    <col width="19.42578125" customWidth="1" style="1439" min="7" max="9"/>
    <col width="13.5703125" customWidth="1" style="1439" min="13" max="13"/>
  </cols>
  <sheetData>
    <row r="2">
      <c r="B2" s="1488" t="inlineStr">
        <is>
          <t>MARKET DATA</t>
        </is>
      </c>
    </row>
    <row r="3">
      <c r="B3" s="889" t="inlineStr">
        <is>
          <t>Surrounding Area</t>
        </is>
      </c>
      <c r="C3" s="1212" t="inlineStr">
        <is>
          <t xml:space="preserve">Industrial </t>
        </is>
      </c>
      <c r="D3" s="889" t="inlineStr">
        <is>
          <t>Market Trend</t>
        </is>
      </c>
      <c r="E3" s="1489" t="inlineStr">
        <is>
          <t>Growth</t>
        </is>
      </c>
    </row>
    <row r="4">
      <c r="B4" s="889" t="inlineStr">
        <is>
          <t>Overall Real Estate Values</t>
        </is>
      </c>
      <c r="C4" s="1212" t="inlineStr">
        <is>
          <t xml:space="preserve">Increasing </t>
        </is>
      </c>
      <c r="D4" s="889" t="inlineStr">
        <is>
          <t>Neighborhood Vacancy</t>
        </is>
      </c>
      <c r="E4" s="1214" t="n">
        <v>0.053</v>
      </c>
    </row>
    <row r="5" ht="15" customHeight="1" s="1439">
      <c r="B5" s="889" t="inlineStr">
        <is>
          <t>Predominant Property Use(s)</t>
        </is>
      </c>
      <c r="C5" s="1454" t="inlineStr">
        <is>
          <t>Industrial
Neighborhood Retail
Lodging</t>
        </is>
      </c>
      <c r="D5" s="889" t="inlineStr">
        <is>
          <t>Estimated Marketing</t>
        </is>
      </c>
      <c r="E5" s="1489" t="inlineStr">
        <is>
          <t>12 months</t>
        </is>
      </c>
    </row>
    <row r="6" ht="30.75" customHeight="1" s="1439">
      <c r="D6" s="889" t="inlineStr">
        <is>
          <t>Estimated Exposure</t>
        </is>
      </c>
      <c r="E6" s="1489" t="inlineStr">
        <is>
          <t>12 months</t>
        </is>
      </c>
    </row>
    <row r="7">
      <c r="B7" s="889" t="inlineStr">
        <is>
          <t>Market Subsector(s)</t>
        </is>
      </c>
      <c r="C7" s="1073" t="inlineStr">
        <is>
          <t>Adams County</t>
        </is>
      </c>
      <c r="D7" s="1490" t="inlineStr">
        <is>
          <t>Q1 2019-Q2 2020</t>
        </is>
      </c>
      <c r="E7" s="1491" t="n"/>
      <c r="F7" t="inlineStr">
        <is>
          <t>←Change this</t>
        </is>
      </c>
    </row>
    <row r="8">
      <c r="B8" s="1489" t="inlineStr">
        <is>
          <t>Vacancy - CoStar - Industrial 20,000 SF-50,000 SF</t>
        </is>
      </c>
      <c r="D8" s="1492" t="n">
        <v>0.07000000000000001</v>
      </c>
      <c r="E8" s="1493" t="n"/>
      <c r="F8" t="inlineStr">
        <is>
          <t>←From Income</t>
        </is>
      </c>
    </row>
    <row r="9">
      <c r="B9" s="889" t="n"/>
      <c r="C9" s="1073" t="inlineStr">
        <is>
          <t>Denver CBSA</t>
        </is>
      </c>
      <c r="D9" s="1490">
        <f>D7</f>
        <v/>
      </c>
      <c r="E9" s="1491" t="n"/>
      <c r="F9" t="inlineStr">
        <is>
          <t>←Change This</t>
        </is>
      </c>
    </row>
    <row r="10">
      <c r="B10" s="1495" t="inlineStr">
        <is>
          <t>Vacancy - CoStar - Industrial 20,000 SF-50,000 SF</t>
        </is>
      </c>
      <c r="C10" s="1458" t="n"/>
      <c r="D10" s="1498" t="n">
        <v>0.043</v>
      </c>
      <c r="E10" s="1499" t="n"/>
      <c r="F10" t="inlineStr">
        <is>
          <t>←From Income</t>
        </is>
      </c>
    </row>
    <row r="11">
      <c r="F11" s="1488" t="inlineStr">
        <is>
          <t>NEIGHBORHOOD DATA</t>
        </is>
      </c>
    </row>
    <row r="12" ht="173.25" customHeight="1" s="1439">
      <c r="F12" s="896" t="inlineStr">
        <is>
          <t>Market Area Comments</t>
        </is>
      </c>
      <c r="G12" s="1454" t="inlineStr">
        <is>
          <t xml:space="preserve">The subject property is located north of East 62nd Avenue, approximately 289 feet west of Washington Street, in unincorporated Adams County, Colorado. The immediate area is developed with light to medium intensity industrial properties, similar to the subject. The majority of the area is zoned I-1 (Light Industrial), allowing for warehousing, storage, distribution, and light-intensity industrial activity. A visual inspection the neighborhood indicates significant new development and redevelopment over the past five years. Local street/sidewalk infrastructure and municipal services have also been updated over that time.  </t>
        </is>
      </c>
    </row>
    <row r="13">
      <c r="F13" s="1497" t="inlineStr">
        <is>
          <t>Surrounding Uses</t>
        </is>
      </c>
      <c r="G13" s="1051" t="inlineStr">
        <is>
          <t>North:</t>
        </is>
      </c>
      <c r="H13" s="1489" t="inlineStr">
        <is>
          <t>Industrial Lots</t>
        </is>
      </c>
    </row>
    <row r="14">
      <c r="G14" s="1051" t="inlineStr">
        <is>
          <t>South:</t>
        </is>
      </c>
      <c r="H14" s="1489" t="inlineStr">
        <is>
          <t>Light Industrial</t>
        </is>
      </c>
    </row>
    <row r="15">
      <c r="G15" s="1051" t="inlineStr">
        <is>
          <t>East:</t>
        </is>
      </c>
      <c r="H15" s="1489" t="inlineStr">
        <is>
          <t xml:space="preserve">Industrial Storage Lot </t>
        </is>
      </c>
    </row>
    <row r="16">
      <c r="F16" s="1458" t="n"/>
      <c r="G16" s="1052" t="inlineStr">
        <is>
          <t>West:</t>
        </is>
      </c>
      <c r="H16" s="1495" t="inlineStr">
        <is>
          <t>Light Industrial</t>
        </is>
      </c>
      <c r="I16" s="1458" t="n"/>
    </row>
    <row r="17" hidden="1" ht="15" customHeight="1" s="1439">
      <c r="F17" s="897" t="inlineStr">
        <is>
          <t>Property Contact Interview</t>
        </is>
      </c>
      <c r="G17" s="1496">
        <f>clInspectionContactName</f>
        <v/>
      </c>
      <c r="H17" s="1458" t="n"/>
      <c r="I17" s="1458" t="n"/>
    </row>
    <row r="18" ht="51.75" customHeight="1" s="1439">
      <c r="I18" s="1343" t="inlineStr">
        <is>
          <t>CHANGE →</t>
        </is>
      </c>
      <c r="J18" s="1494" t="inlineStr">
        <is>
          <t>Average Sale Price - Denver Market Industrial - 10,000 SF-50,000 SF</t>
        </is>
      </c>
      <c r="N18" s="1494" t="inlineStr">
        <is>
          <t>Average Sale Price - Adams County Industrial - 10,000 SF-50,000 SF</t>
        </is>
      </c>
    </row>
    <row r="19" ht="25.5" customHeight="1" s="1439">
      <c r="J19" s="1340" t="inlineStr">
        <is>
          <t>Period</t>
        </is>
      </c>
      <c r="K19" s="1341" t="inlineStr">
        <is>
          <t>Avg. Price ($/SF)</t>
        </is>
      </c>
      <c r="L19" s="1341" t="inlineStr">
        <is>
          <t>% Change - Q2 2020</t>
        </is>
      </c>
      <c r="M19" s="1342" t="inlineStr">
        <is>
          <t>←CHANGE →</t>
        </is>
      </c>
      <c r="N19" s="1340" t="inlineStr">
        <is>
          <t>Period</t>
        </is>
      </c>
      <c r="O19" s="1341" t="inlineStr">
        <is>
          <t>Avg. Price ($/SF)</t>
        </is>
      </c>
      <c r="P19" s="1341" t="inlineStr">
        <is>
          <t>% Change - Q2 2020</t>
        </is>
      </c>
    </row>
    <row r="20" ht="15" customHeight="1" s="1439">
      <c r="I20" t="inlineStr">
        <is>
          <t>Pase from CoStar→</t>
        </is>
      </c>
      <c r="J20" s="601" t="inlineStr">
        <is>
          <t>2023 Q2 QTD</t>
        </is>
      </c>
      <c r="K20" s="1728" t="n">
        <v>147</v>
      </c>
      <c r="L20" s="603" t="n"/>
      <c r="N20" s="601" t="inlineStr">
        <is>
          <t>2023 Q2 QTD</t>
        </is>
      </c>
      <c r="O20" s="1728" t="n">
        <v>147</v>
      </c>
      <c r="P20" s="603" t="n"/>
    </row>
    <row r="21">
      <c r="J21" s="601" t="inlineStr">
        <is>
          <t>2023 Q1</t>
        </is>
      </c>
      <c r="K21" s="1728" t="n">
        <v>143</v>
      </c>
      <c r="L21" s="1729">
        <f>($C$18-K21)/K21</f>
        <v/>
      </c>
      <c r="N21" s="601" t="inlineStr">
        <is>
          <t>2023 Q1</t>
        </is>
      </c>
      <c r="O21" s="1728" t="n">
        <v>143</v>
      </c>
      <c r="P21" s="1729" t="n"/>
    </row>
    <row r="22">
      <c r="J22" s="601" t="inlineStr">
        <is>
          <t>2022 Q4</t>
        </is>
      </c>
      <c r="K22" s="1728" t="n">
        <v>142</v>
      </c>
      <c r="L22" s="1729">
        <f>($C$18-K22)/K22</f>
        <v/>
      </c>
      <c r="N22" s="601" t="inlineStr">
        <is>
          <t>2022 Q4</t>
        </is>
      </c>
      <c r="O22" s="1728" t="n">
        <v>142</v>
      </c>
      <c r="P22" s="1729" t="n"/>
    </row>
    <row r="23">
      <c r="J23" s="601" t="inlineStr">
        <is>
          <t>2022 Q3</t>
        </is>
      </c>
      <c r="K23" s="1728" t="n">
        <v>141</v>
      </c>
      <c r="L23" s="1729">
        <f>($C$18-K23)/K23</f>
        <v/>
      </c>
      <c r="N23" s="601" t="inlineStr">
        <is>
          <t>2022 Q3</t>
        </is>
      </c>
      <c r="O23" s="1728" t="n">
        <v>141</v>
      </c>
      <c r="P23" s="1729" t="n"/>
    </row>
    <row r="24">
      <c r="J24" s="601" t="inlineStr">
        <is>
          <t>2022 Q2</t>
        </is>
      </c>
      <c r="K24" s="1728" t="n">
        <v>139</v>
      </c>
      <c r="L24" s="1729">
        <f>($C$18-K24)/K24</f>
        <v/>
      </c>
      <c r="N24" s="601" t="inlineStr">
        <is>
          <t>2022 Q2</t>
        </is>
      </c>
      <c r="O24" s="1728" t="n">
        <v>139</v>
      </c>
      <c r="P24" s="1729" t="n"/>
    </row>
    <row r="25">
      <c r="J25" s="601" t="inlineStr">
        <is>
          <t>2022 Q1</t>
        </is>
      </c>
      <c r="K25" s="1728" t="n">
        <v>138</v>
      </c>
      <c r="L25" s="1729">
        <f>($C$18-K25)/K25</f>
        <v/>
      </c>
      <c r="N25" s="601" t="inlineStr">
        <is>
          <t>2022 Q1</t>
        </is>
      </c>
      <c r="O25" s="1728" t="n">
        <v>138</v>
      </c>
      <c r="P25" s="1729" t="n"/>
    </row>
    <row r="26">
      <c r="J26" s="601" t="inlineStr">
        <is>
          <t>2021 Q4</t>
        </is>
      </c>
      <c r="K26" s="1728" t="n">
        <v>137</v>
      </c>
      <c r="L26" s="1729">
        <f>($C$18-K26)/K26</f>
        <v/>
      </c>
      <c r="N26" s="601" t="inlineStr">
        <is>
          <t>2021 Q4</t>
        </is>
      </c>
      <c r="O26" s="1728" t="n">
        <v>137</v>
      </c>
      <c r="P26" s="1729" t="n"/>
    </row>
    <row r="27">
      <c r="J27" s="601" t="inlineStr">
        <is>
          <t>2021 Q3</t>
        </is>
      </c>
      <c r="K27" s="1728" t="n">
        <v>136</v>
      </c>
      <c r="L27" s="1729">
        <f>($C$18-K27)/K27</f>
        <v/>
      </c>
      <c r="N27" s="601" t="inlineStr">
        <is>
          <t>2021 Q3</t>
        </is>
      </c>
      <c r="O27" s="1728" t="n">
        <v>136</v>
      </c>
      <c r="P27" s="1729" t="n"/>
    </row>
    <row r="28">
      <c r="J28" s="601" t="inlineStr">
        <is>
          <t>2021 Q2</t>
        </is>
      </c>
      <c r="K28" s="1728" t="n">
        <v>135</v>
      </c>
      <c r="L28" s="1729">
        <f>($C$18-K28)/K28</f>
        <v/>
      </c>
      <c r="N28" s="601" t="inlineStr">
        <is>
          <t>2021 Q2</t>
        </is>
      </c>
      <c r="O28" s="1728" t="n">
        <v>135</v>
      </c>
      <c r="P28" s="1729" t="n"/>
    </row>
    <row r="29">
      <c r="J29" s="601" t="inlineStr">
        <is>
          <t>2021 Q1</t>
        </is>
      </c>
      <c r="K29" s="1728" t="n">
        <v>134</v>
      </c>
      <c r="L29" s="1729">
        <f>($C$18-K29)/K29</f>
        <v/>
      </c>
      <c r="N29" s="601" t="inlineStr">
        <is>
          <t>2021 Q1</t>
        </is>
      </c>
      <c r="O29" s="1728" t="n">
        <v>134</v>
      </c>
      <c r="P29" s="1729" t="n"/>
    </row>
    <row r="30">
      <c r="J30" s="601" t="inlineStr">
        <is>
          <t>2020 Q4</t>
        </is>
      </c>
      <c r="K30" s="1728" t="n">
        <v>132</v>
      </c>
      <c r="L30" s="1729">
        <f>($C$18-K30)/K30</f>
        <v/>
      </c>
      <c r="N30" s="601" t="inlineStr">
        <is>
          <t>2020 Q4</t>
        </is>
      </c>
      <c r="O30" s="1728" t="n">
        <v>132</v>
      </c>
      <c r="P30" s="1729" t="n"/>
    </row>
    <row r="31">
      <c r="J31" s="601" t="inlineStr">
        <is>
          <t>2020 Q3</t>
        </is>
      </c>
      <c r="K31" s="1728" t="n">
        <v>131</v>
      </c>
      <c r="L31" s="1729">
        <f>($C$18-K31)/K31</f>
        <v/>
      </c>
      <c r="N31" s="601" t="inlineStr">
        <is>
          <t>2020 Q3</t>
        </is>
      </c>
      <c r="O31" s="1728" t="n">
        <v>131</v>
      </c>
      <c r="P31" s="1729" t="n"/>
    </row>
    <row r="32">
      <c r="J32" s="601" t="inlineStr">
        <is>
          <t>2020 Q2</t>
        </is>
      </c>
      <c r="K32" s="1728" t="n">
        <v>130</v>
      </c>
      <c r="L32" s="1729">
        <f>($C$18-K32)/K32</f>
        <v/>
      </c>
      <c r="N32" s="601" t="inlineStr">
        <is>
          <t>2020 Q2</t>
        </is>
      </c>
      <c r="O32" s="1728" t="n">
        <v>130</v>
      </c>
      <c r="P32" s="1729" t="n"/>
    </row>
    <row r="33">
      <c r="J33" s="601" t="inlineStr">
        <is>
          <t>2020 Q1</t>
        </is>
      </c>
      <c r="K33" s="1728" t="n">
        <v>129</v>
      </c>
      <c r="L33" s="1729">
        <f>($C$18-K33)/K33</f>
        <v/>
      </c>
      <c r="N33" s="601" t="inlineStr">
        <is>
          <t>2020 Q1</t>
        </is>
      </c>
      <c r="O33" s="1728" t="n">
        <v>129</v>
      </c>
      <c r="P33" s="1729">
        <f>($G$18-O33)/O33</f>
        <v/>
      </c>
    </row>
    <row r="34">
      <c r="J34" s="601" t="inlineStr">
        <is>
          <t>2019 Q4</t>
        </is>
      </c>
      <c r="K34" s="1728" t="n">
        <v>128</v>
      </c>
      <c r="L34" s="1729">
        <f>($C$18-K34)/K34</f>
        <v/>
      </c>
      <c r="N34" s="601" t="inlineStr">
        <is>
          <t>2019 Q4</t>
        </is>
      </c>
      <c r="O34" s="1728" t="n">
        <v>128</v>
      </c>
      <c r="P34" s="1729">
        <f>($G$18-O34)/O34</f>
        <v/>
      </c>
    </row>
    <row r="35">
      <c r="J35" s="601" t="inlineStr">
        <is>
          <t>2019 Q3</t>
        </is>
      </c>
      <c r="K35" s="1728" t="n">
        <v>127</v>
      </c>
      <c r="L35" s="1729">
        <f>($C$18-K35)/K35</f>
        <v/>
      </c>
      <c r="N35" s="601" t="inlineStr">
        <is>
          <t>2019 Q3</t>
        </is>
      </c>
      <c r="O35" s="1728" t="n">
        <v>127</v>
      </c>
      <c r="P35" s="1729">
        <f>($G$18-O35)/O35</f>
        <v/>
      </c>
    </row>
    <row r="36">
      <c r="J36" s="832" t="inlineStr">
        <is>
          <t>2019 Q2</t>
        </is>
      </c>
      <c r="K36" s="1730" t="n">
        <v>125</v>
      </c>
      <c r="L36" s="1731">
        <f>($C$18-K36)/K36</f>
        <v/>
      </c>
      <c r="N36" s="601" t="inlineStr">
        <is>
          <t>2019 Q2</t>
        </is>
      </c>
      <c r="O36" s="1728" t="n">
        <v>125</v>
      </c>
      <c r="P36" s="1729">
        <f>($G$18-O36)/O36</f>
        <v/>
      </c>
    </row>
    <row r="37">
      <c r="J37" s="605" t="inlineStr">
        <is>
          <t>2019 Q1</t>
        </is>
      </c>
      <c r="K37" s="1732" t="n">
        <v>124</v>
      </c>
      <c r="L37" s="1733">
        <f>($C$18-K37)/K37</f>
        <v/>
      </c>
      <c r="N37" s="605" t="inlineStr">
        <is>
          <t>2019 Q1</t>
        </is>
      </c>
      <c r="O37" s="1732" t="n">
        <v>124</v>
      </c>
      <c r="P37" s="1733">
        <f>($G$18-O37)/O37</f>
        <v/>
      </c>
    </row>
  </sheetData>
  <mergeCells count="18">
    <mergeCell ref="D8:E8"/>
    <mergeCell ref="H13:I13"/>
    <mergeCell ref="D10:E10"/>
    <mergeCell ref="F13:F16"/>
    <mergeCell ref="H16:I16"/>
    <mergeCell ref="D7:E7"/>
    <mergeCell ref="J18:L18"/>
    <mergeCell ref="N18:P18"/>
    <mergeCell ref="F11:I11"/>
    <mergeCell ref="H15:I15"/>
    <mergeCell ref="B10:C10"/>
    <mergeCell ref="G17:I17"/>
    <mergeCell ref="B2:E2"/>
    <mergeCell ref="H14:I14"/>
    <mergeCell ref="G12:I12"/>
    <mergeCell ref="D9:E9"/>
    <mergeCell ref="B8:C8"/>
    <mergeCell ref="C5:C6"/>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B2:J47"/>
  <sheetViews>
    <sheetView zoomScale="145" zoomScaleNormal="145" workbookViewId="0">
      <selection activeCell="I48" sqref="I48"/>
    </sheetView>
  </sheetViews>
  <sheetFormatPr baseColWidth="8" defaultRowHeight="15"/>
  <cols>
    <col width="3.140625" customWidth="1" style="1439" min="1" max="1"/>
    <col width="30" customWidth="1" style="1439" min="2" max="2"/>
    <col width="18.42578125" bestFit="1" customWidth="1" style="1439" min="3" max="3"/>
    <col width="16.28515625" bestFit="1" customWidth="1" style="1439" min="4" max="4"/>
    <col width="13.140625" bestFit="1" customWidth="1" style="1439" min="5" max="5"/>
    <col width="21.42578125" customWidth="1" style="1439" min="6" max="6"/>
    <col width="17.7109375" customWidth="1" style="1439" min="8" max="8"/>
    <col width="61.7109375" customWidth="1" style="1439" min="9" max="9"/>
    <col width="31.85546875" customWidth="1" style="1439" min="10" max="11"/>
  </cols>
  <sheetData>
    <row r="1" ht="8.25" customHeight="1" s="1439"/>
    <row r="2">
      <c r="B2" s="1501" t="inlineStr">
        <is>
          <t>SITE DESCRIPTION OVERVIEW</t>
        </is>
      </c>
    </row>
    <row r="3" ht="7.5" customHeight="1" s="1439">
      <c r="B3" s="811" t="n"/>
      <c r="C3" s="1503" t="n"/>
    </row>
    <row r="4" ht="36" customHeight="1" s="1439">
      <c r="B4" s="807" t="inlineStr">
        <is>
          <t>Location</t>
        </is>
      </c>
      <c r="C4" s="1504">
        <f>FE!U99</f>
        <v/>
      </c>
    </row>
    <row r="5">
      <c r="B5" s="807" t="inlineStr">
        <is>
          <t>Account Number</t>
        </is>
      </c>
      <c r="C5" s="1503">
        <f>FE!U103</f>
        <v/>
      </c>
    </row>
    <row r="6">
      <c r="B6" s="807" t="inlineStr">
        <is>
          <t>Legal Description</t>
        </is>
      </c>
      <c r="C6" s="1504">
        <f>FE!U106</f>
        <v/>
      </c>
    </row>
    <row r="7">
      <c r="B7" s="807" t="inlineStr">
        <is>
          <t>Site Area</t>
        </is>
      </c>
      <c r="C7" s="1503" t="n"/>
      <c r="D7" s="835" t="n"/>
      <c r="E7" s="835" t="n"/>
      <c r="F7" s="835" t="n"/>
    </row>
    <row r="8">
      <c r="B8" s="812" t="inlineStr">
        <is>
          <t>Primary Site</t>
        </is>
      </c>
      <c r="C8" s="1734">
        <f>FE!U108</f>
        <v/>
      </c>
      <c r="D8" s="1735">
        <f>FE!V108</f>
        <v/>
      </c>
      <c r="E8" s="835" t="n"/>
      <c r="F8" s="835" t="n"/>
    </row>
    <row r="9">
      <c r="B9" s="812" t="inlineStr">
        <is>
          <t>Excess Land</t>
        </is>
      </c>
      <c r="C9" s="1734">
        <f>FE!U109</f>
        <v/>
      </c>
      <c r="D9" s="1735">
        <f>FE!V109</f>
        <v/>
      </c>
      <c r="E9" s="835" t="n"/>
      <c r="F9" s="835" t="n"/>
    </row>
    <row r="10">
      <c r="B10" s="812" t="inlineStr">
        <is>
          <t>Surplus Land</t>
        </is>
      </c>
      <c r="C10" s="1734">
        <f>FE!U110</f>
        <v/>
      </c>
      <c r="D10" s="1735">
        <f>FE!V110</f>
        <v/>
      </c>
      <c r="E10" s="835" t="n"/>
      <c r="F10" s="835" t="n"/>
    </row>
    <row r="11">
      <c r="B11" s="812" t="inlineStr">
        <is>
          <t>Total</t>
        </is>
      </c>
      <c r="C11" s="1736">
        <f>FE!U111</f>
        <v/>
      </c>
      <c r="D11" s="1737">
        <f>FE!V111</f>
        <v/>
      </c>
      <c r="E11" s="835" t="n"/>
      <c r="F11" s="835" t="n"/>
    </row>
    <row r="12" ht="48" customHeight="1" s="1439">
      <c r="B12" s="809" t="inlineStr">
        <is>
          <t>Configuration</t>
        </is>
      </c>
      <c r="C12" s="1500" t="inlineStr">
        <is>
          <t xml:space="preserve">Generally rectangular site with street access from West 62nd Avenue and Washington St., via an apparent access easement with the adjacent property to the east. </t>
        </is>
      </c>
    </row>
    <row r="13">
      <c r="B13" s="809" t="inlineStr">
        <is>
          <t>Topography</t>
        </is>
      </c>
      <c r="C13" s="1500" t="inlineStr">
        <is>
          <t>Generally Level</t>
        </is>
      </c>
    </row>
    <row r="14">
      <c r="B14" s="809" t="inlineStr">
        <is>
          <t>Drainage</t>
        </is>
      </c>
      <c r="C14" s="1500" t="inlineStr">
        <is>
          <t>Appears adequate</t>
        </is>
      </c>
    </row>
    <row r="15">
      <c r="B15" s="809" t="inlineStr">
        <is>
          <t>Utilities/Municipal Services</t>
        </is>
      </c>
      <c r="C15" s="1500" t="inlineStr">
        <is>
          <t>Typical utilities and municipal services available to site.</t>
        </is>
      </c>
    </row>
    <row r="16">
      <c r="B16" s="826" t="inlineStr">
        <is>
          <t>Floodplain</t>
        </is>
      </c>
      <c r="C16" s="827" t="inlineStr">
        <is>
          <t>Zone</t>
        </is>
      </c>
      <c r="D16" s="828" t="inlineStr">
        <is>
          <t>Map</t>
        </is>
      </c>
      <c r="E16" s="828" t="inlineStr">
        <is>
          <t>Date</t>
        </is>
      </c>
      <c r="F16" s="825" t="n"/>
    </row>
    <row r="17">
      <c r="B17" s="809" t="n"/>
      <c r="C17" s="1215" t="inlineStr">
        <is>
          <t>Zone X (Unshaded)</t>
        </is>
      </c>
      <c r="D17" s="1216" t="inlineStr">
        <is>
          <t>08001C0333H</t>
        </is>
      </c>
      <c r="E17" s="1738" t="n">
        <v>39146</v>
      </c>
      <c r="F17" s="825" t="n"/>
      <c r="I17" t="inlineStr">
        <is>
          <t>Zone A</t>
        </is>
      </c>
      <c r="J17" t="inlineStr">
        <is>
          <t>Zone X (Shaded)</t>
        </is>
      </c>
    </row>
    <row r="18" ht="111.75" customHeight="1" s="1439">
      <c r="B18" s="886" t="n"/>
      <c r="C18" s="1502" t="inlineStr">
        <is>
          <t>Zone X (unshaded) is a Non-Special Flood Hazard Area (NSFHA) of minimal flood hazard, usually depicted on Flood Insurance Rate Maps (FIRM) as above the 500-year flood level. This is an area in a low to moderate risk flood zone that is not in any immediate danger from flooding caused by overflowing rivers or hard rains. In communities that participate in the National Flood Insurance Program (NFIP), flood insurance is available to all property owners and renters in this zone.</t>
        </is>
      </c>
      <c r="D18" s="1458" t="n"/>
      <c r="E18" s="1458" t="n"/>
      <c r="F18" s="1458" t="n"/>
    </row>
    <row r="19" hidden="1" s="1439">
      <c r="B19" s="810" t="inlineStr">
        <is>
          <t>Census Tract No.</t>
        </is>
      </c>
      <c r="C19" s="1506">
        <f>pdCensusTract</f>
        <v/>
      </c>
      <c r="D19" s="1458" t="n"/>
      <c r="E19" s="1458" t="n"/>
      <c r="F19" s="1458" t="n"/>
    </row>
    <row r="20">
      <c r="B20" s="809" t="n"/>
      <c r="C20" s="1512" t="n"/>
      <c r="D20" s="871" t="n"/>
      <c r="E20" s="871" t="n"/>
      <c r="F20" s="871" t="n"/>
    </row>
    <row r="21">
      <c r="B21" s="1501" t="inlineStr">
        <is>
          <t>SITE DESCRIPTION OVERVIEW - CONTINUED</t>
        </is>
      </c>
    </row>
    <row r="22" ht="68.25" customHeight="1" s="1439">
      <c r="B22" s="809" t="inlineStr">
        <is>
          <t>Soil/Subsoil Conditions</t>
        </is>
      </c>
      <c r="C22" s="1500" t="inlineStr">
        <is>
          <t>We did not receive nor review a soil report.  However, we assume that the soil's load-bearing capacity is sufficient to support existing structure(s).  We did not observe any evidence to the contrary during our physical inspection of the property.</t>
        </is>
      </c>
    </row>
    <row r="23" ht="33" customHeight="1" s="1439">
      <c r="B23" s="809" t="inlineStr">
        <is>
          <t>Environmental Concerns</t>
        </is>
      </c>
      <c r="C23" s="1500" t="inlineStr">
        <is>
          <t>No unusual conditions observed.  No studies provided.  Site is assumed to be free of any environmental concerns.</t>
        </is>
      </c>
    </row>
    <row r="24" ht="60" customHeight="1" s="1439">
      <c r="B24" s="809" t="inlineStr">
        <is>
          <t>Land Use Restrictions</t>
        </is>
      </c>
      <c r="C24" s="1500" t="inlineStr">
        <is>
          <t xml:space="preserve">No atypical easements or encumbrances noted. Typical access easement appears to exist along the north boundary of the adjacent property to the east, providing access to the subject from Washington Street. Signage directs deliveries to access the subject from noted access road. </t>
        </is>
      </c>
    </row>
    <row r="25">
      <c r="B25" s="809" t="inlineStr">
        <is>
          <t>Hazards Nuisances</t>
        </is>
      </c>
      <c r="C25" s="1500" t="inlineStr">
        <is>
          <t>None noted</t>
        </is>
      </c>
    </row>
    <row r="26">
      <c r="B26" s="809" t="inlineStr">
        <is>
          <t>Frontage</t>
        </is>
      </c>
      <c r="C26" s="1500" t="inlineStr">
        <is>
          <t>West 62nd Avenue</t>
        </is>
      </c>
    </row>
    <row r="27" ht="31.5" customHeight="1" s="1439">
      <c r="B27" s="809" t="inlineStr">
        <is>
          <t>Access</t>
        </is>
      </c>
      <c r="C27" s="1500" t="inlineStr">
        <is>
          <t>West 62nd Avenue (direct), Washington Street (via apparent access easement to the east)</t>
        </is>
      </c>
    </row>
    <row r="28" ht="33" customHeight="1" s="1439">
      <c r="B28" s="809" t="inlineStr">
        <is>
          <t>Visibility</t>
        </is>
      </c>
      <c r="C28" s="1500" t="inlineStr">
        <is>
          <t>Unobstructed: West 62nd Ave. Obstructed: Washington Street - through adjacent parcel.</t>
        </is>
      </c>
    </row>
    <row r="29">
      <c r="B29" s="809" t="inlineStr">
        <is>
          <t>Surrounding Land Uses</t>
        </is>
      </c>
      <c r="C29" s="1500" t="inlineStr">
        <is>
          <t>Light to medium-intensity industrial</t>
        </is>
      </c>
    </row>
    <row r="30">
      <c r="B30" s="809" t="inlineStr">
        <is>
          <t>Enterprise Zone</t>
        </is>
      </c>
      <c r="C30" s="1500" t="inlineStr">
        <is>
          <t>None noted</t>
        </is>
      </c>
    </row>
    <row r="31" ht="37.5" customHeight="1" s="1439">
      <c r="B31" s="809" t="inlineStr">
        <is>
          <t>Traffic Counts</t>
        </is>
      </c>
      <c r="C31" s="1500" t="inlineStr">
        <is>
          <t>West 62nd Ave: 5,235 VPD, Washington Street: 13,501 VPD 
Per CoStar (Jan. 2022 Est.)</t>
        </is>
      </c>
    </row>
    <row r="32" ht="36" customHeight="1" s="1439">
      <c r="B32" s="809" t="inlineStr">
        <is>
          <t>Transportation Facilities</t>
        </is>
      </c>
      <c r="C32" s="1500" t="inlineStr">
        <is>
          <t xml:space="preserve">Northbound and southbound bus stops located along Washington Street, at 
E. 62nd Ave. </t>
        </is>
      </c>
    </row>
    <row r="33" ht="103.5" customHeight="1" s="1439">
      <c r="B33" s="810" t="inlineStr">
        <is>
          <t>Comments</t>
        </is>
      </c>
      <c r="C33" s="1508" t="inlineStr">
        <is>
          <t xml:space="preserve">Light industrial property located in an area of generally similar industrial development. Access to the property available from E. 62nd Ave. and Washington St. with visibility available from both thoroughfares. Convenient access to Interstate 25, Interstate 76, and Interstate 270, all less than one mile from the subject property. No atypical easements or encumbrances were noted at the property during the appraiser's inspection. </t>
        </is>
      </c>
      <c r="D33" s="1458" t="n"/>
      <c r="E33" s="1458" t="n"/>
      <c r="F33" s="1458" t="n"/>
    </row>
    <row r="35">
      <c r="H35" s="1505" t="inlineStr">
        <is>
          <t>ZONING</t>
        </is>
      </c>
    </row>
    <row r="36">
      <c r="H36" s="1053" t="inlineStr">
        <is>
          <t>Designation</t>
        </is>
      </c>
      <c r="I36" s="1218" t="inlineStr">
        <is>
          <t>I-1</t>
        </is>
      </c>
    </row>
    <row r="37">
      <c r="H37" s="1054" t="inlineStr">
        <is>
          <t>Description</t>
        </is>
      </c>
      <c r="I37" s="1218" t="inlineStr">
        <is>
          <t>Industrial-1 (Light Industrial)</t>
        </is>
      </c>
    </row>
    <row r="38" ht="140.25" customHeight="1" s="1439">
      <c r="H38" s="1053" t="inlineStr">
        <is>
          <t>Zoning Intent</t>
        </is>
      </c>
      <c r="I38" s="1218" t="inlineStr">
        <is>
          <t>The purpose of the Industrial‐1 District is to provide a general commercial and limited industrial district designed to provide for a variety of compatible business, warehouse, wholesale, offices and very limited industrial uses. Special uses are permitted in an Industrial‐1 District, subject to the issuance of a Special Use Permit from the Board of Adjustment. Temporary uses are permitted in the Industrial‐1 District, subject to the issuance of a Temporary Use Permit from the Director of Community and Economic Development.</t>
        </is>
      </c>
    </row>
    <row r="39">
      <c r="H39" s="1054" t="inlineStr">
        <is>
          <t>Compliance</t>
        </is>
      </c>
      <c r="I39" s="1219" t="inlineStr">
        <is>
          <t>The subject is a legal confirming use in the I-1 zoning designation.</t>
        </is>
      </c>
    </row>
    <row r="40">
      <c r="H40" s="1507" t="inlineStr">
        <is>
          <t>ZONING REQUIREMENTS</t>
        </is>
      </c>
    </row>
    <row r="41">
      <c r="H41" s="1055" t="inlineStr">
        <is>
          <t>Min. Lot Size:</t>
        </is>
      </c>
      <c r="I41" s="1220" t="inlineStr">
        <is>
          <t>1 Acre</t>
        </is>
      </c>
    </row>
    <row r="42">
      <c r="H42" s="1055" t="inlineStr">
        <is>
          <t>Min. Lot Width:</t>
        </is>
      </c>
      <c r="I42" s="1221" t="inlineStr">
        <is>
          <t>100 Feet</t>
        </is>
      </c>
    </row>
    <row r="43">
      <c r="H43" s="1450" t="inlineStr">
        <is>
          <t>Setbacks:</t>
        </is>
      </c>
      <c r="I43" s="1222" t="n"/>
    </row>
    <row r="44">
      <c r="H44" s="1056" t="inlineStr">
        <is>
          <t>Front</t>
        </is>
      </c>
      <c r="I44" s="1140" t="inlineStr">
        <is>
          <t>25 Feet</t>
        </is>
      </c>
    </row>
    <row r="45" ht="30" customHeight="1" s="1439">
      <c r="H45" s="1056" t="inlineStr">
        <is>
          <t>Side</t>
        </is>
      </c>
      <c r="I45" s="1223" t="inlineStr">
        <is>
          <t xml:space="preserve">15 feet on one side and five 5 feet on the other side; 0 foot setbacks may be approved for fireproof structures. </t>
        </is>
      </c>
    </row>
    <row r="46">
      <c r="H46" s="1056" t="inlineStr">
        <is>
          <t>Rear</t>
        </is>
      </c>
      <c r="I46" s="1140" t="inlineStr">
        <is>
          <t>15 Feet</t>
        </is>
      </c>
    </row>
    <row r="47">
      <c r="H47" s="1057" t="inlineStr">
        <is>
          <t>Maximum Height:</t>
        </is>
      </c>
      <c r="I47" s="1224" t="inlineStr">
        <is>
          <t>60 Feet</t>
        </is>
      </c>
    </row>
  </sheetData>
  <mergeCells count="26">
    <mergeCell ref="H35:I35"/>
    <mergeCell ref="C23:F23"/>
    <mergeCell ref="C32:F32"/>
    <mergeCell ref="C19:F19"/>
    <mergeCell ref="H40:I40"/>
    <mergeCell ref="C28:F28"/>
    <mergeCell ref="C13:F13"/>
    <mergeCell ref="B21:F21"/>
    <mergeCell ref="C18:F18"/>
    <mergeCell ref="C3:F3"/>
    <mergeCell ref="B2:F2"/>
    <mergeCell ref="C6:F6"/>
    <mergeCell ref="C30:F30"/>
    <mergeCell ref="C15:F15"/>
    <mergeCell ref="C33:F33"/>
    <mergeCell ref="C24:F24"/>
    <mergeCell ref="C5:F5"/>
    <mergeCell ref="C14:F14"/>
    <mergeCell ref="C4:F4"/>
    <mergeCell ref="C26:F26"/>
    <mergeCell ref="C29:F29"/>
    <mergeCell ref="C25:F25"/>
    <mergeCell ref="C22:F22"/>
    <mergeCell ref="C31:F31"/>
    <mergeCell ref="C12:F12"/>
    <mergeCell ref="C27:F27"/>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B2:F99"/>
  <sheetViews>
    <sheetView topLeftCell="A76" zoomScale="130" zoomScaleNormal="130" workbookViewId="0">
      <selection activeCell="C98" sqref="C97:F98"/>
    </sheetView>
  </sheetViews>
  <sheetFormatPr baseColWidth="8" defaultRowHeight="15"/>
  <cols>
    <col width="3.85546875" customWidth="1" style="1439" min="1" max="1"/>
    <col width="30.140625" customWidth="1" style="1439" min="2" max="2"/>
    <col width="14.85546875" customWidth="1" style="1439" min="3" max="3"/>
    <col width="18.42578125" customWidth="1" style="1439" min="4" max="5"/>
    <col width="20.42578125" customWidth="1" style="1439" min="6" max="6"/>
    <col width="22.42578125" customWidth="1" style="1439" min="7" max="7"/>
  </cols>
  <sheetData>
    <row r="2">
      <c r="B2" s="1501">
        <f>IF(OR(pdGenPropUse2="",pdGenPropUse2=0),"GENERAL DESCRIPTION OVERVIEW", "GENERAL DESCRIPTION OVERVIEW - "&amp;UPPER(pdGenPropUse))</f>
        <v/>
      </c>
    </row>
    <row r="3">
      <c r="B3" s="417" t="inlineStr">
        <is>
          <t>Address</t>
        </is>
      </c>
      <c r="C3" s="1527">
        <f>'Property Info'!B16</f>
        <v/>
      </c>
    </row>
    <row r="4">
      <c r="B4" s="808" t="n"/>
      <c r="C4" s="1512">
        <f>'Property Info'!B17</f>
        <v/>
      </c>
    </row>
    <row r="5">
      <c r="B5" s="807" t="inlineStr">
        <is>
          <t>Property Description</t>
        </is>
      </c>
      <c r="C5" s="1512">
        <f>FE!U100</f>
        <v/>
      </c>
    </row>
    <row r="6">
      <c r="B6" s="807" t="inlineStr">
        <is>
          <t>Year Built</t>
        </is>
      </c>
      <c r="C6" s="1512">
        <f>'Property Info'!B8</f>
        <v/>
      </c>
    </row>
    <row r="7">
      <c r="B7" s="809" t="inlineStr">
        <is>
          <t>Year Renovated</t>
        </is>
      </c>
      <c r="C7" s="1512">
        <f>FE!U116</f>
        <v/>
      </c>
    </row>
    <row r="8">
      <c r="B8" s="809" t="inlineStr">
        <is>
          <t>Number of Buildings</t>
        </is>
      </c>
      <c r="C8" s="1512">
        <f>FE!U120</f>
        <v/>
      </c>
    </row>
    <row r="9">
      <c r="B9" s="809" t="inlineStr">
        <is>
          <t>Number of Stories</t>
        </is>
      </c>
      <c r="C9" s="1500" t="n">
        <v>1</v>
      </c>
    </row>
    <row r="10">
      <c r="B10" s="809" t="inlineStr">
        <is>
          <t>Total Number of Units</t>
        </is>
      </c>
      <c r="C10" s="1512">
        <f>FE!U126</f>
        <v/>
      </c>
    </row>
    <row r="11">
      <c r="B11" s="809" t="inlineStr">
        <is>
          <t>Building Construction Class</t>
        </is>
      </c>
      <c r="C11" s="1500" t="inlineStr">
        <is>
          <t>C/S</t>
        </is>
      </c>
    </row>
    <row r="12" hidden="1" s="1439">
      <c r="B12" s="809" t="inlineStr">
        <is>
          <t>Net Rentable Area</t>
        </is>
      </c>
      <c r="C12" s="1739">
        <f>FE!U124</f>
        <v/>
      </c>
    </row>
    <row r="13">
      <c r="B13" s="809" t="inlineStr">
        <is>
          <t>Gross Leasable Area</t>
        </is>
      </c>
      <c r="C13" s="1739">
        <f>FE!U122</f>
        <v/>
      </c>
    </row>
    <row r="14" hidden="1" s="1439">
      <c r="B14" s="812" t="inlineStr">
        <is>
          <t>+ Clubhouse</t>
        </is>
      </c>
      <c r="C14" s="1739">
        <f>pdBldgAreaClubhouse</f>
        <v/>
      </c>
    </row>
    <row r="15" hidden="1" s="1439">
      <c r="B15" s="812" t="inlineStr">
        <is>
          <t>+ Others(s)</t>
        </is>
      </c>
      <c r="C15" s="1739">
        <f>pdBldgAreaOther</f>
        <v/>
      </c>
    </row>
    <row r="16" ht="32.25" customHeight="1" s="1439">
      <c r="B16" s="1059" t="inlineStr">
        <is>
          <t xml:space="preserve">Mezzanine Area </t>
        </is>
      </c>
      <c r="C16" s="1740" t="inlineStr">
        <is>
          <t xml:space="preserve">Small structural mezzanine located atop a temporary structure in the warehouse. Not included in the total GBA, considered an amenity of the property. </t>
        </is>
      </c>
    </row>
    <row r="17">
      <c r="B17" s="809" t="inlineStr">
        <is>
          <t>Building Footprint</t>
        </is>
      </c>
      <c r="C17" s="1739">
        <f>'Property Info'!B5</f>
        <v/>
      </c>
    </row>
    <row r="18" hidden="1" s="1439">
      <c r="B18" s="809" t="inlineStr">
        <is>
          <t>Bay Depth</t>
        </is>
      </c>
      <c r="C18" s="1741">
        <f>pdBayDepth</f>
        <v/>
      </c>
    </row>
    <row r="19" hidden="1" s="1439">
      <c r="B19" s="809" t="inlineStr">
        <is>
          <t>LEED Ratio</t>
        </is>
      </c>
      <c r="C19" s="1739">
        <f>pdLEEDRating</f>
        <v/>
      </c>
      <c r="D19" s="871" t="n"/>
      <c r="E19" s="871" t="n"/>
      <c r="F19" s="871" t="n"/>
    </row>
    <row r="20" hidden="1" s="1439">
      <c r="B20" s="809" t="inlineStr">
        <is>
          <t>Floor-Area Ratio</t>
        </is>
      </c>
      <c r="C20" s="875">
        <f>pdFAR</f>
        <v/>
      </c>
      <c r="D20" s="871" t="n"/>
      <c r="E20" s="871" t="n"/>
      <c r="F20" s="871" t="n"/>
    </row>
    <row r="21">
      <c r="B21" s="809" t="inlineStr">
        <is>
          <t>Elevator(s)</t>
        </is>
      </c>
      <c r="C21" s="1500" t="inlineStr">
        <is>
          <t>None</t>
        </is>
      </c>
    </row>
    <row r="22">
      <c r="B22" s="809" t="inlineStr">
        <is>
          <t>Ceiling Heights</t>
        </is>
      </c>
      <c r="C22" s="1500" t="inlineStr">
        <is>
          <t>14'-23' (average 18')</t>
        </is>
      </c>
    </row>
    <row r="23">
      <c r="B23" s="809" t="inlineStr">
        <is>
          <t>Utility Metering</t>
        </is>
      </c>
      <c r="C23" s="1500" t="inlineStr">
        <is>
          <t>Master metered</t>
        </is>
      </c>
    </row>
    <row r="24" hidden="1" s="1439">
      <c r="B24" s="809" t="inlineStr">
        <is>
          <t>Density (Units/Acre)</t>
        </is>
      </c>
      <c r="C24" s="1742">
        <f>C10/'Site Information'!C11</f>
        <v/>
      </c>
    </row>
    <row r="25">
      <c r="B25" s="809" t="inlineStr">
        <is>
          <t>Coverage Ratio</t>
        </is>
      </c>
      <c r="C25" s="1743">
        <f>C17/'Site Information'!C11</f>
        <v/>
      </c>
    </row>
    <row r="26">
      <c r="B26" s="809" t="inlineStr">
        <is>
          <t>Land-to-Building Ratio</t>
        </is>
      </c>
      <c r="C26" s="1744">
        <f>'Site Information'!C11/Improvements!C13</f>
        <v/>
      </c>
    </row>
    <row r="27">
      <c r="B27" s="809" t="inlineStr">
        <is>
          <t>Ingress/Egress</t>
        </is>
      </c>
      <c r="C27" s="1500" t="inlineStr">
        <is>
          <t xml:space="preserve">Typical pedestrian entrances and loading doors along building perimeter. </t>
        </is>
      </c>
    </row>
    <row r="28">
      <c r="B28" s="809" t="inlineStr">
        <is>
          <t>Percentage Office Build-Out</t>
        </is>
      </c>
      <c r="C28" s="1525">
        <f>'Property Info'!B14</f>
        <v/>
      </c>
    </row>
    <row r="29">
      <c r="B29" s="809" t="inlineStr">
        <is>
          <t>Clear Height</t>
        </is>
      </c>
      <c r="C29" s="1500" t="inlineStr">
        <is>
          <t>12'-20'</t>
        </is>
      </c>
    </row>
    <row r="30">
      <c r="B30" s="809" t="inlineStr">
        <is>
          <t>Power</t>
        </is>
      </c>
      <c r="C30" s="1518" t="inlineStr">
        <is>
          <t xml:space="preserve">Assumed adequate for industrial use. </t>
        </is>
      </c>
    </row>
    <row r="31">
      <c r="B31" s="809" t="inlineStr">
        <is>
          <t>Loading Doors</t>
        </is>
      </c>
      <c r="C31" s="1512" t="n"/>
    </row>
    <row r="32">
      <c r="B32" s="812" t="inlineStr">
        <is>
          <t>Dock High</t>
        </is>
      </c>
      <c r="C32" s="1500" t="n">
        <v>3</v>
      </c>
    </row>
    <row r="33">
      <c r="B33" s="812" t="inlineStr">
        <is>
          <t>Roll-Up</t>
        </is>
      </c>
      <c r="C33" s="1500" t="n">
        <v>2</v>
      </c>
    </row>
    <row r="34">
      <c r="B34" s="809" t="inlineStr">
        <is>
          <t>Rail Access</t>
        </is>
      </c>
      <c r="C34" s="1500" t="inlineStr">
        <is>
          <t>None</t>
        </is>
      </c>
    </row>
    <row r="35">
      <c r="B35" s="809" t="inlineStr">
        <is>
          <t>Storage Yard</t>
        </is>
      </c>
      <c r="C35" s="1500" t="inlineStr">
        <is>
          <t>Fenced storage yard located on the northwestern portion of the property.</t>
        </is>
      </c>
    </row>
    <row r="36">
      <c r="B36" s="809" t="inlineStr">
        <is>
          <t>Truck Court</t>
        </is>
      </c>
      <c r="C36" s="1500" t="inlineStr">
        <is>
          <t>Truck loading/unloading along the west and northeast building elevations.</t>
        </is>
      </c>
    </row>
    <row r="37">
      <c r="B37" s="809" t="inlineStr">
        <is>
          <t>Parking</t>
        </is>
      </c>
      <c r="C37" s="1512" t="n"/>
      <c r="D37" s="871" t="n"/>
      <c r="E37" s="871" t="n"/>
      <c r="F37" s="871" t="n"/>
    </row>
    <row r="38">
      <c r="B38" s="812" t="inlineStr">
        <is>
          <t>Surface Parking Spaces</t>
        </is>
      </c>
      <c r="C38" s="1226" t="n">
        <v>71</v>
      </c>
      <c r="D38" s="814" t="n"/>
      <c r="E38" s="814" t="n"/>
      <c r="F38" s="814" t="n"/>
    </row>
    <row r="39">
      <c r="B39" s="812" t="inlineStr">
        <is>
          <t>Other</t>
        </is>
      </c>
      <c r="C39" s="1225" t="n">
        <v>0</v>
      </c>
      <c r="D39" s="814" t="n"/>
      <c r="E39" s="814" t="n"/>
      <c r="F39" s="814" t="n"/>
    </row>
    <row r="40">
      <c r="B40" s="812" t="inlineStr">
        <is>
          <t>Garages</t>
        </is>
      </c>
      <c r="C40" s="1225" t="n">
        <v>0</v>
      </c>
      <c r="D40" s="814" t="n"/>
      <c r="E40" s="814" t="n"/>
      <c r="F40" s="814" t="n"/>
    </row>
    <row r="41">
      <c r="B41" s="809" t="inlineStr">
        <is>
          <t>Total Parking Spaces</t>
        </is>
      </c>
      <c r="C41" s="813">
        <f>SUM(C38:C40)</f>
        <v/>
      </c>
      <c r="D41" s="814" t="n"/>
      <c r="E41" s="814" t="n"/>
      <c r="F41" s="814" t="n"/>
    </row>
    <row r="42" ht="30" customHeight="1" s="1439">
      <c r="B42" s="1058" t="inlineStr">
        <is>
          <t>Parking Ratio 
(Spaces/1,000 SF GBA)</t>
        </is>
      </c>
      <c r="C42" s="1513">
        <f>(C41/C13)*1000</f>
        <v/>
      </c>
      <c r="D42" s="1458" t="n"/>
      <c r="E42" s="1458" t="n"/>
      <c r="F42" s="1458" t="n"/>
    </row>
    <row r="43" hidden="1" ht="39" customHeight="1" s="1439">
      <c r="B43" s="809" t="inlineStr">
        <is>
          <t>ADA Compliance</t>
        </is>
      </c>
      <c r="C43" s="1520">
        <f>pdADA</f>
        <v/>
      </c>
      <c r="D43" s="1511" t="n"/>
      <c r="E43" s="1511" t="n"/>
      <c r="F43" s="1511" t="n"/>
    </row>
    <row r="44">
      <c r="B44" s="1550" t="n"/>
      <c r="C44" s="815" t="n"/>
      <c r="D44" s="1550" t="n"/>
      <c r="E44" s="1550" t="n"/>
      <c r="F44" s="1550" t="n"/>
    </row>
    <row r="45">
      <c r="B45" s="1501" t="inlineStr">
        <is>
          <t>CONSTRUCTION DETAIL</t>
        </is>
      </c>
    </row>
    <row r="46">
      <c r="B46" s="811" t="n"/>
      <c r="C46" s="1503" t="n"/>
    </row>
    <row r="47" ht="135" customHeight="1" s="1439">
      <c r="B47" s="807" t="inlineStr">
        <is>
          <t>General Layout</t>
        </is>
      </c>
      <c r="C47" s="1500" t="inlineStr">
        <is>
          <t xml:space="preserve">Primary pedestrian entrance located along the east building elevation, leading to a service window in the warehouse. Access to the office is available from the warehouse space. Office is located in the eastern portion of the building and is demised into a reception area, multiple private offices, conference room, administrative areas, and storage closets. Separate men's and woman's restrooms are located in the office. The warehouse is demised into a large open warehouse space, multiple storage rooms, break area, restrooms, work stations, an indoor loading dock, and several staging/shipping areas.  </t>
        </is>
      </c>
    </row>
    <row r="48">
      <c r="B48" s="809" t="inlineStr">
        <is>
          <t>Foundation</t>
        </is>
      </c>
      <c r="C48" s="1500" t="inlineStr">
        <is>
          <t>Concrete slab on-grade under load-bearing structure</t>
        </is>
      </c>
    </row>
    <row r="49">
      <c r="B49" s="807" t="inlineStr">
        <is>
          <t>Construction</t>
        </is>
      </c>
      <c r="C49" s="1500" t="inlineStr">
        <is>
          <t>Masonry block, steel-frame</t>
        </is>
      </c>
    </row>
    <row r="50">
      <c r="B50" s="809" t="inlineStr">
        <is>
          <t>Floor Structure</t>
        </is>
      </c>
      <c r="C50" s="1500" t="inlineStr">
        <is>
          <t>Concrete slab</t>
        </is>
      </c>
    </row>
    <row r="51">
      <c r="B51" s="807" t="inlineStr">
        <is>
          <t>Exterior Walls</t>
        </is>
      </c>
      <c r="C51" s="1500" t="inlineStr">
        <is>
          <t>Insulated steel, masonry block</t>
        </is>
      </c>
    </row>
    <row r="52">
      <c r="B52" s="809" t="inlineStr">
        <is>
          <t>Roof Type</t>
        </is>
      </c>
      <c r="C52" s="1500" t="inlineStr">
        <is>
          <t>Structural steel</t>
        </is>
      </c>
    </row>
    <row r="53">
      <c r="B53" s="807" t="inlineStr">
        <is>
          <t>Roof Cover</t>
        </is>
      </c>
      <c r="C53" s="1500" t="inlineStr">
        <is>
          <t>Rubber membrane</t>
        </is>
      </c>
    </row>
    <row r="54">
      <c r="B54" s="809" t="inlineStr">
        <is>
          <t>Windows</t>
        </is>
      </c>
      <c r="C54" s="1500" t="inlineStr">
        <is>
          <t>Metal, double pane</t>
        </is>
      </c>
    </row>
    <row r="55">
      <c r="B55" s="810" t="inlineStr">
        <is>
          <t>Balcony/Patios:</t>
        </is>
      </c>
      <c r="C55" s="1519" t="inlineStr">
        <is>
          <t>None</t>
        </is>
      </c>
      <c r="D55" s="1458" t="n"/>
      <c r="E55" s="1458" t="n"/>
      <c r="F55" s="1458" t="n"/>
    </row>
    <row r="56" hidden="1" s="1439">
      <c r="B56" s="1550" t="n"/>
      <c r="C56" s="815" t="n"/>
      <c r="D56" s="1550" t="n"/>
      <c r="E56" s="1550" t="n"/>
      <c r="F56" s="1550" t="n"/>
    </row>
    <row r="57">
      <c r="B57" s="1501" t="inlineStr">
        <is>
          <t>INTERIOR DETAIL</t>
        </is>
      </c>
    </row>
    <row r="58">
      <c r="B58" s="811" t="n"/>
      <c r="C58" s="1503" t="n"/>
    </row>
    <row r="59" ht="30.75" customHeight="1" s="1439">
      <c r="B59" s="807" t="inlineStr">
        <is>
          <t>Interior Walls</t>
        </is>
      </c>
      <c r="C59" s="1500" t="inlineStr">
        <is>
          <t>Office: Painted drywall/Warehouse: Painted masonry block, exposed insulation, finished drywall.</t>
        </is>
      </c>
    </row>
    <row r="60">
      <c r="B60" s="809" t="inlineStr">
        <is>
          <t>Ceilings</t>
        </is>
      </c>
      <c r="C60" s="1500" t="inlineStr">
        <is>
          <t>Office: Acoustical tile/Warehouse: Exposed insulation, acoustical tile.</t>
        </is>
      </c>
    </row>
    <row r="61">
      <c r="B61" s="807" t="inlineStr">
        <is>
          <t>Floor Coverings</t>
        </is>
      </c>
      <c r="C61" s="1500" t="inlineStr">
        <is>
          <t>Office: Commercial-grade carpet, tile/Warehouse: Unfinished concrete.</t>
        </is>
      </c>
    </row>
    <row r="62">
      <c r="B62" s="809" t="inlineStr">
        <is>
          <t>Doors</t>
        </is>
      </c>
      <c r="C62" s="1500" t="inlineStr">
        <is>
          <t>Exterior: Insulated steel, Interior: Wood, composite.</t>
        </is>
      </c>
    </row>
    <row r="63" ht="36" customHeight="1" s="1439">
      <c r="B63" s="807" t="inlineStr">
        <is>
          <t>Lighting</t>
        </is>
      </c>
      <c r="C63" s="1500" t="inlineStr">
        <is>
          <t>Office: Recessed fluorescent fixtures/Warehouse: Mounted LED and fluorescent fixtures.</t>
        </is>
      </c>
    </row>
    <row r="64">
      <c r="B64" s="809" t="inlineStr">
        <is>
          <t>Ceiling Heights</t>
        </is>
      </c>
      <c r="C64" s="1500" t="inlineStr">
        <is>
          <t>Office: 10'/Warehouse: 14'-23'</t>
        </is>
      </c>
    </row>
    <row r="65">
      <c r="B65" s="809" t="inlineStr">
        <is>
          <t>Restrooms</t>
        </is>
      </c>
      <c r="C65" s="1500" t="inlineStr">
        <is>
          <t>Separate men's and women's restrooms throughout.</t>
        </is>
      </c>
    </row>
    <row r="66" hidden="1" s="1439">
      <c r="B66" s="807" t="inlineStr">
        <is>
          <t>Kitchen Finish</t>
        </is>
      </c>
      <c r="C66" s="1504" t="inlineStr">
        <is>
          <t>Manual fill.</t>
        </is>
      </c>
    </row>
    <row r="67" hidden="1" s="1439">
      <c r="B67" s="807" t="inlineStr">
        <is>
          <t>Bathroom Finish</t>
        </is>
      </c>
      <c r="C67" s="1504" t="inlineStr">
        <is>
          <t>Manual fill.</t>
        </is>
      </c>
    </row>
    <row r="68" ht="30.75" customHeight="1" s="1439">
      <c r="B68" s="810" t="inlineStr">
        <is>
          <t>Amenities (Unit)</t>
        </is>
      </c>
      <c r="C68" s="1516" t="inlineStr">
        <is>
          <t>Small structural mezzanine above temporary structure in warehouse (not part of GBA)</t>
        </is>
      </c>
      <c r="D68" s="1511" t="n"/>
      <c r="E68" s="1511" t="n"/>
      <c r="F68" s="1511" t="n"/>
    </row>
    <row r="69">
      <c r="B69" s="1550" t="n"/>
      <c r="C69" s="815" t="n"/>
      <c r="D69" s="1550" t="n"/>
      <c r="E69" s="1550" t="n"/>
      <c r="F69" s="1550" t="n"/>
    </row>
    <row r="70">
      <c r="B70" s="1501" t="inlineStr">
        <is>
          <t>MECHANICAL DETAIL</t>
        </is>
      </c>
    </row>
    <row r="71">
      <c r="B71" s="807" t="inlineStr">
        <is>
          <t>Heating</t>
        </is>
      </c>
      <c r="C71" s="1500" t="inlineStr">
        <is>
          <t xml:space="preserve">Multiple roof-mounted heating/cooling units serving office and warehouse spaces.  </t>
        </is>
      </c>
    </row>
    <row r="72">
      <c r="B72" s="809" t="inlineStr">
        <is>
          <t>Cooling</t>
        </is>
      </c>
      <c r="C72" s="1500" t="inlineStr">
        <is>
          <t>Roof-mounted HVAC  in office and warehouse</t>
        </is>
      </c>
    </row>
    <row r="73">
      <c r="B73" s="807" t="inlineStr">
        <is>
          <t>Plumbing</t>
        </is>
      </c>
      <c r="C73" s="1500" t="inlineStr">
        <is>
          <t>Assumed to code and adequate for light industrial use.</t>
        </is>
      </c>
    </row>
    <row r="74">
      <c r="B74" s="809" t="inlineStr">
        <is>
          <t>Electrical</t>
        </is>
      </c>
      <c r="C74" s="1512">
        <f>C73</f>
        <v/>
      </c>
    </row>
    <row r="75">
      <c r="B75" s="810" t="inlineStr">
        <is>
          <t>Fire Protection</t>
        </is>
      </c>
      <c r="C75" s="1510" t="inlineStr">
        <is>
          <t>Wet sprinklers installed throughout.</t>
        </is>
      </c>
      <c r="D75" s="1511" t="n"/>
      <c r="E75" s="1511" t="n"/>
      <c r="F75" s="1511" t="n"/>
    </row>
    <row r="76">
      <c r="B76" s="1550" t="n"/>
      <c r="C76" s="815" t="n"/>
      <c r="D76" s="1550" t="n"/>
      <c r="E76" s="1550" t="n"/>
      <c r="F76" s="1550" t="n"/>
    </row>
    <row r="77">
      <c r="B77" s="1501" t="inlineStr">
        <is>
          <t>SITE IMPROVEMENTS</t>
        </is>
      </c>
    </row>
    <row r="78">
      <c r="B78" s="807" t="inlineStr">
        <is>
          <t>Parking Type</t>
        </is>
      </c>
      <c r="C78" s="1500" t="inlineStr">
        <is>
          <t>Surface</t>
        </is>
      </c>
    </row>
    <row r="79">
      <c r="B79" s="809" t="inlineStr">
        <is>
          <t>Landscaping</t>
        </is>
      </c>
      <c r="C79" s="1500" t="inlineStr">
        <is>
          <t>Perimeter grass and trees</t>
        </is>
      </c>
    </row>
    <row r="80">
      <c r="B80" s="807" t="inlineStr">
        <is>
          <t>Signage</t>
        </is>
      </c>
      <c r="C80" s="1500" t="inlineStr">
        <is>
          <t>Elevated building signage</t>
        </is>
      </c>
    </row>
    <row r="81" ht="30.75" customHeight="1" s="1439">
      <c r="B81" s="810" t="inlineStr">
        <is>
          <t>Fencing</t>
        </is>
      </c>
      <c r="C81" s="1508" t="inlineStr">
        <is>
          <t>Perimeter fencing around storage yard area on northeastern portion of the property.</t>
        </is>
      </c>
      <c r="D81" s="1458" t="n"/>
      <c r="E81" s="1458" t="n"/>
      <c r="F81" s="1458" t="n"/>
    </row>
    <row r="82" hidden="1" s="1439">
      <c r="B82" s="809" t="inlineStr">
        <is>
          <t>Other</t>
        </is>
      </c>
      <c r="C82" s="1500" t="inlineStr">
        <is>
          <t>Manual fill.</t>
        </is>
      </c>
    </row>
    <row r="83" hidden="1" s="1439">
      <c r="B83" s="810" t="inlineStr">
        <is>
          <t>Amenities (Project)</t>
        </is>
      </c>
      <c r="C83" s="1516" t="inlineStr">
        <is>
          <t>Manual fill.</t>
        </is>
      </c>
      <c r="D83" s="1511" t="n"/>
      <c r="E83" s="1511" t="n"/>
      <c r="F83" s="1511" t="n"/>
    </row>
    <row r="84">
      <c r="B84" s="1550" t="n"/>
      <c r="C84" s="815" t="n"/>
      <c r="D84" s="1550" t="n"/>
      <c r="E84" s="1550" t="n"/>
      <c r="F84" s="1550" t="n"/>
    </row>
    <row r="85">
      <c r="B85" s="1501" t="inlineStr">
        <is>
          <t>RENOVATION/DEFERRED MAINTENANCE</t>
        </is>
      </c>
    </row>
    <row r="86" ht="30" customHeight="1" s="1439">
      <c r="B86" s="1074" t="inlineStr">
        <is>
          <t>Recent Renovations or
 Replacements</t>
        </is>
      </c>
      <c r="C86" s="1500" t="inlineStr">
        <is>
          <t>None reported</t>
        </is>
      </c>
    </row>
    <row r="87">
      <c r="B87" s="809" t="inlineStr">
        <is>
          <t>Deferred Maintenance</t>
        </is>
      </c>
      <c r="C87" s="1500" t="inlineStr">
        <is>
          <t>None reported. General maintenance items only.</t>
        </is>
      </c>
    </row>
    <row r="88">
      <c r="B88" s="809" t="inlineStr">
        <is>
          <t>Cost to Cure</t>
        </is>
      </c>
      <c r="C88" s="1520">
        <f>pdCosttoCure</f>
        <v/>
      </c>
      <c r="D88" s="1511" t="n"/>
      <c r="E88" s="1511" t="n"/>
      <c r="F88" s="1511" t="n"/>
    </row>
    <row r="89">
      <c r="B89" s="816" t="n"/>
      <c r="C89" s="817" t="n"/>
      <c r="D89" s="816" t="n"/>
      <c r="E89" s="816" t="n"/>
      <c r="F89" s="816" t="n"/>
    </row>
    <row r="90">
      <c r="B90" s="1550" t="n"/>
      <c r="C90" s="815" t="n"/>
      <c r="D90" s="1550" t="n"/>
      <c r="E90" s="1550" t="n"/>
      <c r="F90" s="1550" t="n"/>
    </row>
    <row r="91">
      <c r="B91" s="1501" t="inlineStr">
        <is>
          <t>SUMMARY</t>
        </is>
      </c>
    </row>
    <row r="92">
      <c r="B92" s="807" t="inlineStr">
        <is>
          <t>Building Condition</t>
        </is>
      </c>
      <c r="C92" s="1512">
        <f>FE!U129</f>
        <v/>
      </c>
    </row>
    <row r="93" ht="83.25" customHeight="1" s="1439">
      <c r="B93" s="809" t="n"/>
      <c r="C93" s="1512" t="inlineStr">
        <is>
          <t>We did not inspect the roof of the building(s) nor make a detailed inspection of the mechanical systems. We are not qualified to render an opinion as to the adequacy or condition of these components. Interested parties are urged to retain an expert in this field if detailed information is needed about the adequacy and condition of mechanical systems.</t>
        </is>
      </c>
    </row>
    <row r="94">
      <c r="B94" s="809" t="inlineStr">
        <is>
          <t>Building Quality</t>
        </is>
      </c>
      <c r="C94" s="1512">
        <f>FE!U130</f>
        <v/>
      </c>
    </row>
    <row r="95">
      <c r="B95" s="807" t="inlineStr">
        <is>
          <t>Design and Functionality</t>
        </is>
      </c>
      <c r="C95" s="1512">
        <f>FE!U131</f>
        <v/>
      </c>
    </row>
    <row r="96">
      <c r="B96" s="809" t="inlineStr">
        <is>
          <t>Actual Age</t>
        </is>
      </c>
      <c r="C96" s="1745">
        <f>2022-'Property Info'!B8</f>
        <v/>
      </c>
    </row>
    <row r="97">
      <c r="B97" s="807" t="inlineStr">
        <is>
          <t>Expected Economic Life</t>
        </is>
      </c>
      <c r="C97" s="1746" t="n">
        <v>40</v>
      </c>
    </row>
    <row r="98">
      <c r="B98" s="809" t="inlineStr">
        <is>
          <t>Effective Age</t>
        </is>
      </c>
      <c r="C98" s="1745">
        <f>'Cost Approach'!C40</f>
        <v/>
      </c>
    </row>
    <row r="99">
      <c r="B99" s="810" t="inlineStr">
        <is>
          <t>Remaining Economic Life</t>
        </is>
      </c>
      <c r="C99" s="1747">
        <f>C97-C98</f>
        <v/>
      </c>
      <c r="D99" s="1458" t="n"/>
      <c r="E99" s="1458" t="n"/>
      <c r="F99" s="1458" t="n"/>
    </row>
  </sheetData>
  <mergeCells count="84">
    <mergeCell ref="C52:F52"/>
    <mergeCell ref="C61:F61"/>
    <mergeCell ref="C72:F72"/>
    <mergeCell ref="C81:F81"/>
    <mergeCell ref="C32:F32"/>
    <mergeCell ref="C13:F13"/>
    <mergeCell ref="C78:F78"/>
    <mergeCell ref="B2:F2"/>
    <mergeCell ref="C87:F87"/>
    <mergeCell ref="C6:F6"/>
    <mergeCell ref="C62:F62"/>
    <mergeCell ref="C15:F15"/>
    <mergeCell ref="C24:F24"/>
    <mergeCell ref="C64:F64"/>
    <mergeCell ref="C79:F79"/>
    <mergeCell ref="C73:F73"/>
    <mergeCell ref="C88:F88"/>
    <mergeCell ref="C26:F26"/>
    <mergeCell ref="C54:F54"/>
    <mergeCell ref="C63:F63"/>
    <mergeCell ref="C10:F10"/>
    <mergeCell ref="C93:F93"/>
    <mergeCell ref="C50:F50"/>
    <mergeCell ref="C43:F43"/>
    <mergeCell ref="C27:F27"/>
    <mergeCell ref="C36:F36"/>
    <mergeCell ref="C17:F17"/>
    <mergeCell ref="C67:F67"/>
    <mergeCell ref="C28:F28"/>
    <mergeCell ref="B70:F70"/>
    <mergeCell ref="C3:F3"/>
    <mergeCell ref="C96:F96"/>
    <mergeCell ref="C83:F83"/>
    <mergeCell ref="C92:F92"/>
    <mergeCell ref="C30:F30"/>
    <mergeCell ref="C5:F5"/>
    <mergeCell ref="C14:F14"/>
    <mergeCell ref="B57:F57"/>
    <mergeCell ref="C98:F98"/>
    <mergeCell ref="C4:F4"/>
    <mergeCell ref="B45:F45"/>
    <mergeCell ref="B85:F85"/>
    <mergeCell ref="C71:F71"/>
    <mergeCell ref="C8:F8"/>
    <mergeCell ref="C82:F82"/>
    <mergeCell ref="C66:F66"/>
    <mergeCell ref="C18:F18"/>
    <mergeCell ref="C53:F53"/>
    <mergeCell ref="C34:F34"/>
    <mergeCell ref="C86:F86"/>
    <mergeCell ref="C68:F68"/>
    <mergeCell ref="C58:F58"/>
    <mergeCell ref="C97:F97"/>
    <mergeCell ref="C29:F29"/>
    <mergeCell ref="C94:F94"/>
    <mergeCell ref="C65:F65"/>
    <mergeCell ref="C47:F47"/>
    <mergeCell ref="C22:F22"/>
    <mergeCell ref="C31:F31"/>
    <mergeCell ref="C80:F80"/>
    <mergeCell ref="C12:F12"/>
    <mergeCell ref="C46:F46"/>
    <mergeCell ref="C21:F21"/>
    <mergeCell ref="C51:F51"/>
    <mergeCell ref="C95:F95"/>
    <mergeCell ref="C60:F60"/>
    <mergeCell ref="B91:F91"/>
    <mergeCell ref="C23:F23"/>
    <mergeCell ref="C48:F48"/>
    <mergeCell ref="C7:F7"/>
    <mergeCell ref="B77:F77"/>
    <mergeCell ref="C49:F49"/>
    <mergeCell ref="C33:F33"/>
    <mergeCell ref="C42:F42"/>
    <mergeCell ref="C74:F74"/>
    <mergeCell ref="C35:F35"/>
    <mergeCell ref="C16:F16"/>
    <mergeCell ref="C25:F25"/>
    <mergeCell ref="C55:F55"/>
    <mergeCell ref="C99:F99"/>
    <mergeCell ref="C9:F9"/>
    <mergeCell ref="C75:F75"/>
    <mergeCell ref="C59:F59"/>
    <mergeCell ref="C11:F11"/>
  </mergeCell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B1:C15"/>
  <sheetViews>
    <sheetView topLeftCell="B6" zoomScale="115" zoomScaleNormal="115" workbookViewId="0">
      <selection activeCell="H5" sqref="H5"/>
    </sheetView>
  </sheetViews>
  <sheetFormatPr baseColWidth="8" defaultRowHeight="15"/>
  <cols>
    <col width="14.140625" bestFit="1" customWidth="1" style="1439" min="2" max="2"/>
    <col width="112.7109375" customWidth="1" style="1439" min="3" max="3"/>
  </cols>
  <sheetData>
    <row r="1" ht="30" customHeight="1" s="1439">
      <c r="C1" s="1208" t="inlineStr">
        <is>
          <t xml:space="preserve">NOTE: Most of the below text is standard boilerplate and should remain the same. Read through and change only the descriptions as they pertain to your property. </t>
        </is>
      </c>
    </row>
    <row r="3">
      <c r="B3" s="821" t="inlineStr">
        <is>
          <t>AS IF VACANT</t>
        </is>
      </c>
      <c r="C3" s="822" t="n"/>
    </row>
    <row r="4" ht="124.5" customHeight="1" s="1439">
      <c r="B4" s="818" t="inlineStr">
        <is>
          <t>Legally</t>
        </is>
      </c>
      <c r="C4" s="1227" t="inlineStr">
        <is>
          <t xml:space="preserve">Legal restrictions include deed restrictions, CC&amp;R’s, lease encumbrances, zoning requirements, building codes, historic district controls and environmental regulations, and were previously analyzed to determine legally permitted uses.  Legally, the subject is zoned I-1 (Light Industrial). The purpose of the Industrial‐1 District is to provide a general commercial and limited industrial district designed to provide for a variety of compatible business, warehouse, wholesale, offices and very limited industrial uses. Special uses are permitted in an Industrial‐1 District, subject to the issuance of a Special Use Permit from the Board of Adjustment. Temporary uses are permitted in the Industrial‐1 District, subject to the issuance of a Temporary Use Permit from the Director of Community and Economic Development. Allowable uses include but are not limited to storage, distribution, wholesale, office/flex, warehousing, maintenance, and light manufacturing. </t>
        </is>
      </c>
    </row>
    <row r="5" ht="81.75" customHeight="1" s="1439">
      <c r="B5" s="819" t="inlineStr">
        <is>
          <t>Physically</t>
        </is>
      </c>
      <c r="C5" s="1228" t="inlineStr">
        <is>
          <t>Size, shape, topography, soil condition, availability of utilities, transportation access, surrounding uses, and locational characteristics were previously analyzed to determine which legal land uses are physically possible and which are best to conform to the physical and locational aspects of the site and its setting with respect to the neighborhood and community.  Overall, the physical site attributes result in adequate utility, and the property could be developed with a variety of legally-conforming uses.  Given the surrounding uses and location, the site is best suited for light industrial use.</t>
        </is>
      </c>
    </row>
    <row r="6" ht="113.25" customHeight="1" s="1439">
      <c r="B6" s="819" t="inlineStr">
        <is>
          <t>Financially</t>
        </is>
      </c>
      <c r="C6" s="1229" t="inlineStr">
        <is>
          <t>Financial feasibility is determined by the relationship of supply and demand for the legally probable land uses versus the cost to create them.  The market analysis section reveals that industrial uses in the subject's market are generally stabilized.  Ongoing industrial development during the period in question throughout the market area serve as direct evidence that new industrial development was financially feasible at this time.  Comparisons of rental rates, operating expenses and construction costs indicate the subject property would have been capable of providing an adequate return on investment to warrant new industrial development in the market.  This assertion is supported by the fact that the property has the potential to generate rental income as shown in the income approach.  Therefore, industrial use is considered financially feasible.</t>
        </is>
      </c>
    </row>
    <row r="7" ht="75" customHeight="1" s="1439">
      <c r="B7" s="820" t="inlineStr">
        <is>
          <t>Maximally</t>
        </is>
      </c>
      <c r="C7" s="1230" t="inlineStr">
        <is>
          <t>The final test of highest and best use of the site as vacant is that the use be maximally productive, yielding the highest return to the land.  In order to determine the maximally productive use, a comparison of rental rates, occupancy, operating expenses, and rates of return for the financially feasible uses have been made.  Based on this analysis, light industrial use renders the highest residual land value; therefore, light industrial development on the subject's site is the maximally productive use of the subject as vacant.</t>
        </is>
      </c>
    </row>
    <row r="8" hidden="1" s="1439">
      <c r="C8" s="1075" t="n"/>
    </row>
    <row r="9" hidden="1" s="1439">
      <c r="C9" s="1075" t="n"/>
    </row>
    <row r="10" ht="6" customHeight="1" s="1439">
      <c r="B10" s="887" t="n"/>
      <c r="C10" s="1075" t="n"/>
    </row>
    <row r="11">
      <c r="B11" s="821" t="inlineStr">
        <is>
          <t>AS IMPROVED</t>
        </is>
      </c>
      <c r="C11" s="822" t="n"/>
    </row>
    <row r="12" ht="30" customHeight="1" s="1439">
      <c r="B12" s="818" t="inlineStr">
        <is>
          <t>Legally</t>
        </is>
      </c>
      <c r="C12" s="1227" t="inlineStr">
        <is>
          <t xml:space="preserve">The subject is a legal conforming use in the I-1 zoning district. No other known legal encumbrances exists that limit use or function on the improved property. </t>
        </is>
      </c>
    </row>
    <row r="13" ht="30" customHeight="1" s="1439">
      <c r="B13" s="819" t="inlineStr">
        <is>
          <t>Physically</t>
        </is>
      </c>
      <c r="C13" s="1229" t="inlineStr">
        <is>
          <t>The subject is currently improved with a 33,950 square foot industrial building, located on a 2.49-acre site that conforms to its surrounding uses.  Continued used of the improvements for industrial use is physically possible.</t>
        </is>
      </c>
    </row>
    <row r="14" ht="75" customHeight="1" s="1439">
      <c r="B14" s="819" t="inlineStr">
        <is>
          <t>Financially</t>
        </is>
      </c>
      <c r="C14" s="1229" t="inlineStr">
        <is>
          <t>Financial feasibility as an income-producing investment is based on the amount of rental income it can generate net of the required operating expenses.  If the resulting net operating income motivates continued operation, then the land is being put to a productive and financially feasible use.  The subject is capable of producing positive net cash flow to an investor.  The existing improvements provide contributory value to the site, and there is no alternate use that would result in a greater value.  Therefore, utilization of the existing improvements is financially feasible.</t>
        </is>
      </c>
    </row>
    <row r="15" ht="75" customHeight="1" s="1439">
      <c r="B15" s="820" t="inlineStr">
        <is>
          <t>Maximally</t>
        </is>
      </c>
      <c r="C15" s="1230" t="inlineStr">
        <is>
          <t>The maximally productive use should conform to neighborhood trends and be consistent with existing nearby land uses.  The single use that produces the greatest return on investment and usually the highest price and value is typically the highest and best use.  As shown in the applicable valuation sections, properties like the subject have been acquired and continue to be used for industrial use.  None of the comparable properties were acquired for conversion to an alternative use.  This provides evidence suggesting that the current industrial use is maximally productive.</t>
        </is>
      </c>
    </row>
  </sheetData>
  <dataValidations xWindow="615" yWindow="1174" count="2">
    <dataValidation sqref="C12" showDropDown="0" showInputMessage="1" showErrorMessage="1" allowBlank="1" promptTitle="Legal, As Improved" prompt="The Legal Default option = the Zoning Compliance paragraph (found on Zoning tab).  If left blank there, it will be blank here._x000a__x000a_Review autopopulated paragraphs.  This is what will link to your Word doc."/>
    <dataValidation sqref="C4:C7 C13:C15" showDropDown="0" showInputMessage="1" showErrorMessage="1" allowBlank="1" prompt="Review autopopulated paragraphs.  This is what will link to your Word doc."/>
  </dataValidation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fitToPage="1"/>
  </sheetPr>
  <dimension ref="C2:J37"/>
  <sheetViews>
    <sheetView showGridLines="0" zoomScale="130" zoomScaleNormal="130" workbookViewId="0">
      <selection activeCell="D7" sqref="D7"/>
    </sheetView>
  </sheetViews>
  <sheetFormatPr baseColWidth="8" defaultRowHeight="15"/>
  <cols>
    <col width="31.85546875" customWidth="1" style="1439" min="3" max="3"/>
    <col width="12.85546875" customWidth="1" style="1439" min="4" max="4"/>
    <col width="19.42578125" bestFit="1" customWidth="1" style="1439" min="5" max="5"/>
    <col width="4.140625" customWidth="1" style="1439" min="6" max="6"/>
    <col width="26.140625" bestFit="1" customWidth="1" style="1439" min="7" max="7"/>
    <col width="17.7109375" bestFit="1" customWidth="1" style="1439" min="8" max="8"/>
    <col width="20.7109375" customWidth="1" style="1439" min="9" max="10"/>
  </cols>
  <sheetData>
    <row r="2">
      <c r="C2" s="1528" t="inlineStr">
        <is>
          <t>VALUE INDICATIONS</t>
        </is>
      </c>
    </row>
    <row r="3" ht="15" customHeight="1" s="1439">
      <c r="C3" s="240" t="inlineStr">
        <is>
          <t>As Is - Land Value Only</t>
        </is>
      </c>
      <c r="D3" s="240" t="n"/>
      <c r="E3" s="240" t="n"/>
      <c r="F3" s="240" t="n"/>
    </row>
    <row r="4" ht="15" customHeight="1" s="1439">
      <c r="C4" s="170" t="inlineStr">
        <is>
          <t>Sales Comparison Approach</t>
        </is>
      </c>
      <c r="D4" s="1748">
        <f>'Land Sales'!C66</f>
        <v/>
      </c>
      <c r="E4" s="1749">
        <f>D4/'Property Info'!B11</f>
        <v/>
      </c>
      <c r="F4" s="186" t="inlineStr">
        <is>
          <t>Per Square Foot (LA)</t>
        </is>
      </c>
    </row>
    <row r="5" ht="15" customHeight="1" s="1439">
      <c r="C5" s="188" t="inlineStr">
        <is>
          <t>Value Conclusion - As Is</t>
        </is>
      </c>
      <c r="D5" s="1750">
        <f>D4</f>
        <v/>
      </c>
      <c r="E5" s="1751">
        <f>E4</f>
        <v/>
      </c>
      <c r="F5" s="188">
        <f>F4</f>
        <v/>
      </c>
    </row>
    <row r="6" ht="15" customHeight="1" s="1439">
      <c r="C6" s="1530" t="inlineStr">
        <is>
          <t>As Is - Retrospective Market Value - Fee Simple Estate</t>
        </is>
      </c>
      <c r="D6" s="1468" t="n"/>
      <c r="E6" s="1468" t="n"/>
      <c r="F6" s="1468" t="n"/>
    </row>
    <row r="7" ht="15" customHeight="1" s="1439">
      <c r="C7" s="170" t="inlineStr">
        <is>
          <t>Cost Approach</t>
        </is>
      </c>
      <c r="D7" s="1748" t="inlineStr">
        <is>
          <t>Not Developed</t>
        </is>
      </c>
      <c r="E7" s="1752" t="n"/>
      <c r="F7" s="186" t="n"/>
    </row>
    <row r="8" ht="15" customHeight="1" s="1439">
      <c r="C8" s="170" t="inlineStr">
        <is>
          <t>Sales Comparison Approach</t>
        </is>
      </c>
      <c r="D8" s="1748">
        <f>'Basic Sales Grid'!D46</f>
        <v/>
      </c>
      <c r="E8" s="1753">
        <f>D8/'Property Info'!B4</f>
        <v/>
      </c>
      <c r="F8" s="1248">
        <f>FE!B14</f>
        <v/>
      </c>
    </row>
    <row r="9" ht="15" customHeight="1" s="1439">
      <c r="C9" s="170" t="inlineStr">
        <is>
          <t>Income Capitalization Approach</t>
        </is>
      </c>
      <c r="D9" s="1748" t="n"/>
      <c r="E9" s="1752" t="n"/>
      <c r="F9" s="186" t="n"/>
    </row>
    <row r="10" ht="15" customHeight="1" s="1439">
      <c r="C10" s="170" t="inlineStr">
        <is>
          <t xml:space="preserve">     Direct Capitalization</t>
        </is>
      </c>
      <c r="D10" s="1748">
        <f>'Income Approach'!C65</f>
        <v/>
      </c>
      <c r="E10" s="1753">
        <f>D10/'Property Info'!B6</f>
        <v/>
      </c>
      <c r="F10" s="186">
        <f>F8</f>
        <v/>
      </c>
    </row>
    <row r="11" ht="15" customHeight="1" s="1439">
      <c r="C11" s="153" t="inlineStr">
        <is>
          <t>Approach Reliance</t>
        </is>
      </c>
      <c r="D11" s="339">
        <f>IF(FE!B14="GBA",'Final Value'!C8,'Final Value'!C9)</f>
        <v/>
      </c>
      <c r="E11" s="1754" t="n"/>
      <c r="F11" s="339" t="n"/>
    </row>
    <row r="12" ht="15" customHeight="1" s="1439">
      <c r="C12" s="158" t="inlineStr">
        <is>
          <t>Value Conclusion</t>
        </is>
      </c>
      <c r="D12" s="1755">
        <f>D10</f>
        <v/>
      </c>
      <c r="E12" s="1756">
        <f>D12/'Property Info'!B4</f>
        <v/>
      </c>
      <c r="F12" s="158">
        <f>F8</f>
        <v/>
      </c>
    </row>
    <row r="13" hidden="1" ht="15" customHeight="1" s="1439">
      <c r="C13" s="240" t="inlineStr">
        <is>
          <t>As Is</t>
        </is>
      </c>
      <c r="D13" s="240" t="n"/>
      <c r="E13" s="240" t="n"/>
      <c r="F13" s="240" t="n"/>
    </row>
    <row r="14" hidden="1" ht="15" customHeight="1" s="1439">
      <c r="C14" s="170" t="inlineStr">
        <is>
          <t>Sales Comparison Approach</t>
        </is>
      </c>
      <c r="D14" s="1748">
        <f>'Basic Sales Grid'!D46</f>
        <v/>
      </c>
      <c r="E14" s="1757">
        <f>D14/'Property Info'!B4</f>
        <v/>
      </c>
      <c r="F14" s="186" t="inlineStr">
        <is>
          <t>Per Square Foot (GBA)</t>
        </is>
      </c>
    </row>
    <row r="15" hidden="1" ht="15" customHeight="1" s="1439">
      <c r="C15" s="170" t="inlineStr">
        <is>
          <t>Income Capitalization Approach</t>
        </is>
      </c>
      <c r="D15" s="1748" t="n"/>
      <c r="E15" s="1749" t="n"/>
      <c r="F15" s="186" t="n"/>
    </row>
    <row r="16" hidden="1" ht="15" customHeight="1" s="1439">
      <c r="C16" s="170" t="inlineStr">
        <is>
          <t xml:space="preserve">     Direct Capitalization</t>
        </is>
      </c>
      <c r="D16" s="1748" t="n">
        <v>1445000</v>
      </c>
      <c r="E16" s="1749">
        <f>D16/3112</f>
        <v/>
      </c>
      <c r="F16" s="186">
        <f>F14</f>
        <v/>
      </c>
    </row>
    <row r="17" hidden="1" ht="15" customHeight="1" s="1439">
      <c r="C17" s="153" t="inlineStr">
        <is>
          <t>Approach Reliance</t>
        </is>
      </c>
      <c r="D17" s="339" t="inlineStr">
        <is>
          <t>Sales Comparison Approach</t>
        </is>
      </c>
      <c r="E17" s="339" t="n"/>
      <c r="F17" s="339" t="n"/>
    </row>
    <row r="18" hidden="1" ht="15" customHeight="1" s="1439">
      <c r="C18" s="158">
        <f>"Value Conclusion - "&amp;PROPER(bbValueConditionScen1)&amp;""</f>
        <v/>
      </c>
      <c r="D18" s="1755">
        <f>D14</f>
        <v/>
      </c>
      <c r="E18" s="1758">
        <f>E14</f>
        <v/>
      </c>
      <c r="F18" s="158">
        <f>F14</f>
        <v/>
      </c>
    </row>
    <row r="19" hidden="1" ht="15" customHeight="1" s="1439">
      <c r="C19" s="170" t="inlineStr">
        <is>
          <t>Exposure Time</t>
        </is>
      </c>
      <c r="D19" s="243" t="inlineStr">
        <is>
          <t>12 months</t>
        </is>
      </c>
      <c r="E19" s="13" t="n"/>
      <c r="F19" s="186" t="n"/>
    </row>
    <row r="20" hidden="1" ht="15" customHeight="1" s="1439">
      <c r="C20" s="104" t="inlineStr">
        <is>
          <t>Marketing Time</t>
        </is>
      </c>
      <c r="D20" s="244" t="inlineStr">
        <is>
          <t>12 months</t>
        </is>
      </c>
      <c r="E20" s="245" t="n"/>
      <c r="F20" s="14" t="n"/>
    </row>
    <row r="21">
      <c r="G21" s="1531" t="inlineStr">
        <is>
          <t>MARKET VALUE CONCLUSION</t>
        </is>
      </c>
    </row>
    <row r="22">
      <c r="G22" s="1065" t="inlineStr">
        <is>
          <t>Appraisal Premise</t>
        </is>
      </c>
      <c r="H22" s="1065" t="inlineStr">
        <is>
          <t>Interest Appraised</t>
        </is>
      </c>
      <c r="I22" s="1065" t="inlineStr">
        <is>
          <t>Date of Value</t>
        </is>
      </c>
      <c r="J22" s="1065" t="inlineStr">
        <is>
          <t>Value Conclusion</t>
        </is>
      </c>
    </row>
    <row r="23">
      <c r="G23" s="1759" t="inlineStr">
        <is>
          <t>Retrospective Market Value</t>
        </is>
      </c>
      <c r="H23" s="1067" t="inlineStr">
        <is>
          <t xml:space="preserve">Fee Simple </t>
        </is>
      </c>
      <c r="I23" s="1760">
        <f>'Property Info'!B26</f>
        <v/>
      </c>
      <c r="J23" s="1761">
        <f>D12</f>
        <v/>
      </c>
    </row>
    <row r="26" hidden="1" s="1439">
      <c r="G26" s="1529" t="inlineStr">
        <is>
          <t>6 MONTH LIQUIDATION VALUE CONCLUSION</t>
        </is>
      </c>
    </row>
    <row r="27" hidden="1" s="1439">
      <c r="G27" s="1640" t="inlineStr">
        <is>
          <t>Appraisal Premise</t>
        </is>
      </c>
      <c r="H27" s="1640" t="inlineStr">
        <is>
          <t>Interest Appraised</t>
        </is>
      </c>
      <c r="I27" s="1640" t="inlineStr">
        <is>
          <t>Date of Value</t>
        </is>
      </c>
      <c r="J27" s="1640" t="inlineStr">
        <is>
          <t>Value Conclusion</t>
        </is>
      </c>
    </row>
    <row r="28" hidden="1" s="1439">
      <c r="G28" s="1762">
        <f>bbValueNameScen1</f>
        <v/>
      </c>
      <c r="H28" s="247" t="inlineStr">
        <is>
          <t xml:space="preserve">Fee Simple </t>
        </is>
      </c>
      <c r="I28" s="1763" t="n">
        <v>43132</v>
      </c>
      <c r="J28" s="1764" t="n">
        <v>325000</v>
      </c>
    </row>
    <row r="29" hidden="1" s="1439"/>
    <row r="30" hidden="1" s="1439">
      <c r="G30" s="1529" t="inlineStr">
        <is>
          <t>HYPOTHETICAL MARKET VALUE CONCLUSION (UNDERLYING LAND ONLY)</t>
        </is>
      </c>
    </row>
    <row r="31" hidden="1" s="1439">
      <c r="G31" s="1640" t="inlineStr">
        <is>
          <t>Appraisal Premise</t>
        </is>
      </c>
      <c r="H31" s="1640" t="inlineStr">
        <is>
          <t>Interest Appraised</t>
        </is>
      </c>
      <c r="I31" s="1640" t="inlineStr">
        <is>
          <t>Date of Value</t>
        </is>
      </c>
      <c r="J31" s="1640" t="inlineStr">
        <is>
          <t>Value Conclusion</t>
        </is>
      </c>
    </row>
    <row r="32" hidden="1" s="1439">
      <c r="G32" s="1762" t="inlineStr">
        <is>
          <t>As If Vacant</t>
        </is>
      </c>
      <c r="H32" s="247" t="inlineStr">
        <is>
          <t xml:space="preserve">Fee Simple </t>
        </is>
      </c>
      <c r="I32" s="1763" t="n">
        <v>43132</v>
      </c>
      <c r="J32" s="1764" t="n">
        <v>200000</v>
      </c>
    </row>
    <row r="33" hidden="1" s="1439"/>
    <row r="34" hidden="1" s="1439">
      <c r="G34" s="1529" t="inlineStr">
        <is>
          <t>PROSPECTIVE MARKET VALUE CONCLUSION</t>
        </is>
      </c>
    </row>
    <row r="35" hidden="1" s="1439">
      <c r="G35" s="1640" t="inlineStr">
        <is>
          <t>Appraisal Premise</t>
        </is>
      </c>
      <c r="H35" s="1640" t="inlineStr">
        <is>
          <t>Interest Appraised</t>
        </is>
      </c>
      <c r="I35" s="1640" t="inlineStr">
        <is>
          <t>Date of Value</t>
        </is>
      </c>
      <c r="J35" s="1640" t="inlineStr">
        <is>
          <t>Value Conclusion</t>
        </is>
      </c>
    </row>
    <row r="36" hidden="1" s="1439">
      <c r="G36" s="1762" t="inlineStr">
        <is>
          <t>Upon Completion</t>
        </is>
      </c>
      <c r="H36" s="247" t="inlineStr">
        <is>
          <t xml:space="preserve">Fee Simple </t>
        </is>
      </c>
      <c r="I36" s="1763" t="n">
        <v>43830</v>
      </c>
      <c r="J36" s="1764">
        <f>D12</f>
        <v/>
      </c>
    </row>
    <row r="37">
      <c r="E37" s="1692" t="n"/>
    </row>
  </sheetData>
  <mergeCells count="6">
    <mergeCell ref="G26:J26"/>
    <mergeCell ref="G34:J34"/>
    <mergeCell ref="C6:F6"/>
    <mergeCell ref="G30:J30"/>
    <mergeCell ref="G21:J21"/>
    <mergeCell ref="C2:F2"/>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B1:R67"/>
  <sheetViews>
    <sheetView topLeftCell="B1" zoomScale="85" zoomScaleNormal="85" workbookViewId="0">
      <selection activeCell="O10" sqref="O10"/>
    </sheetView>
  </sheetViews>
  <sheetFormatPr baseColWidth="8" defaultColWidth="9.140625" defaultRowHeight="15"/>
  <cols>
    <col width="9.140625" customWidth="1" style="1450" min="1" max="1"/>
    <col width="33.85546875" customWidth="1" style="1439" min="2" max="2"/>
    <col width="25.7109375" customWidth="1" style="1439" min="3" max="3"/>
    <col hidden="1" width="21.85546875" customWidth="1" style="1439" min="4" max="4"/>
    <col width="27.28515625" customWidth="1" style="1533" min="5" max="5"/>
    <col hidden="1" width="21.85546875" customWidth="1" style="1439" min="6" max="6"/>
    <col width="27.28515625" customWidth="1" style="1533" min="7" max="7"/>
    <col hidden="1" width="22" customWidth="1" style="1439" min="8" max="8"/>
    <col width="27.28515625" customWidth="1" style="1533" min="9" max="9"/>
    <col hidden="1" width="21.85546875" customWidth="1" style="1439" min="10" max="10"/>
    <col width="27.28515625" customWidth="1" style="1533" min="11" max="11"/>
    <col hidden="1" width="21.85546875" customWidth="1" style="1439" min="12" max="12"/>
    <col hidden="1" width="8.7109375" customWidth="1" style="1439" min="13" max="13"/>
    <col width="9.140625" customWidth="1" style="1450" min="14" max="14"/>
    <col width="31.85546875" customWidth="1" style="1450" min="15" max="15"/>
    <col width="9.140625" customWidth="1" style="1450" min="16" max="16"/>
  </cols>
  <sheetData>
    <row r="1">
      <c r="B1" s="1275" t="inlineStr">
        <is>
          <t xml:space="preserve">NOTES: </t>
        </is>
      </c>
      <c r="C1" s="1276" t="n"/>
      <c r="D1" s="1276" t="n"/>
      <c r="E1" s="1277" t="n"/>
    </row>
    <row r="2">
      <c r="B2" s="1278" t="inlineStr">
        <is>
          <t>Change Highlighted fields only</t>
        </is>
      </c>
      <c r="C2" s="1145" t="n"/>
      <c r="D2" s="1145" t="n"/>
      <c r="E2" s="1279" t="n"/>
    </row>
    <row r="3">
      <c r="B3" s="1278" t="inlineStr">
        <is>
          <t>Change highlighted areas to WHITE when complete</t>
        </is>
      </c>
      <c r="C3" s="1145" t="n"/>
      <c r="D3" s="1145" t="n"/>
      <c r="E3" s="1279" t="n"/>
    </row>
    <row r="4">
      <c r="B4" s="1278" t="inlineStr">
        <is>
          <t>Check all cells for accuracy after completing</t>
        </is>
      </c>
      <c r="C4" s="1145" t="n"/>
      <c r="D4" s="1145" t="n"/>
      <c r="E4" s="1279" t="n"/>
    </row>
    <row r="5" ht="15.75" customHeight="1" s="1439" thickBot="1">
      <c r="B5" s="1280" t="inlineStr">
        <is>
          <t>Remember to spell check every worksheet as you go.</t>
        </is>
      </c>
      <c r="C5" s="1281" t="n"/>
      <c r="D5" s="1281" t="n"/>
      <c r="E5" s="1282" t="n"/>
    </row>
    <row r="7">
      <c r="B7" s="1536" t="inlineStr">
        <is>
          <t>COMPARABLE SALE ADJUSTMENT GRID</t>
        </is>
      </c>
    </row>
    <row r="8">
      <c r="B8" s="801" t="n"/>
      <c r="C8" s="801" t="inlineStr">
        <is>
          <t>Subject</t>
        </is>
      </c>
      <c r="D8" s="1532" t="inlineStr">
        <is>
          <t>Sale 1</t>
        </is>
      </c>
      <c r="F8" s="1532" t="inlineStr">
        <is>
          <t>Sale 2</t>
        </is>
      </c>
      <c r="H8" s="1532" t="inlineStr">
        <is>
          <t>Sale 3</t>
        </is>
      </c>
      <c r="J8" s="1532" t="inlineStr">
        <is>
          <t>Sale 4</t>
        </is>
      </c>
      <c r="L8" s="1543" t="inlineStr">
        <is>
          <t>Sale 5</t>
        </is>
      </c>
    </row>
    <row r="9">
      <c r="B9" s="840" t="inlineStr">
        <is>
          <t>Address</t>
        </is>
      </c>
      <c r="C9" s="841">
        <f>'Property Info'!B16</f>
        <v/>
      </c>
      <c r="D9" s="1077" t="n"/>
      <c r="E9" s="1254" t="inlineStr">
        <is>
          <t>3600 Chambers Road</t>
        </is>
      </c>
      <c r="F9" s="1077" t="n"/>
      <c r="G9" s="1254" t="inlineStr">
        <is>
          <t>TBD - E 96th Avenue</t>
        </is>
      </c>
      <c r="H9" s="1077" t="n"/>
      <c r="I9" s="1254" t="inlineStr">
        <is>
          <t>2021 E 68th Avenue</t>
        </is>
      </c>
      <c r="J9" s="1076" t="n"/>
      <c r="K9" s="1255" t="inlineStr">
        <is>
          <t>6100 E 48th Avenue</t>
        </is>
      </c>
      <c r="L9" s="1538" t="inlineStr">
        <is>
          <t>10480-10555 West 63rd Place</t>
        </is>
      </c>
    </row>
    <row r="10" ht="30" customHeight="1" s="1439">
      <c r="B10" s="840" t="inlineStr">
        <is>
          <t>City, State</t>
        </is>
      </c>
      <c r="C10" s="842">
        <f>'Property Info'!B17</f>
        <v/>
      </c>
      <c r="D10" s="1076" t="n"/>
      <c r="E10" s="1255" t="inlineStr">
        <is>
          <t>Aurora, CO</t>
        </is>
      </c>
      <c r="F10" s="1076" t="n"/>
      <c r="G10" s="1255" t="inlineStr">
        <is>
          <t>Commerce City, CO</t>
        </is>
      </c>
      <c r="H10" s="1076" t="n"/>
      <c r="I10" s="1255" t="inlineStr">
        <is>
          <t>Denver, CO</t>
        </is>
      </c>
      <c r="J10" s="1076" t="n"/>
      <c r="K10" s="1255" t="inlineStr">
        <is>
          <t>Denver, CO</t>
        </is>
      </c>
      <c r="L10" s="1538" t="inlineStr">
        <is>
          <t>Arvada, CO</t>
        </is>
      </c>
    </row>
    <row r="11" ht="27" customHeight="1" s="1439">
      <c r="B11" s="840" t="inlineStr">
        <is>
          <t>Account/Parcel Number</t>
        </is>
      </c>
      <c r="C11" s="842">
        <f>'Property Info'!B1</f>
        <v/>
      </c>
      <c r="D11" s="1076" t="n"/>
      <c r="E11" s="1255" t="inlineStr">
        <is>
          <t>1821-29-2-18-001</t>
        </is>
      </c>
      <c r="F11" s="1076" t="n"/>
      <c r="G11" s="1255" t="inlineStr">
        <is>
          <t>1721-21-1-03-002</t>
        </is>
      </c>
      <c r="H11" s="1076" t="n"/>
      <c r="I11" s="1255" t="inlineStr">
        <is>
          <t>1825-023-04-013</t>
        </is>
      </c>
      <c r="J11" s="1077" t="n"/>
      <c r="K11" s="1254" t="inlineStr">
        <is>
          <t>1202-00-098-000</t>
        </is>
      </c>
      <c r="L11" s="1537" t="inlineStr">
        <is>
          <t>39-091-07-003</t>
        </is>
      </c>
    </row>
    <row r="12">
      <c r="B12" s="840" t="inlineStr">
        <is>
          <t>Property Type</t>
        </is>
      </c>
      <c r="C12" s="1249" t="inlineStr">
        <is>
          <t>Industrial Land</t>
        </is>
      </c>
      <c r="D12" s="1076" t="n"/>
      <c r="E12" s="1255" t="inlineStr">
        <is>
          <t>Industrial Land</t>
        </is>
      </c>
      <c r="F12" s="1076" t="n"/>
      <c r="G12" s="1255" t="inlineStr">
        <is>
          <t>Industrial Land</t>
        </is>
      </c>
      <c r="H12" s="1076" t="n"/>
      <c r="I12" s="1255" t="inlineStr">
        <is>
          <t>Industrial Land</t>
        </is>
      </c>
      <c r="J12" s="1076" t="n"/>
      <c r="K12" s="1255" t="inlineStr">
        <is>
          <t>Industrial Land</t>
        </is>
      </c>
      <c r="L12" s="1538" t="inlineStr">
        <is>
          <t>Commercial Land</t>
        </is>
      </c>
    </row>
    <row r="13">
      <c r="B13" s="840" t="inlineStr">
        <is>
          <t>Sale Date</t>
        </is>
      </c>
      <c r="C13" s="1250" t="inlineStr">
        <is>
          <t>N/A</t>
        </is>
      </c>
      <c r="D13" s="1765" t="n"/>
      <c r="E13" s="1766" t="n">
        <v>43998</v>
      </c>
      <c r="F13" s="1765" t="n"/>
      <c r="G13" s="1766" t="n">
        <v>43969</v>
      </c>
      <c r="H13" s="1765" t="n"/>
      <c r="I13" s="1766" t="n">
        <v>43766</v>
      </c>
      <c r="J13" s="1765" t="n"/>
      <c r="K13" s="1766" t="n">
        <v>43747</v>
      </c>
      <c r="L13" s="1767" t="inlineStr">
        <is>
          <t>Under Contract</t>
        </is>
      </c>
    </row>
    <row r="14" ht="12.6" customHeight="1" s="1439">
      <c r="B14" s="840" t="inlineStr">
        <is>
          <t>Sale Price</t>
        </is>
      </c>
      <c r="C14" s="1768" t="inlineStr">
        <is>
          <t>N/A</t>
        </is>
      </c>
      <c r="D14" s="1769" t="n"/>
      <c r="E14" s="1770" t="n">
        <v>1800000</v>
      </c>
      <c r="F14" s="1769" t="n"/>
      <c r="G14" s="1770" t="n">
        <v>1100000</v>
      </c>
      <c r="H14" s="1769" t="n"/>
      <c r="I14" s="1770" t="n">
        <v>1350000</v>
      </c>
      <c r="J14" s="1769" t="n"/>
      <c r="K14" s="1770" t="n">
        <v>795000</v>
      </c>
      <c r="L14" s="1771" t="inlineStr">
        <is>
          <t>TBD</t>
        </is>
      </c>
    </row>
    <row r="15" ht="12.6" customHeight="1" s="1439">
      <c r="B15" s="840" t="inlineStr">
        <is>
          <t>Listing Price</t>
        </is>
      </c>
      <c r="C15" s="1768" t="inlineStr">
        <is>
          <t>N/A</t>
        </is>
      </c>
      <c r="D15" s="1769" t="n"/>
      <c r="E15" s="1770" t="inlineStr">
        <is>
          <t>Not Reported</t>
        </is>
      </c>
      <c r="F15" s="1769" t="n"/>
      <c r="G15" s="1770" t="n">
        <v>1224040</v>
      </c>
      <c r="H15" s="1769" t="n"/>
      <c r="I15" s="1770" t="n">
        <v>1600000</v>
      </c>
      <c r="J15" s="1769" t="n"/>
      <c r="K15" s="1770" t="inlineStr">
        <is>
          <t>Not Reported</t>
        </is>
      </c>
      <c r="L15" s="1771" t="n">
        <v>500000</v>
      </c>
    </row>
    <row r="16" ht="12.6" customHeight="1" s="1439">
      <c r="B16" s="840" t="inlineStr">
        <is>
          <t>Days On Market</t>
        </is>
      </c>
      <c r="C16" s="1250" t="inlineStr">
        <is>
          <t>N/A</t>
        </is>
      </c>
      <c r="D16" s="1076" t="n"/>
      <c r="E16" s="1255" t="inlineStr">
        <is>
          <t>Not Reported</t>
        </is>
      </c>
      <c r="F16" s="1076" t="n"/>
      <c r="G16" s="1255" t="n">
        <v>1117</v>
      </c>
      <c r="H16" s="1076" t="n"/>
      <c r="I16" s="1255" t="n">
        <v>259</v>
      </c>
      <c r="J16" s="1076" t="n"/>
      <c r="K16" s="1255" t="inlineStr">
        <is>
          <t>Not Reported</t>
        </is>
      </c>
      <c r="L16" s="1538" t="n">
        <v>725</v>
      </c>
    </row>
    <row r="17" ht="60" customHeight="1" s="1439">
      <c r="B17" s="840" t="inlineStr">
        <is>
          <t>Data Source</t>
        </is>
      </c>
      <c r="C17" s="1252" t="inlineStr">
        <is>
          <t>Assessor, appraiser measurements</t>
        </is>
      </c>
      <c r="D17" s="1077" t="n"/>
      <c r="E17" s="1254" t="inlineStr">
        <is>
          <t>Costar, Assessor Data, Deed, Troy DeVos (Buyer Representative)</t>
        </is>
      </c>
      <c r="F17" s="1077" t="n"/>
      <c r="G17" s="1254" t="inlineStr">
        <is>
          <t>CoStar, Assessor Data, Listing Broker (Phil Foster &amp; Co.)</t>
        </is>
      </c>
      <c r="H17" s="1077" t="n"/>
      <c r="I17" s="1254" t="inlineStr">
        <is>
          <t>CoStar, Assessor Data, Listing Broker (Mark Goodman/Goodman Commercial)</t>
        </is>
      </c>
      <c r="J17" s="1077" t="n"/>
      <c r="K17" s="1254" t="inlineStr">
        <is>
          <t>CoStar, Denver Assessor, Deed, Loan</t>
        </is>
      </c>
      <c r="L17" s="1537" t="inlineStr">
        <is>
          <t>CoStar, Assessor, Listing</t>
        </is>
      </c>
    </row>
    <row r="18" hidden="1" ht="12.6" customHeight="1" s="1439">
      <c r="B18" s="840" t="inlineStr">
        <is>
          <t>Grantor</t>
        </is>
      </c>
      <c r="C18" s="843" t="inlineStr">
        <is>
          <t>TBD</t>
        </is>
      </c>
      <c r="D18" s="1079" t="n"/>
      <c r="E18" s="1258" t="inlineStr">
        <is>
          <t>Josef Reith</t>
        </is>
      </c>
      <c r="F18" s="1079" t="n"/>
      <c r="G18" s="1258" t="inlineStr">
        <is>
          <t>Josef Reith</t>
        </is>
      </c>
      <c r="H18" s="1079" t="n"/>
      <c r="I18" s="1258" t="inlineStr">
        <is>
          <t>Josef Reith</t>
        </is>
      </c>
      <c r="J18" s="1079" t="n"/>
      <c r="K18" s="1258" t="inlineStr">
        <is>
          <t>Terry &amp; Nikki LLC</t>
        </is>
      </c>
      <c r="L18" s="1542" t="n">
        <v>4950</v>
      </c>
    </row>
    <row r="19" hidden="1" ht="12.6" customHeight="1" s="1439">
      <c r="B19" s="840" t="inlineStr">
        <is>
          <t>Grantee</t>
        </is>
      </c>
      <c r="C19" s="843" t="inlineStr">
        <is>
          <t>TBD</t>
        </is>
      </c>
      <c r="D19" s="1079" t="n"/>
      <c r="E19" s="1258" t="inlineStr">
        <is>
          <t>AGG Real Estate LLC</t>
        </is>
      </c>
      <c r="F19" s="1079" t="n"/>
      <c r="G19" s="1258" t="inlineStr">
        <is>
          <t>AGG Real Estate LLC</t>
        </is>
      </c>
      <c r="H19" s="1079" t="n"/>
      <c r="I19" s="1258" t="inlineStr">
        <is>
          <t>AGG Real Estate LLC</t>
        </is>
      </c>
      <c r="J19" s="1079" t="n"/>
      <c r="K19" s="1258" t="inlineStr">
        <is>
          <t>Dilligaff Inc</t>
        </is>
      </c>
      <c r="L19" s="1535" t="n">
        <v>4950</v>
      </c>
    </row>
    <row r="20">
      <c r="B20" s="840" t="inlineStr">
        <is>
          <t>Site Size (SF)</t>
        </is>
      </c>
      <c r="C20" s="843">
        <f>'Property Info'!B11</f>
        <v/>
      </c>
      <c r="D20" s="1079" t="n"/>
      <c r="E20" s="1258" t="n">
        <v>175405</v>
      </c>
      <c r="F20" s="1079" t="n"/>
      <c r="G20" s="1258" t="n">
        <v>122404</v>
      </c>
      <c r="H20" s="1079" t="n"/>
      <c r="I20" s="1258" t="n">
        <v>95912</v>
      </c>
      <c r="J20" s="1079" t="n"/>
      <c r="K20" s="1258" t="n">
        <v>91793</v>
      </c>
      <c r="L20" s="1535" t="n">
        <v>47916</v>
      </c>
    </row>
    <row r="21">
      <c r="B21" s="840" t="inlineStr">
        <is>
          <t xml:space="preserve">Zoning </t>
        </is>
      </c>
      <c r="C21" s="843">
        <f>'Property Info'!B29</f>
        <v/>
      </c>
      <c r="D21" s="1079" t="n"/>
      <c r="E21" s="1258" t="inlineStr">
        <is>
          <t>B-3 (Business/Commercial)</t>
        </is>
      </c>
      <c r="F21" s="1079" t="n"/>
      <c r="G21" s="1258" t="inlineStr">
        <is>
          <t>PUD-I (Industrial)</t>
        </is>
      </c>
      <c r="H21" s="1079" t="n"/>
      <c r="I21" s="1258" t="inlineStr">
        <is>
          <t>I-2 (General Industrial)</t>
        </is>
      </c>
      <c r="J21" s="1079" t="n"/>
      <c r="K21" s="1258" t="inlineStr">
        <is>
          <t>I-B (General Industrial)</t>
        </is>
      </c>
      <c r="L21" s="1535" t="inlineStr">
        <is>
          <t>B-2</t>
        </is>
      </c>
    </row>
    <row r="22" ht="48.75" customHeight="1" s="1439">
      <c r="B22" s="840" t="inlineStr">
        <is>
          <t>Comments</t>
        </is>
      </c>
      <c r="C22" s="1772" t="inlineStr">
        <is>
          <t>Industrial land</t>
        </is>
      </c>
      <c r="D22" s="1773" t="n"/>
      <c r="E22" s="1774" t="inlineStr">
        <is>
          <t xml:space="preserve">Commercial/industrial land, purchased for development. </t>
        </is>
      </c>
      <c r="F22" s="1773" t="n"/>
      <c r="G22" s="1774" t="inlineStr">
        <is>
          <t>Industrial parcel purchased for development.</t>
        </is>
      </c>
      <c r="H22" s="1773" t="n"/>
      <c r="I22" s="1774" t="inlineStr">
        <is>
          <t>Industrial parcel purchased for development.</t>
        </is>
      </c>
      <c r="J22" s="1773" t="n"/>
      <c r="K22" s="1775" t="inlineStr">
        <is>
          <t>Industrial parcel purchased for development.</t>
        </is>
      </c>
      <c r="L22" s="1776" t="inlineStr">
        <is>
          <t>Commercial lot purchased for re-development. Formerly a mini-golf center.</t>
        </is>
      </c>
      <c r="M22" s="1540" t="n"/>
    </row>
    <row r="23" ht="12.6" customHeight="1" s="1439">
      <c r="B23" s="513" t="inlineStr">
        <is>
          <t>Unadjusted Price Per SF</t>
        </is>
      </c>
      <c r="C23" s="1777" t="n"/>
      <c r="D23" s="515" t="n"/>
      <c r="E23" s="1778">
        <f>E14/E20</f>
        <v/>
      </c>
      <c r="F23" s="515" t="n"/>
      <c r="G23" s="1778">
        <f>G14/G20</f>
        <v/>
      </c>
      <c r="H23" s="515" t="n"/>
      <c r="I23" s="1778">
        <f>I14/I20</f>
        <v/>
      </c>
      <c r="J23" s="515" t="n"/>
      <c r="K23" s="1779">
        <f>K14/K20</f>
        <v/>
      </c>
      <c r="L23" s="1132" t="n"/>
      <c r="M23" s="1778">
        <f>L15/L20</f>
        <v/>
      </c>
    </row>
    <row r="24">
      <c r="B24" s="862" t="inlineStr">
        <is>
          <t>Quantified Adjustments</t>
        </is>
      </c>
      <c r="C24" s="863" t="n"/>
      <c r="D24" s="864" t="n"/>
      <c r="E24" s="865" t="n"/>
      <c r="F24" s="864" t="n"/>
      <c r="G24" s="865" t="n"/>
      <c r="H24" s="864" t="n"/>
      <c r="I24" s="865" t="n"/>
      <c r="J24" s="864" t="n"/>
      <c r="K24" s="1134" t="n"/>
      <c r="L24" s="523" t="n"/>
      <c r="M24" s="523" t="n"/>
    </row>
    <row r="25">
      <c r="B25" s="844" t="inlineStr">
        <is>
          <t>Property Rights Conveyed</t>
        </is>
      </c>
      <c r="C25" s="1091" t="inlineStr">
        <is>
          <t>Fee Simple</t>
        </is>
      </c>
      <c r="D25" s="845" t="inlineStr">
        <is>
          <t>Fee Simple</t>
        </is>
      </c>
      <c r="E25" s="1780" t="n">
        <v>0</v>
      </c>
      <c r="F25" s="1107" t="inlineStr">
        <is>
          <t>Fee Simple</t>
        </is>
      </c>
      <c r="G25" s="1780" t="n">
        <v>0</v>
      </c>
      <c r="H25" s="1107" t="inlineStr">
        <is>
          <t>Fee Simple</t>
        </is>
      </c>
      <c r="I25" s="1780" t="n">
        <v>0</v>
      </c>
      <c r="J25" s="1107" t="inlineStr">
        <is>
          <t>Fee Simple</t>
        </is>
      </c>
      <c r="K25" s="1781" t="n">
        <v>0</v>
      </c>
      <c r="L25" s="1107" t="inlineStr">
        <is>
          <t>Fee Simple</t>
        </is>
      </c>
      <c r="M25" s="1782" t="n"/>
    </row>
    <row r="26" hidden="1" s="1439">
      <c r="B26" s="847" t="inlineStr">
        <is>
          <t>Property Rights Conveyed Adjusted</t>
        </is>
      </c>
      <c r="C26" s="1092" t="n"/>
      <c r="D26" s="848" t="n"/>
      <c r="E26" s="1783">
        <f>IF(LEFT(CELL("format",E25),1)="P",E23*(1+E25),IF(LEFT(CELL("format",E25),1)="C",E23+E25))</f>
        <v/>
      </c>
      <c r="F26" s="1108" t="n"/>
      <c r="G26" s="1783">
        <f>IF(LEFT(CELL("format",G25),1)="P",G23*(1+G25),IF(LEFT(CELL("format",G25),1)="C",G23+G25))</f>
        <v/>
      </c>
      <c r="H26" s="1108" t="n"/>
      <c r="I26" s="1783">
        <f>IF(LEFT(CELL("format",I25),1)="P",I23*(1+I25),IF(LEFT(CELL("format",I25),1)="C",I23+I25))</f>
        <v/>
      </c>
      <c r="J26" s="1108" t="n"/>
      <c r="K26" s="1784">
        <f>IF(LEFT(CELL("format",K25),1)="P",K23*(1+K25),IF(LEFT(CELL("format",K25),1)="C",K23+K25))</f>
        <v/>
      </c>
      <c r="L26" s="1108" t="n"/>
      <c r="M26" s="1785">
        <f>IF(LEFT(CELL("format",M25),1)="P",M23*(1+M25),IF(LEFT(CELL("format",M25),1)="C",M23+M25))</f>
        <v/>
      </c>
    </row>
    <row r="27">
      <c r="B27" s="840" t="inlineStr">
        <is>
          <t>Financing</t>
        </is>
      </c>
      <c r="C27" s="1092" t="inlineStr">
        <is>
          <t>N/A</t>
        </is>
      </c>
      <c r="D27" s="848" t="inlineStr">
        <is>
          <t>Market-Based</t>
        </is>
      </c>
      <c r="E27" s="1786" t="n">
        <v>0</v>
      </c>
      <c r="F27" s="1108" t="inlineStr">
        <is>
          <t>Market-Based</t>
        </is>
      </c>
      <c r="G27" s="1786" t="n">
        <v>0</v>
      </c>
      <c r="H27" s="1108" t="inlineStr">
        <is>
          <t>Market-Based</t>
        </is>
      </c>
      <c r="I27" s="1786" t="n">
        <v>0</v>
      </c>
      <c r="J27" s="1108" t="inlineStr">
        <is>
          <t>Market-Based</t>
        </is>
      </c>
      <c r="K27" s="1781" t="n">
        <v>0</v>
      </c>
      <c r="L27" s="1108" t="inlineStr">
        <is>
          <t>Market-Based</t>
        </is>
      </c>
      <c r="M27" s="1787" t="n">
        <v>0</v>
      </c>
      <c r="N27" s="362" t="n"/>
    </row>
    <row r="28" hidden="1" s="1439">
      <c r="B28" s="847" t="inlineStr">
        <is>
          <t>Financing Adjusted</t>
        </is>
      </c>
      <c r="C28" s="1092" t="n"/>
      <c r="D28" s="848" t="n"/>
      <c r="E28" s="1788">
        <f>IF(LEFT(CELL("format",E27),1)="P",E26*(1+E27),IF(LEFT(CELL("format",E27),1)="C",E26+E27))</f>
        <v/>
      </c>
      <c r="F28" s="1108" t="n"/>
      <c r="G28" s="1788">
        <f>IF(LEFT(CELL("format",G27),1)="P",G26*(1+G27),IF(LEFT(CELL("format",G27),1)="C",G26+G27))</f>
        <v/>
      </c>
      <c r="H28" s="1108" t="n"/>
      <c r="I28" s="1788">
        <f>IF(LEFT(CELL("format",I27),1)="P",I26*(1+I27),IF(LEFT(CELL("format",I27),1)="C",I26+I27))</f>
        <v/>
      </c>
      <c r="J28" s="1108" t="n"/>
      <c r="K28" s="1789">
        <f>IF(LEFT(CELL("format",K27),1)="P",K26*(1+K27),IF(LEFT(CELL("format",K27),1)="C",K26+K27))</f>
        <v/>
      </c>
      <c r="L28" s="1108" t="n"/>
      <c r="M28" s="1790">
        <f>IF(LEFT(CELL("format",M27),1)="P",M26*(1+M27),IF(LEFT(CELL("format",M27),1)="C",M26+M27))</f>
        <v/>
      </c>
      <c r="N28" s="362" t="n"/>
      <c r="R28">
        <f>0.25*J20</f>
        <v/>
      </c>
    </row>
    <row r="29">
      <c r="B29" s="840" t="inlineStr">
        <is>
          <t>Terms/Conditions of Sale</t>
        </is>
      </c>
      <c r="C29" s="1092" t="inlineStr">
        <is>
          <t>N/A</t>
        </is>
      </c>
      <c r="D29" s="848" t="inlineStr">
        <is>
          <t>None</t>
        </is>
      </c>
      <c r="E29" s="1786" t="n">
        <v>0</v>
      </c>
      <c r="F29" s="1108" t="inlineStr">
        <is>
          <t>None</t>
        </is>
      </c>
      <c r="G29" s="1786" t="n">
        <v>0</v>
      </c>
      <c r="H29" s="1108" t="inlineStr">
        <is>
          <t>None</t>
        </is>
      </c>
      <c r="I29" s="1786" t="n">
        <v>0</v>
      </c>
      <c r="J29" s="1108" t="inlineStr">
        <is>
          <t>None</t>
        </is>
      </c>
      <c r="K29" s="1781" t="n">
        <v>0</v>
      </c>
      <c r="L29" s="1108" t="inlineStr">
        <is>
          <t>None</t>
        </is>
      </c>
      <c r="M29" s="1787" t="n">
        <v>0</v>
      </c>
      <c r="N29" s="362" t="n"/>
    </row>
    <row r="30" hidden="1" s="1439">
      <c r="B30" s="847" t="inlineStr">
        <is>
          <t>Terms/Conditions of Sale Adjusted</t>
        </is>
      </c>
      <c r="C30" s="1092" t="n"/>
      <c r="D30" s="848" t="n"/>
      <c r="E30" s="1788">
        <f>IF(LEFT(CELL("format",E29),1)="P",E28*(1+E29),IF(LEFT(CELL("format",E29),1)="C",E28+E29))</f>
        <v/>
      </c>
      <c r="F30" s="1108" t="n"/>
      <c r="G30" s="1788">
        <f>IF(LEFT(CELL("format",G29),1)="P",G28*(1+G29),IF(LEFT(CELL("format",G29),1)="C",G28+G29))</f>
        <v/>
      </c>
      <c r="H30" s="1108" t="n"/>
      <c r="I30" s="1788">
        <f>IF(LEFT(CELL("format",I29),1)="P",I28*(1+I29),IF(LEFT(CELL("format",I29),1)="C",I28+I29))</f>
        <v/>
      </c>
      <c r="J30" s="1108" t="n"/>
      <c r="K30" s="1789">
        <f>IF(LEFT(CELL("format",K29),1)="P",K28*(1+K29),IF(LEFT(CELL("format",K29),1)="C",K28+K29))</f>
        <v/>
      </c>
      <c r="L30" s="1108" t="n"/>
      <c r="M30" s="1790">
        <f>IF(LEFT(CELL("format",M29),1)="P",M28*(1+M29),IF(LEFT(CELL("format",M29),1)="C",M28+M29))</f>
        <v/>
      </c>
      <c r="N30" s="362" t="n"/>
    </row>
    <row r="31">
      <c r="B31" s="840" t="inlineStr">
        <is>
          <t>Expenditures After Sale</t>
        </is>
      </c>
      <c r="C31" s="1092" t="inlineStr">
        <is>
          <t>N/A</t>
        </is>
      </c>
      <c r="D31" s="848" t="inlineStr">
        <is>
          <t>None</t>
        </is>
      </c>
      <c r="E31" s="1786" t="n">
        <v>0</v>
      </c>
      <c r="F31" s="1108" t="inlineStr">
        <is>
          <t>None</t>
        </is>
      </c>
      <c r="G31" s="1786" t="n">
        <v>0</v>
      </c>
      <c r="H31" s="1108" t="inlineStr">
        <is>
          <t>None</t>
        </is>
      </c>
      <c r="I31" s="1786" t="n">
        <v>0</v>
      </c>
      <c r="J31" s="1108" t="inlineStr">
        <is>
          <t>None</t>
        </is>
      </c>
      <c r="K31" s="1781" t="n">
        <v>0</v>
      </c>
      <c r="L31" s="1108" t="inlineStr">
        <is>
          <t>None</t>
        </is>
      </c>
      <c r="M31" s="1787" t="n">
        <v>0</v>
      </c>
      <c r="N31" s="362" t="n"/>
    </row>
    <row r="32" hidden="1" s="1439">
      <c r="B32" s="847" t="inlineStr">
        <is>
          <t>Expenditures After Sale Adjusted</t>
        </is>
      </c>
      <c r="C32" s="1092" t="n"/>
      <c r="D32" s="848" t="n"/>
      <c r="E32" s="1788">
        <f>IF(LEFT(CELL("format",E31),1)="P",E30*(1+E31),IF(LEFT(CELL("format",E31),1)="C",E30+E31))</f>
        <v/>
      </c>
      <c r="F32" s="1108" t="n"/>
      <c r="G32" s="1788">
        <f>IF(LEFT(CELL("format",G31),1)="P",G30*(1+G31),IF(LEFT(CELL("format",G31),1)="C",G30+G31))</f>
        <v/>
      </c>
      <c r="H32" s="1108" t="n"/>
      <c r="I32" s="1788">
        <f>IF(LEFT(CELL("format",I31),1)="P",I30*(1+I31),IF(LEFT(CELL("format",I31),1)="C",I30+I31))</f>
        <v/>
      </c>
      <c r="J32" s="1108" t="n"/>
      <c r="K32" s="1789">
        <f>IF(LEFT(CELL("format",K31),1)="P",K30*(1+K31),IF(LEFT(CELL("format",K31),1)="C",K30+K31))</f>
        <v/>
      </c>
      <c r="L32" s="1108" t="n"/>
      <c r="M32" s="1790">
        <f>IF(LEFT(CELL("format",M31),1)="P",M30*(1+M31),IF(LEFT(CELL("format",M31),1)="C",M30+M31))</f>
        <v/>
      </c>
      <c r="N32" s="362" t="n"/>
    </row>
    <row r="33">
      <c r="B33" s="840" t="inlineStr">
        <is>
          <t>Market Conditions</t>
        </is>
      </c>
      <c r="C33" s="1092" t="inlineStr">
        <is>
          <t>N/A</t>
        </is>
      </c>
      <c r="D33" s="1791">
        <f>D13</f>
        <v/>
      </c>
      <c r="E33" s="1786" t="n">
        <v>0</v>
      </c>
      <c r="F33" s="1792">
        <f>F13</f>
        <v/>
      </c>
      <c r="G33" s="1786" t="n">
        <v>0</v>
      </c>
      <c r="H33" s="1792">
        <f>H13</f>
        <v/>
      </c>
      <c r="I33" s="1786" t="n">
        <v>0</v>
      </c>
      <c r="J33" s="1792">
        <f>J13</f>
        <v/>
      </c>
      <c r="K33" s="1781" t="n">
        <v>0</v>
      </c>
      <c r="L33" s="1108" t="inlineStr">
        <is>
          <t>TBD</t>
        </is>
      </c>
      <c r="M33" s="1787" t="n">
        <v>0</v>
      </c>
      <c r="N33" s="362" t="n"/>
    </row>
    <row r="34" hidden="1" s="1439">
      <c r="B34" s="847" t="inlineStr">
        <is>
          <t>Market Conditions Adjusted</t>
        </is>
      </c>
      <c r="C34" s="1092" t="n"/>
      <c r="D34" s="848" t="n"/>
      <c r="E34" s="1793">
        <f>IF(LEFT(CELL("format",E33),1)="P",E32*(1+E33),IF(LEFT(CELL("format",E33),1)="C",E32+E33))</f>
        <v/>
      </c>
      <c r="F34" s="1108" t="n"/>
      <c r="G34" s="1793">
        <f>IF(LEFT(CELL("format",G33),1)="P",G32*(1+G33),IF(LEFT(CELL("format",G33),1)="C",G32+G33))</f>
        <v/>
      </c>
      <c r="H34" s="1108" t="n"/>
      <c r="I34" s="1793">
        <f>IF(LEFT(CELL("format",I33),1)="P",I32*(1+I33),IF(LEFT(CELL("format",I33),1)="C",I32+I33))</f>
        <v/>
      </c>
      <c r="J34" s="1108" t="n"/>
      <c r="K34" s="1794">
        <f>IF(LEFT(CELL("format",K33),1)="P",K32*(1+K33),IF(LEFT(CELL("format",K33),1)="C",K32+K33))</f>
        <v/>
      </c>
      <c r="L34" s="1108" t="n"/>
      <c r="M34" s="1785">
        <f>IF(LEFT(CELL("format",M33),1)="P",M32*(1+M33),IF(LEFT(CELL("format",M33),1)="C",M32+M33))</f>
        <v/>
      </c>
    </row>
    <row r="35" ht="15" customHeight="1" s="1439">
      <c r="B35" s="542" t="inlineStr">
        <is>
          <t>Total Quantified Adjustment</t>
        </is>
      </c>
      <c r="C35" s="1093" t="n"/>
      <c r="D35" s="544" t="n"/>
      <c r="E35" s="547">
        <f>IFERROR(TEXT(E34-E23,"$#,##0.00")&amp;CHAR(10)&amp;" or "&amp;CHAR(10)&amp;TEXT((E34-E23)/E23,"0.00%"),0)</f>
        <v/>
      </c>
      <c r="F35" s="1110" t="n"/>
      <c r="G35" s="547">
        <f>IFERROR(TEXT(G34-G23,"$#,##0.00")&amp;CHAR(10)&amp;" or "&amp;CHAR(10)&amp;TEXT((G34-G23)/G23,"0.00%"),0)</f>
        <v/>
      </c>
      <c r="H35" s="1110" t="n"/>
      <c r="I35" s="547">
        <f>IFERROR(TEXT(I34-I23,"$#,##0.00")&amp;CHAR(10)&amp;" or "&amp;CHAR(10)&amp;TEXT((I34-I23)/I23,"0.00%"),0)</f>
        <v/>
      </c>
      <c r="J35" s="1110" t="n"/>
      <c r="K35" s="546">
        <f>IFERROR(TEXT(K34-K23,"$#,##0.00")&amp;CHAR(10)&amp;" or "&amp;CHAR(10)&amp;TEXT((K34-K23)/K23,"0.00%"),0)</f>
        <v/>
      </c>
      <c r="L35" s="1110" t="n"/>
      <c r="M35" s="545">
        <f>IFERROR(TEXT(M34-M23,"$#,##0.00")&amp;CHAR(10)&amp;" or "&amp;CHAR(10)&amp;TEXT((M34-M23)/M23,"0.00%"),0)</f>
        <v/>
      </c>
    </row>
    <row r="36">
      <c r="B36" s="548" t="inlineStr">
        <is>
          <t>Quantitatively Adjusted Price</t>
        </is>
      </c>
      <c r="C36" s="1094" t="n"/>
      <c r="D36" s="544" t="n"/>
      <c r="E36" s="1795">
        <f>E34</f>
        <v/>
      </c>
      <c r="F36" s="1110" t="n"/>
      <c r="G36" s="1795">
        <f>G34</f>
        <v/>
      </c>
      <c r="H36" s="1110" t="n"/>
      <c r="I36" s="1795">
        <f>I34</f>
        <v/>
      </c>
      <c r="J36" s="1110" t="n"/>
      <c r="K36" s="1796">
        <f>K34</f>
        <v/>
      </c>
      <c r="L36" s="1110" t="n"/>
      <c r="M36" s="1797">
        <f>M34</f>
        <v/>
      </c>
    </row>
    <row r="37">
      <c r="B37" s="1085" t="inlineStr">
        <is>
          <t>Location</t>
        </is>
      </c>
      <c r="C37" s="1095">
        <f>'Basic Sales Grid'!D28</f>
        <v/>
      </c>
      <c r="D37" s="1086" t="inlineStr">
        <is>
          <t>Average</t>
        </is>
      </c>
      <c r="E37" s="1798" t="n">
        <v>0</v>
      </c>
      <c r="F37" s="1111" t="inlineStr">
        <is>
          <t>Average</t>
        </is>
      </c>
      <c r="G37" s="1798" t="n">
        <v>0</v>
      </c>
      <c r="H37" s="1111" t="inlineStr">
        <is>
          <t>Average</t>
        </is>
      </c>
      <c r="I37" s="1798" t="n">
        <v>0</v>
      </c>
      <c r="J37" s="1111" t="inlineStr">
        <is>
          <t>Fair</t>
        </is>
      </c>
      <c r="K37" s="1799" t="n">
        <v>0.1</v>
      </c>
      <c r="L37" s="618" t="inlineStr">
        <is>
          <t>Below-Average</t>
        </is>
      </c>
      <c r="M37" s="1800" t="n">
        <v>0.05</v>
      </c>
    </row>
    <row r="38" hidden="1" ht="12.6" customHeight="1" s="1439">
      <c r="B38" s="568" t="inlineStr">
        <is>
          <t>Distance from Subject</t>
        </is>
      </c>
      <c r="C38" s="1096" t="inlineStr">
        <is>
          <t>N/A</t>
        </is>
      </c>
      <c r="D38" s="854" t="inlineStr">
        <is>
          <t>3 miles</t>
        </is>
      </c>
      <c r="E38" s="1798" t="n"/>
      <c r="F38" s="1112" t="inlineStr">
        <is>
          <t>3 miles</t>
        </is>
      </c>
      <c r="G38" s="1798" t="n"/>
      <c r="H38" s="1112" t="inlineStr">
        <is>
          <t>3 miles</t>
        </is>
      </c>
      <c r="I38" s="1798" t="n"/>
      <c r="J38" s="1112" t="inlineStr">
        <is>
          <t>1/4 mile</t>
        </is>
      </c>
      <c r="K38" s="1799" t="n"/>
      <c r="L38" s="1112" t="inlineStr">
        <is>
          <t>Adjacent</t>
        </is>
      </c>
      <c r="M38" s="1801" t="n"/>
    </row>
    <row r="39" hidden="1" ht="29.25" customHeight="1" s="1439">
      <c r="B39" s="568" t="inlineStr">
        <is>
          <t>Surrounding Land Uses</t>
        </is>
      </c>
      <c r="C39" s="1096" t="inlineStr">
        <is>
          <t>Retail, residential, developable land</t>
        </is>
      </c>
      <c r="D39" s="854" t="inlineStr">
        <is>
          <t>Retail, residential</t>
        </is>
      </c>
      <c r="E39" s="1798" t="n"/>
      <c r="F39" s="1112" t="inlineStr">
        <is>
          <t>Retail, residential</t>
        </is>
      </c>
      <c r="G39" s="1798" t="n"/>
      <c r="H39" s="1112" t="inlineStr">
        <is>
          <t>Retail, residential</t>
        </is>
      </c>
      <c r="I39" s="1798" t="n"/>
      <c r="J39" s="1112" t="inlineStr">
        <is>
          <t>Retail, office, residential</t>
        </is>
      </c>
      <c r="K39" s="1799" t="n"/>
      <c r="L39" s="1112" t="inlineStr">
        <is>
          <t>Retail, residential</t>
        </is>
      </c>
      <c r="M39" s="1801" t="n"/>
    </row>
    <row r="40" hidden="1" ht="12.6" customHeight="1" s="1439">
      <c r="B40" s="568" t="inlineStr">
        <is>
          <t>Quality/Condition of Surrounding Area</t>
        </is>
      </c>
      <c r="C40" s="1097" t="inlineStr">
        <is>
          <t>Average to New</t>
        </is>
      </c>
      <c r="D40" s="856" t="inlineStr">
        <is>
          <t>Average to New</t>
        </is>
      </c>
      <c r="E40" s="1798" t="n"/>
      <c r="F40" s="1113" t="inlineStr">
        <is>
          <t>Average to New</t>
        </is>
      </c>
      <c r="G40" s="1798" t="n"/>
      <c r="H40" s="1113" t="inlineStr">
        <is>
          <t>Average to New</t>
        </is>
      </c>
      <c r="I40" s="1798" t="n"/>
      <c r="J40" s="1113" t="inlineStr">
        <is>
          <t>Average to Very Good</t>
        </is>
      </c>
      <c r="K40" s="1799" t="n"/>
      <c r="L40" s="1113" t="inlineStr">
        <is>
          <t>Average to Very Good</t>
        </is>
      </c>
      <c r="M40" s="1801" t="n"/>
    </row>
    <row r="41" hidden="1" ht="12.6" customHeight="1" s="1439">
      <c r="B41" s="568" t="inlineStr">
        <is>
          <t>Access to Commercial Services/Amenities</t>
        </is>
      </c>
      <c r="C41" s="1097" t="inlineStr">
        <is>
          <t>Good</t>
        </is>
      </c>
      <c r="D41" s="856" t="inlineStr">
        <is>
          <t>Good</t>
        </is>
      </c>
      <c r="E41" s="1798" t="n"/>
      <c r="F41" s="1113" t="inlineStr">
        <is>
          <t>Good</t>
        </is>
      </c>
      <c r="G41" s="1798" t="n"/>
      <c r="H41" s="1113" t="inlineStr">
        <is>
          <t>Good</t>
        </is>
      </c>
      <c r="I41" s="1798" t="n"/>
      <c r="J41" s="1113" t="inlineStr">
        <is>
          <t>Good</t>
        </is>
      </c>
      <c r="K41" s="1799" t="n"/>
      <c r="L41" s="1113" t="inlineStr">
        <is>
          <t>Good</t>
        </is>
      </c>
      <c r="M41" s="1801" t="n"/>
    </row>
    <row r="42" hidden="1" ht="75.75" customHeight="1" s="1439">
      <c r="B42" s="568" t="inlineStr">
        <is>
          <t>Visibility/Access</t>
        </is>
      </c>
      <c r="C42" s="1098" t="inlineStr">
        <is>
          <t>Average- access and visibility from two secondary thoroughfares.</t>
        </is>
      </c>
      <c r="D42" s="857" t="inlineStr">
        <is>
          <t>Above-Average: Primary thoroughfare exposure and access. Adjacent to 7-Eleven, Starbucks developments.</t>
        </is>
      </c>
      <c r="E42" s="1798" t="n"/>
      <c r="F42" s="1114" t="inlineStr">
        <is>
          <t>Above-Average: Primary thoroughfare exposure and access. Adjacent to 7-Eleven, Starbucks developments.</t>
        </is>
      </c>
      <c r="G42" s="1798" t="n"/>
      <c r="H42" s="1114" t="inlineStr">
        <is>
          <t>Above-Average: Primary thoroughfare exposure and access. Adjacent to 7-Eleven, Starbucks developments.</t>
        </is>
      </c>
      <c r="I42" s="1798" t="n"/>
      <c r="J42" s="1114" t="inlineStr">
        <is>
          <t>Good - located along a primary thoroughfare</t>
        </is>
      </c>
      <c r="K42" s="1799" t="n"/>
      <c r="L42" s="1114" t="inlineStr">
        <is>
          <t>Good - primary thoroughfare access/exposure</t>
        </is>
      </c>
      <c r="M42" s="1801" t="n"/>
    </row>
    <row r="43" hidden="1" ht="70.5" customHeight="1" s="1439">
      <c r="B43" s="568" t="inlineStr">
        <is>
          <t>Description</t>
        </is>
      </c>
      <c r="C43" s="1099" t="inlineStr">
        <is>
          <t xml:space="preserve">Developing residential/retail area. Commercial thoroughfare exposure. Adjacent to anchored retail center. </t>
        </is>
      </c>
      <c r="D43" s="569" t="inlineStr">
        <is>
          <t xml:space="preserve">Primary thoroughfare exposure. Located in an area of developing retail/residential. Good commercial traffic. </t>
        </is>
      </c>
      <c r="E43" s="1798" t="n"/>
      <c r="F43" s="622" t="inlineStr">
        <is>
          <t xml:space="preserve">Primary thoroughfare exposure. Located in an area of developing retail/residential. Good commercial traffic. </t>
        </is>
      </c>
      <c r="G43" s="1798" t="n"/>
      <c r="H43" s="622" t="inlineStr">
        <is>
          <t xml:space="preserve">Primary thoroughfare exposure. Located in an area of developing retail/residential. Good commercial traffic. </t>
        </is>
      </c>
      <c r="I43" s="1798" t="n"/>
      <c r="J43" s="622" t="inlineStr">
        <is>
          <t xml:space="preserve">Visibility and access from W 120th Ave. (regional arterial) near anchored retail center and dene residential development. </t>
        </is>
      </c>
      <c r="K43" s="1799" t="n"/>
      <c r="L43" s="622" t="inlineStr">
        <is>
          <t>Located in an established residential/retail area of Arvada. Lower med. household incomes.</t>
        </is>
      </c>
      <c r="M43" s="1801" t="n"/>
    </row>
    <row r="44">
      <c r="B44" s="806">
        <f>B20</f>
        <v/>
      </c>
      <c r="C44" s="1100">
        <f>C20</f>
        <v/>
      </c>
      <c r="D44" s="1087">
        <f>D20</f>
        <v/>
      </c>
      <c r="E44" s="1798" t="n">
        <v>0.1</v>
      </c>
      <c r="F44" s="1115">
        <f>F20</f>
        <v/>
      </c>
      <c r="G44" s="1798" t="n">
        <v>0</v>
      </c>
      <c r="H44" s="1115">
        <f>H20</f>
        <v/>
      </c>
      <c r="I44" s="1798" t="n">
        <v>0</v>
      </c>
      <c r="J44" s="1115">
        <f>J20</f>
        <v/>
      </c>
      <c r="K44" s="1799" t="n">
        <v>0</v>
      </c>
      <c r="L44" s="623">
        <f>L20</f>
        <v/>
      </c>
      <c r="M44" s="1800" t="n">
        <v>-0.05</v>
      </c>
    </row>
    <row r="45">
      <c r="B45" s="1088" t="inlineStr">
        <is>
          <t xml:space="preserve">Zoning </t>
        </is>
      </c>
      <c r="C45" s="1095">
        <f>C21</f>
        <v/>
      </c>
      <c r="D45" s="1089">
        <f>D21</f>
        <v/>
      </c>
      <c r="E45" s="1798" t="n">
        <v>0</v>
      </c>
      <c r="F45" s="1116">
        <f>F21</f>
        <v/>
      </c>
      <c r="G45" s="1798" t="n">
        <v>0.05</v>
      </c>
      <c r="H45" s="1116">
        <f>H21</f>
        <v/>
      </c>
      <c r="I45" s="1798" t="n">
        <v>-0.1</v>
      </c>
      <c r="J45" s="1116">
        <f>J21</f>
        <v/>
      </c>
      <c r="K45" s="1799" t="n">
        <v>-0.05</v>
      </c>
      <c r="L45" s="1125" t="inlineStr">
        <is>
          <t>B-2 (General Business)</t>
        </is>
      </c>
      <c r="M45" s="1800" t="n">
        <v>0</v>
      </c>
    </row>
    <row r="46" ht="16.5" customHeight="1" s="1439">
      <c r="B46" s="1085" t="inlineStr">
        <is>
          <t>Utilities / Infrastructure</t>
        </is>
      </c>
      <c r="C46" s="1261" t="inlineStr">
        <is>
          <t>Average</t>
        </is>
      </c>
      <c r="D46" s="1086" t="inlineStr">
        <is>
          <t>Average</t>
        </is>
      </c>
      <c r="E46" s="1798" t="n">
        <v>0</v>
      </c>
      <c r="F46" s="1111" t="inlineStr">
        <is>
          <t>Average</t>
        </is>
      </c>
      <c r="G46" s="1798" t="n">
        <v>0</v>
      </c>
      <c r="H46" s="1111" t="inlineStr">
        <is>
          <t>Average</t>
        </is>
      </c>
      <c r="I46" s="1798" t="n">
        <v>0</v>
      </c>
      <c r="J46" s="1111" t="inlineStr">
        <is>
          <t>Average</t>
        </is>
      </c>
      <c r="K46" s="1799" t="n">
        <v>0</v>
      </c>
      <c r="L46" s="618" t="inlineStr">
        <is>
          <t>Average</t>
        </is>
      </c>
      <c r="M46" s="1800" t="n">
        <v>0</v>
      </c>
    </row>
    <row r="47" hidden="1" ht="12.6" customHeight="1" s="1439">
      <c r="B47" s="568" t="inlineStr">
        <is>
          <t>Water/Sewer</t>
        </is>
      </c>
      <c r="C47" s="1096" t="inlineStr">
        <is>
          <t>Available - Municipal Services</t>
        </is>
      </c>
      <c r="D47" s="854" t="inlineStr">
        <is>
          <t>Available - Municipal Services</t>
        </is>
      </c>
      <c r="E47" s="1802" t="n"/>
      <c r="F47" s="1112" t="inlineStr">
        <is>
          <t>Available - Municipal Services</t>
        </is>
      </c>
      <c r="G47" s="1802" t="n"/>
      <c r="H47" s="1112" t="inlineStr">
        <is>
          <t>Available - Municipal Services</t>
        </is>
      </c>
      <c r="I47" s="1802" t="n"/>
      <c r="J47" s="1112" t="inlineStr">
        <is>
          <t>Available - Municipal Services</t>
        </is>
      </c>
      <c r="K47" s="1803" t="n"/>
      <c r="L47" s="1112" t="inlineStr">
        <is>
          <t>Available - Municipal Services</t>
        </is>
      </c>
      <c r="M47" s="1804" t="n"/>
    </row>
    <row r="48" hidden="1" ht="15" customHeight="1" s="1439">
      <c r="B48" s="568" t="inlineStr">
        <is>
          <t>Electricity/Gas</t>
        </is>
      </c>
      <c r="C48" s="1096" t="inlineStr">
        <is>
          <t>Available - Xcel Energy</t>
        </is>
      </c>
      <c r="D48" s="854" t="inlineStr">
        <is>
          <t>Available - Xcel Energy</t>
        </is>
      </c>
      <c r="E48" s="1802" t="n"/>
      <c r="F48" s="1112" t="inlineStr">
        <is>
          <t>Available - Xcel Energy</t>
        </is>
      </c>
      <c r="G48" s="1802" t="n"/>
      <c r="H48" s="1112" t="inlineStr">
        <is>
          <t>Available - Xcel Energy</t>
        </is>
      </c>
      <c r="I48" s="1802" t="n"/>
      <c r="J48" s="1112" t="inlineStr">
        <is>
          <t>Available - Xcel Energy</t>
        </is>
      </c>
      <c r="K48" s="1803" t="n"/>
      <c r="L48" s="1112" t="inlineStr">
        <is>
          <t>Available - Xcel Energy</t>
        </is>
      </c>
      <c r="M48" s="1804" t="n"/>
    </row>
    <row r="49" hidden="1" ht="11.25" customHeight="1" s="1439">
      <c r="B49" s="568" t="inlineStr">
        <is>
          <t>Other</t>
        </is>
      </c>
      <c r="C49" s="1097" t="inlineStr">
        <is>
          <t>All available</t>
        </is>
      </c>
      <c r="D49" s="856" t="inlineStr">
        <is>
          <t>Historical Design</t>
        </is>
      </c>
      <c r="E49" s="1802" t="n"/>
      <c r="F49" s="1113" t="inlineStr">
        <is>
          <t>Historical Design</t>
        </is>
      </c>
      <c r="G49" s="1802" t="n"/>
      <c r="H49" s="1113" t="inlineStr">
        <is>
          <t>Historical Design</t>
        </is>
      </c>
      <c r="I49" s="1802" t="n"/>
      <c r="J49" s="1113" t="inlineStr">
        <is>
          <t>Historical Design</t>
        </is>
      </c>
      <c r="K49" s="1803" t="n"/>
      <c r="L49" s="1113" t="inlineStr">
        <is>
          <t>Historical Design</t>
        </is>
      </c>
      <c r="M49" s="1804" t="n"/>
    </row>
    <row r="50" ht="18" customHeight="1" s="1439">
      <c r="B50" s="806" t="inlineStr">
        <is>
          <t>Site Utility</t>
        </is>
      </c>
      <c r="C50" s="1261" t="inlineStr">
        <is>
          <t>Average</t>
        </is>
      </c>
      <c r="D50" s="1090" t="inlineStr">
        <is>
          <t>Average</t>
        </is>
      </c>
      <c r="E50" s="1805" t="n">
        <v>0</v>
      </c>
      <c r="F50" s="1117" t="inlineStr">
        <is>
          <t>Average</t>
        </is>
      </c>
      <c r="G50" s="1805" t="n">
        <v>0</v>
      </c>
      <c r="H50" s="1117" t="inlineStr">
        <is>
          <t>Average</t>
        </is>
      </c>
      <c r="I50" s="1805" t="n">
        <v>0</v>
      </c>
      <c r="J50" s="1111" t="inlineStr">
        <is>
          <t>Average</t>
        </is>
      </c>
      <c r="K50" s="1806" t="n">
        <v>0</v>
      </c>
      <c r="L50" s="618" t="inlineStr">
        <is>
          <t>Average</t>
        </is>
      </c>
      <c r="M50" s="1807" t="n">
        <v>0</v>
      </c>
    </row>
    <row r="51" hidden="1" s="1439">
      <c r="B51" s="568" t="inlineStr">
        <is>
          <t>Site Shape</t>
        </is>
      </c>
      <c r="C51" s="1097" t="inlineStr">
        <is>
          <t>Rectangular</t>
        </is>
      </c>
      <c r="D51" s="856" t="inlineStr">
        <is>
          <t>Rectangular</t>
        </is>
      </c>
      <c r="E51" s="1808" t="n"/>
      <c r="F51" s="1113" t="inlineStr">
        <is>
          <t>Rectangular</t>
        </is>
      </c>
      <c r="G51" s="1808" t="n"/>
      <c r="H51" s="1113" t="inlineStr">
        <is>
          <t>Rectangular</t>
        </is>
      </c>
      <c r="I51" s="1808" t="n"/>
      <c r="J51" s="1113" t="inlineStr">
        <is>
          <t>Rectangular</t>
        </is>
      </c>
      <c r="K51" s="1809" t="n"/>
      <c r="L51" s="1113" t="inlineStr">
        <is>
          <t>Generally rectangular</t>
        </is>
      </c>
      <c r="M51" s="1804" t="n"/>
    </row>
    <row r="52" hidden="1" ht="12" customHeight="1" s="1439">
      <c r="B52" s="568" t="inlineStr">
        <is>
          <t>Topography</t>
        </is>
      </c>
      <c r="C52" s="1101" t="inlineStr">
        <is>
          <t>Generally Level</t>
        </is>
      </c>
      <c r="D52" s="859" t="inlineStr">
        <is>
          <t>Generally Level</t>
        </is>
      </c>
      <c r="E52" s="1808" t="n"/>
      <c r="F52" s="1118" t="inlineStr">
        <is>
          <t>Generally Level</t>
        </is>
      </c>
      <c r="G52" s="1808" t="n"/>
      <c r="H52" s="1118" t="inlineStr">
        <is>
          <t>Generally Level</t>
        </is>
      </c>
      <c r="I52" s="1808" t="n"/>
      <c r="J52" s="1118" t="inlineStr">
        <is>
          <t>Generally Level</t>
        </is>
      </c>
      <c r="K52" s="1809" t="n"/>
      <c r="L52" s="1113" t="inlineStr">
        <is>
          <t>Generally level</t>
        </is>
      </c>
      <c r="M52" s="1804" t="n"/>
    </row>
    <row r="53" hidden="1" ht="17.25" customHeight="1" s="1439">
      <c r="B53" s="568" t="inlineStr">
        <is>
          <t>Easement/Encroachments/Obstructions</t>
        </is>
      </c>
      <c r="C53" s="1101" t="inlineStr">
        <is>
          <t>None known</t>
        </is>
      </c>
      <c r="D53" s="859" t="inlineStr">
        <is>
          <t>None known</t>
        </is>
      </c>
      <c r="E53" s="1808" t="n"/>
      <c r="F53" s="1118" t="inlineStr">
        <is>
          <t>None known</t>
        </is>
      </c>
      <c r="G53" s="1808" t="n"/>
      <c r="H53" s="1118" t="inlineStr">
        <is>
          <t>None known</t>
        </is>
      </c>
      <c r="I53" s="1808" t="n"/>
      <c r="J53" s="1118" t="inlineStr">
        <is>
          <t>None known</t>
        </is>
      </c>
      <c r="K53" s="1809" t="n"/>
      <c r="L53" s="1126" t="inlineStr">
        <is>
          <t>None known</t>
        </is>
      </c>
      <c r="M53" s="1804" t="n"/>
    </row>
    <row r="54" hidden="1" ht="12" customHeight="1" s="1439">
      <c r="B54" s="568" t="inlineStr">
        <is>
          <t>Other</t>
        </is>
      </c>
      <c r="C54" s="1102" t="inlineStr">
        <is>
          <t>None</t>
        </is>
      </c>
      <c r="D54" s="860" t="inlineStr">
        <is>
          <t>None</t>
        </is>
      </c>
      <c r="E54" s="1808" t="n"/>
      <c r="F54" s="1119" t="inlineStr">
        <is>
          <t>None</t>
        </is>
      </c>
      <c r="G54" s="1808" t="n"/>
      <c r="H54" s="1119" t="inlineStr">
        <is>
          <t>None</t>
        </is>
      </c>
      <c r="I54" s="1808" t="n"/>
      <c r="J54" s="1119" t="inlineStr">
        <is>
          <t>None</t>
        </is>
      </c>
      <c r="K54" s="1809" t="n"/>
      <c r="L54" s="1127" t="inlineStr">
        <is>
          <t>None</t>
        </is>
      </c>
      <c r="M54" s="1804" t="n"/>
    </row>
    <row r="55">
      <c r="B55" s="586" t="inlineStr">
        <is>
          <t>Total Non Quantified Adj.</t>
        </is>
      </c>
      <c r="C55" s="1103" t="n"/>
      <c r="D55" s="588" t="n"/>
      <c r="E55" s="1810">
        <f>SUM(E37,E44,E45,E46,E50)</f>
        <v/>
      </c>
      <c r="F55" s="513" t="n"/>
      <c r="G55" s="1811">
        <f>SUM(G37,G44,G45,G46,G50)</f>
        <v/>
      </c>
      <c r="H55" s="1105" t="n"/>
      <c r="I55" s="1812">
        <f>SUM(I37,I44,I45,I46,I50)</f>
        <v/>
      </c>
      <c r="J55" s="1105" t="n"/>
      <c r="K55" s="1813">
        <f>SUM(K37,K44,K45,K46,K50)</f>
        <v/>
      </c>
      <c r="L55" s="1105" t="n"/>
      <c r="M55" s="1814">
        <f>SUM(M37,M44,M45,M46,M50)</f>
        <v/>
      </c>
    </row>
    <row r="56">
      <c r="B56" s="594" t="inlineStr">
        <is>
          <t>Indication for Subject:</t>
        </is>
      </c>
      <c r="C56" s="1104" t="n"/>
      <c r="D56" s="596" t="n"/>
      <c r="E56" s="1815">
        <f>IF(LEFT(CELL("format",E55),1)="P",E36*(1+E55),IF(LEFT(CELL("format",E55),1)="C",E36+E55))</f>
        <v/>
      </c>
      <c r="F56" s="1120" t="n"/>
      <c r="G56" s="1816">
        <f>IF(LEFT(CELL("format",G55),1)="P",G36*(1+G55),IF(LEFT(CELL("format",G55),1)="C",G36+G55))</f>
        <v/>
      </c>
      <c r="H56" s="1106" t="n"/>
      <c r="I56" s="1816">
        <f>IF(LEFT(CELL("format",I55),1)="P",I36*(1+I55),IF(LEFT(CELL("format",I55),1)="C",I36+I55))</f>
        <v/>
      </c>
      <c r="J56" s="1106" t="n"/>
      <c r="K56" s="1817">
        <f>IF(LEFT(CELL("format",K55),1)="P",K36*(1+K55),IF(LEFT(CELL("format",K55),1)="C",K36+K55))</f>
        <v/>
      </c>
      <c r="L56" s="1106" t="n"/>
      <c r="M56" s="1818">
        <f>IF(LEFT(CELL("format",M55),1)="P",M36*(1+M55),IF(LEFT(CELL("format",M55),1)="C",M36+M55))</f>
        <v/>
      </c>
    </row>
    <row r="58">
      <c r="C58" s="358" t="n"/>
    </row>
    <row r="59">
      <c r="B59" s="1545" t="inlineStr">
        <is>
          <t>VALUE CONCLUSION - UNDERLYING LAND AREA</t>
        </is>
      </c>
    </row>
    <row r="60" customFormat="1" s="1450">
      <c r="B60" s="362" t="inlineStr">
        <is>
          <t>Indicated Value per SF</t>
        </is>
      </c>
      <c r="C60" s="1819" t="n">
        <v>10</v>
      </c>
      <c r="E60" s="465" t="n"/>
      <c r="G60" s="465" t="n"/>
      <c r="I60" s="465" t="n"/>
      <c r="K60" s="465" t="n"/>
    </row>
    <row r="61" customFormat="1" s="1450">
      <c r="B61" s="362" t="inlineStr">
        <is>
          <t>Land Area (SF)</t>
        </is>
      </c>
      <c r="C61" s="1820">
        <f>C44</f>
        <v/>
      </c>
      <c r="E61" s="465" t="n"/>
      <c r="G61" s="465" t="n"/>
      <c r="I61" s="465" t="n"/>
      <c r="K61" s="465" t="n"/>
    </row>
    <row r="62" hidden="1" ht="17.25" customHeight="1" s="1439">
      <c r="B62" s="1060">
        <f>IF(C63=0,"HIDE THIS ROW IF NO DEFERRED MAINTENANCE", "Indicated Value")</f>
        <v/>
      </c>
      <c r="C62" s="1821">
        <f>C60*C61</f>
        <v/>
      </c>
    </row>
    <row r="63" hidden="1" s="1439">
      <c r="B63" s="1062" t="inlineStr">
        <is>
          <t xml:space="preserve">Contract Price </t>
        </is>
      </c>
      <c r="C63" s="1822" t="n">
        <v>0</v>
      </c>
    </row>
    <row r="64" hidden="1" s="1439">
      <c r="B64" s="1823" t="n"/>
      <c r="C64" s="1458" t="n"/>
    </row>
    <row r="65" customFormat="1" s="1450">
      <c r="B65" s="1071">
        <f>IF(SUM(C63:C63)=0,"Indicated Value","Indicated Value - Adjusted")</f>
        <v/>
      </c>
      <c r="C65" s="1824">
        <f>C60*C61</f>
        <v/>
      </c>
      <c r="E65" s="465" t="n"/>
      <c r="G65" s="465" t="n"/>
      <c r="I65" s="465" t="n"/>
      <c r="K65" s="465" t="n"/>
    </row>
    <row r="66">
      <c r="B66" s="1825" t="n">
        <v>5000</v>
      </c>
      <c r="C66" s="1826">
        <f>ROUND((C65/B66),0)*B66</f>
        <v/>
      </c>
    </row>
    <row r="67">
      <c r="B67" s="1684" t="inlineStr">
        <is>
          <t>Per SF</t>
        </is>
      </c>
      <c r="C67" s="1827">
        <f>C66/C61</f>
        <v/>
      </c>
    </row>
  </sheetData>
  <mergeCells count="22">
    <mergeCell ref="L17:M17"/>
    <mergeCell ref="B59:C59"/>
    <mergeCell ref="L16:M16"/>
    <mergeCell ref="L19:M19"/>
    <mergeCell ref="L13:M13"/>
    <mergeCell ref="L12:M12"/>
    <mergeCell ref="L15:M15"/>
    <mergeCell ref="L18:M18"/>
    <mergeCell ref="L8:M8"/>
    <mergeCell ref="L14:M14"/>
    <mergeCell ref="F8:G8"/>
    <mergeCell ref="L20:M20"/>
    <mergeCell ref="L10:M10"/>
    <mergeCell ref="L22:M22"/>
    <mergeCell ref="L9:M9"/>
    <mergeCell ref="D8:E8"/>
    <mergeCell ref="B64:C64"/>
    <mergeCell ref="L21:M21"/>
    <mergeCell ref="B7:M7"/>
    <mergeCell ref="L11:M11"/>
    <mergeCell ref="H8:I8"/>
    <mergeCell ref="J8:K8"/>
  </mergeCells>
  <conditionalFormatting sqref="B62">
    <cfRule type="expression" priority="3" dxfId="0" stopIfTrue="1">
      <formula>SUM(C63:C63)=0</formula>
    </cfRule>
  </conditionalFormatting>
  <conditionalFormatting sqref="B63">
    <cfRule type="expression" priority="2" dxfId="2">
      <formula>C63=0</formula>
    </cfRule>
  </conditionalFormatting>
  <conditionalFormatting sqref="B64">
    <cfRule type="expression" priority="1" dxfId="0" stopIfTrue="1">
      <formula>SUM(C65:C65)=0</formula>
    </cfRule>
  </conditionalFormatting>
  <dataValidations count="2">
    <dataValidation sqref="D56 F56 H56 J56 L56" showDropDown="0" showInputMessage="1" showErrorMessage="1" allowBlank="1" type="list">
      <formula1>lstCondition</formula1>
    </dataValidation>
    <dataValidation sqref="C63" showDropDown="0" showInputMessage="1" showErrorMessage="1" allowBlank="1" promptTitle="Adjustment #2" prompt="Input adjustment to calculated value—default link to Deferred Maintenance entered in Cost Approach."/>
  </dataValidation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H142"/>
  <sheetViews>
    <sheetView tabSelected="1" workbookViewId="0">
      <selection activeCell="H2" sqref="H2"/>
    </sheetView>
  </sheetViews>
  <sheetFormatPr baseColWidth="8" defaultRowHeight="15"/>
  <cols>
    <col width="4.7109375" customWidth="1" style="1439" min="1" max="1"/>
    <col width="30.7109375" customWidth="1" style="1439" min="2" max="2"/>
    <col width="16.7109375" customWidth="1" style="1439" min="3" max="3"/>
    <col width="14.7109375" customWidth="1" style="1439" min="4" max="4"/>
    <col width="42.7109375" customWidth="1" style="1439" min="5" max="5"/>
    <col width="20.7109375" customWidth="1" style="1439" min="6" max="6"/>
  </cols>
  <sheetData>
    <row r="1" ht="21.95" customHeight="1" s="1439">
      <c r="A1" s="1441" t="inlineStr">
        <is>
          <t>MARSHALL AND SWIFT (MVS) COST INPUTS -- June 2024 Edition</t>
        </is>
      </c>
    </row>
    <row r="2" ht="15" customHeight="1" s="1439">
      <c r="A2" s="1440" t="n"/>
      <c r="B2" s="1440" t="inlineStr">
        <is>
          <t>Field</t>
        </is>
      </c>
      <c r="C2" s="1440" t="inlineStr">
        <is>
          <t>Value (Input)</t>
        </is>
      </c>
      <c r="D2" s="1440" t="inlineStr">
        <is>
          <t>Unit</t>
        </is>
      </c>
      <c r="E2" s="1440" t="inlineStr">
        <is>
          <t>MVS Reference / Notes</t>
        </is>
      </c>
      <c r="F2" s="1440" t="inlineStr">
        <is>
          <t>Source</t>
        </is>
      </c>
    </row>
    <row r="3" ht="15.95" customHeight="1" s="1439">
      <c r="A3" s="1442" t="inlineStr">
        <is>
          <t>STEP 1 -- BUILDING IDENTIFICATION</t>
        </is>
      </c>
    </row>
    <row r="4" ht="30" customHeight="1" s="1439">
      <c r="B4" t="inlineStr">
        <is>
          <t>MVS Section</t>
        </is>
      </c>
      <c r="C4" s="1410" t="inlineStr">
        <is>
          <t>Section 14</t>
        </is>
      </c>
      <c r="D4" t="inlineStr">
        <is>
          <t>--</t>
        </is>
      </c>
      <c r="E4" s="1559" t="inlineStr">
        <is>
          <t>Section 14: Garages, Industrials and Warehouses (June 2024 ed.). PRIOR EDITIONS used Section 18 for industrials; June 2024 renumbered. Section 18 in June 2024 = Schools.</t>
        </is>
      </c>
      <c r="F4" t="inlineStr">
        <is>
          <t>MVS Sec.99 p.3</t>
        </is>
      </c>
    </row>
    <row r="5" ht="30" customHeight="1" s="1439">
      <c r="B5" t="inlineStr">
        <is>
          <t>Occupancy Code</t>
        </is>
      </c>
      <c r="C5" s="1410" t="inlineStr">
        <is>
          <t>Occ. 406</t>
        </is>
      </c>
      <c r="D5" t="inlineStr">
        <is>
          <t>--</t>
        </is>
      </c>
      <c r="E5" s="1559" t="inlineStr">
        <is>
          <t>406 = Storage Warehouses. Other codes: 401 Service Garages, 402 Auto Dealerships, 403 Car Wash, 405 Commercial Garages, 407 Mfg. Light, 408 Mfg. Heavy.</t>
        </is>
      </c>
      <c r="F5" t="inlineStr">
        <is>
          <t>MVS Sec.14 p.26</t>
        </is>
      </c>
    </row>
    <row r="6" ht="30" customHeight="1" s="1439">
      <c r="B6" t="inlineStr">
        <is>
          <t>Building Class</t>
        </is>
      </c>
      <c r="C6" s="1410" t="inlineStr">
        <is>
          <t>C</t>
        </is>
      </c>
      <c r="D6" t="inlineStr">
        <is>
          <t>--</t>
        </is>
      </c>
      <c r="E6" s="1559" t="inlineStr">
        <is>
          <t>A = Fire resistive concrete. B = Masonry/steel. C = Combustible frame. D = Wood frame/metal. S = Pre-engineered metal building.</t>
        </is>
      </c>
      <c r="F6" t="inlineStr">
        <is>
          <t>MVS Sec.14</t>
        </is>
      </c>
    </row>
    <row r="7" ht="21.95" customHeight="1" s="1439">
      <c r="B7" t="inlineStr">
        <is>
          <t>Quality</t>
        </is>
      </c>
      <c r="C7" s="1410" t="inlineStr">
        <is>
          <t>Average</t>
        </is>
      </c>
      <c r="D7" t="inlineStr">
        <is>
          <t>--</t>
        </is>
      </c>
      <c r="E7" s="1559" t="inlineStr">
        <is>
          <t>Quality tiers: Low Cost | Average | Good | Excellent. Select relative to class standard.</t>
        </is>
      </c>
      <c r="F7" t="inlineStr">
        <is>
          <t>MVS Sec.14 p.26</t>
        </is>
      </c>
    </row>
    <row r="8" ht="6" customHeight="1" s="1439">
      <c r="B8" s="1433" t="inlineStr">
        <is>
          <t>City / Local Area (for LAM lookup)</t>
        </is>
      </c>
      <c r="C8" s="1434" t="inlineStr">
        <is>
          <t>Colorado Statewide</t>
        </is>
      </c>
      <c r="D8" t="inlineStr">
        <is>
          <t>--</t>
        </is>
      </c>
      <c r="E8" t="inlineStr">
        <is>
          <t>Pick city from dropdown → auto-fills Local Area Multiplier (C19). Adams County: use 'Colorado Statewide' or 'Denver'.</t>
        </is>
      </c>
    </row>
    <row r="9" ht="15.95" customHeight="1" s="1439">
      <c r="A9" s="1442" t="inlineStr">
        <is>
          <t>STEP 2 -- BASE COST AND SPRINKLER COST (per SF)</t>
        </is>
      </c>
    </row>
    <row r="10" ht="18" customHeight="1" s="1439">
      <c r="B10" t="inlineStr">
        <is>
          <t>Building Area (SF) [auto from Property Info]</t>
        </is>
      </c>
      <c r="C10" s="67">
        <f>'Property Info'!B4</f>
        <v/>
      </c>
      <c r="D10" t="inlineStr">
        <is>
          <t>SF</t>
        </is>
      </c>
      <c r="E10" s="1559" t="inlineStr">
        <is>
          <t>Auto-linked from Property Info sheet. Used to interpolate sprinkler cost from TABLE D.</t>
        </is>
      </c>
    </row>
    <row r="11" ht="18" customHeight="1" s="1439">
      <c r="B11" t="inlineStr">
        <is>
          <t>Selected: Section / Class / Quality</t>
        </is>
      </c>
      <c r="C11">
        <f>C4&amp;" / Occ. "&amp;C5&amp;" / Class "&amp;C6&amp;" / "&amp;C7</f>
        <v/>
      </c>
      <c r="D11" t="inlineStr">
        <is>
          <t>--</t>
        </is>
      </c>
      <c r="E11" s="1559" t="inlineStr">
        <is>
          <t>Concatenated from Step 1 selections above -- confirms your lookup inputs.</t>
        </is>
      </c>
    </row>
    <row r="12" ht="5.1" customHeight="1" s="1439"/>
    <row r="13" ht="14.1" customHeight="1" s="1439">
      <c r="B13" s="1438" t="inlineStr">
        <is>
          <t>&gt;&gt;&gt; Base cost auto-calculated from occupancy / class / quality above &lt;&lt;&lt;</t>
        </is>
      </c>
    </row>
    <row r="14" ht="27.95" customHeight="1" s="1439">
      <c r="B14" t="inlineStr">
        <is>
          <t>Base Cost per SF  [-&gt; Cost Approach D6]</t>
        </is>
      </c>
      <c r="C14" s="1828">
        <f>IFERROR(IF(C5="Occ. 406",INDEX($C$42:$C$62,MATCH(C6&amp;"~"&amp;C7,$D$42:$D$62,0)),INDEX($C$116:$C$123,MATCH(C6&amp;"~"&amp;C7,$D$116:$D$123,0))),"")</f>
        <v/>
      </c>
      <c r="D14" t="inlineStr">
        <is>
          <t>$/SF</t>
        </is>
      </c>
      <c r="E14" s="1559" t="inlineStr">
        <is>
          <t>Enter value from TABLE A (Occ.406 Storage Warehouse). Example: Class D / Average = .50/SF. Class D / Good = .00/SF.</t>
        </is>
      </c>
      <c r="F14" t="inlineStr">
        <is>
          <t>MVS Sec.14 p.26 (Feb 2024)</t>
        </is>
      </c>
      <c r="H14" s="1433" t="inlineStr">
        <is>
          <t>Sprinkler Quality</t>
        </is>
      </c>
    </row>
    <row r="15" ht="27.95" customHeight="1" s="1439">
      <c r="B15" t="inlineStr">
        <is>
          <t>Sprinkler Add-On per SF (Wet System)  [-&gt; D7]</t>
        </is>
      </c>
      <c r="C15" s="1828">
        <f>IFERROR(INDEX($B$98:$E$105,MATCH(C10,$A$98:$A$105,1),MATCH(H15,$B$97:$E$97,0)),"")</f>
        <v/>
      </c>
      <c r="D15" t="inlineStr">
        <is>
          <t>$/SF</t>
        </is>
      </c>
      <c r="E15" s="1559" t="inlineStr">
        <is>
          <t>From TABLE D. Interpolate by building area and quality. Example: 40,000 SF / Low Cost = .04/SF. Enter 0 if no sprinklers.</t>
        </is>
      </c>
      <c r="F15" t="inlineStr">
        <is>
          <t>MVS Sec.14 p.37 (Feb 2024)</t>
        </is>
      </c>
      <c r="H15" s="1434" t="inlineStr">
        <is>
          <t>Average</t>
        </is>
      </c>
    </row>
    <row r="16" ht="6" customHeight="1" s="1439"/>
    <row r="17" ht="15.95" customHeight="1" s="1439">
      <c r="A17" s="1442" t="inlineStr">
        <is>
          <t>STEP 3 -- MULTIPLIERS</t>
        </is>
      </c>
    </row>
    <row r="18" ht="30" customHeight="1" s="1439">
      <c r="B18" t="inlineStr">
        <is>
          <t>Current Cost Multiplier  [-&gt; D15]</t>
        </is>
      </c>
      <c r="C18" s="1829">
        <f>IFERROR(INDEX($B$81:$F$81,MATCH("Class "&amp;IF(C6="C-Mill","C",IF(C6="D-Pole","D",C6)),$B$78:$F$78,0)),"")</f>
        <v/>
      </c>
      <c r="D18" t="inlineStr">
        <is>
          <t>multiplier</t>
        </is>
      </c>
      <c r="E18" s="1559" t="inlineStr">
        <is>
          <t>From TABLE C. Section 14 (eff. Feb 2024), Jan 2025 update. EASTERN region (Colorado): A=1.02, B=1.04, C=1.03, D=1.01, S=1.03.</t>
        </is>
      </c>
      <c r="F18" t="inlineStr">
        <is>
          <t>MVS Sec.99 p.3 (Jan 2025)</t>
        </is>
      </c>
    </row>
    <row r="19" ht="30" customHeight="1" s="1439">
      <c r="B19" t="inlineStr">
        <is>
          <t>Local Area Multiplier  [-&gt; D16]</t>
        </is>
      </c>
      <c r="C19" s="1829">
        <f>IFERROR(INDEX($B$86:$F$93,MATCH(C8,$A$86:$A$93,0),MATCH("Class "&amp;IF(C6="C-Mill","C",IF(C6="D-Pole","D",C6)),$B$85:$F$85,0)),"")</f>
        <v/>
      </c>
      <c r="D19" t="inlineStr">
        <is>
          <t>multiplier</t>
        </is>
      </c>
      <c r="E19" s="1559" t="inlineStr">
        <is>
          <t>From TABLE C2 (Colorado cities). Statewide D=1.01. Denver=1.00, Boulder=0.97, Fort Collins=0.99, Greeley=0.99, Pueblo=0.95.</t>
        </is>
      </c>
      <c r="F19" t="inlineStr">
        <is>
          <t>MVS Sec.99 p.7 (Jan 2025)</t>
        </is>
      </c>
    </row>
    <row r="20" ht="21.95" customHeight="1" s="1439">
      <c r="B20" t="inlineStr">
        <is>
          <t>Area Multiplier (avg of 2 size factors)  [-&gt; D17]</t>
        </is>
      </c>
      <c r="C20" s="1830">
        <f>(E20+E21)/2</f>
        <v/>
      </c>
      <c r="D20" s="1415" t="inlineStr">
        <is>
          <t>Area Factor 1 -&gt;</t>
        </is>
      </c>
      <c r="E20" s="1831" t="n">
        <v>0.876</v>
      </c>
      <c r="F20" s="1559" t="inlineStr">
        <is>
          <t>Look up your SF in the size-adjustment table (Sec.14 p.25). Average two bracketing entries.</t>
        </is>
      </c>
    </row>
    <row r="21" ht="18" customHeight="1" s="1439">
      <c r="D21" s="1415" t="inlineStr">
        <is>
          <t>Area Factor 2 -&gt;</t>
        </is>
      </c>
      <c r="E21" s="1831" t="n">
        <v>0.87</v>
      </c>
    </row>
    <row r="22" ht="27.95" customHeight="1" s="1439">
      <c r="B22" t="inlineStr">
        <is>
          <t>Story Height Multiplier  [-&gt; D18]</t>
        </is>
      </c>
      <c r="C22" s="1829">
        <f>IF(G22="",1,IFERROR(VLOOKUP(G22,$A$127:$B$142,2,TRUE),1))</f>
        <v/>
      </c>
      <c r="D22" t="inlineStr">
        <is>
          <t>multiplier</t>
        </is>
      </c>
      <c r="E22" s="1559" t="inlineStr">
        <is>
          <t>From TABLE B. Base = 14 ft. Common: 20ft=1.133, 18ft=1.086, 16ft=1.041, 14ft=1.000, 12ft=0.960, 10ft=0.921. Enter actual clear eave height.</t>
        </is>
      </c>
      <c r="F22" s="1433" t="inlineStr">
        <is>
          <t>Avg Eave/Wall Ht (ft) →</t>
        </is>
      </c>
      <c r="G22" s="1434" t="n">
        <v>40</v>
      </c>
    </row>
    <row r="23" ht="6" customHeight="1" s="1439"/>
    <row r="24" ht="15.95" customHeight="1" s="1439">
      <c r="A24" s="1442" t="inlineStr">
        <is>
          <t>STEP 4 -- SITE IMPROVEMENT RATES</t>
        </is>
      </c>
    </row>
    <row r="25" ht="21.95" customHeight="1" s="1439">
      <c r="B25" t="inlineStr">
        <is>
          <t>Asphalt Paving per SF  [-&gt; D22]</t>
        </is>
      </c>
      <c r="C25" s="1832" t="n">
        <v>3.1</v>
      </c>
      <c r="D25" t="inlineStr">
        <is>
          <t>$/SF</t>
        </is>
      </c>
      <c r="E25" s="1559" t="inlineStr">
        <is>
          <t>Sec.66 p.1 (Dec 2023). Large areas &gt;3,000 SF: 4-inch asphalt .92-.51/SF, avg .10/SF.</t>
        </is>
      </c>
      <c r="F25" t="inlineStr">
        <is>
          <t>MVS Sec.66 p.1 (Dec 2023)</t>
        </is>
      </c>
    </row>
    <row r="26" ht="21.95" customHeight="1" s="1439">
      <c r="B26" t="inlineStr">
        <is>
          <t>Concrete Paving per SF  [-&gt; D24]</t>
        </is>
      </c>
      <c r="C26" s="1832" t="n">
        <v>5.51</v>
      </c>
      <c r="D26" t="inlineStr">
        <is>
          <t>$/SF</t>
        </is>
      </c>
      <c r="E26" s="1559" t="inlineStr">
        <is>
          <t>Sec.66 p.1 (Dec 2023). Large areas: 6-inch concrete .66-.71/SF, avg .51/SF.</t>
        </is>
      </c>
      <c r="F26" t="inlineStr">
        <is>
          <t>MVS Sec.66 p.1 (Dec 2023)</t>
        </is>
      </c>
    </row>
    <row r="27" ht="21.95" customHeight="1" s="1439">
      <c r="B27" t="inlineStr">
        <is>
          <t>Parking Striping per Space  [-&gt; D23]</t>
        </is>
      </c>
      <c r="C27" s="1832" t="n">
        <v>20</v>
      </c>
      <c r="D27" t="inlineStr">
        <is>
          <t>$/space</t>
        </is>
      </c>
      <c r="E27" s="1559" t="inlineStr">
        <is>
          <t>Market-derived. No MVS table. Typical range -/space. Adjust for painted vs. thermoplastic.</t>
        </is>
      </c>
      <c r="F27" t="inlineStr">
        <is>
          <t>Market data</t>
        </is>
      </c>
    </row>
    <row r="28" ht="21.95" customHeight="1" s="1439">
      <c r="B28" t="inlineStr">
        <is>
          <t>Landscaping per SF (lot area)  [-&gt; D27]</t>
        </is>
      </c>
      <c r="C28" s="1832" t="n">
        <v>5.5</v>
      </c>
      <c r="D28" t="inlineStr">
        <is>
          <t>$/SF lot</t>
        </is>
      </c>
      <c r="E28" s="1559" t="inlineStr">
        <is>
          <t>Sec.66 landscaping or market estimate. Applied to landscaped lot area. Adjust for density of planting and irrigation.</t>
        </is>
      </c>
      <c r="F28" t="inlineStr">
        <is>
          <t>MVS Sec.66 / market</t>
        </is>
      </c>
    </row>
    <row r="29" ht="6" customHeight="1" s="1439"/>
    <row r="30" ht="15.95" customHeight="1" s="1439">
      <c r="A30" s="1442" t="inlineStr">
        <is>
          <t>STEP 5 -- COST ADJUSTMENTS</t>
        </is>
      </c>
    </row>
    <row r="31" ht="21.95" customHeight="1" s="1439">
      <c r="B31" t="inlineStr">
        <is>
          <t>Indirect Costs %  [-&gt; C30]</t>
        </is>
      </c>
      <c r="C31" s="1833" t="n">
        <v>0.1</v>
      </c>
      <c r="D31" t="inlineStr">
        <is>
          <t>% of construction</t>
        </is>
      </c>
      <c r="E31" s="1559" t="inlineStr">
        <is>
          <t>Financing, permits, professional fees, insurance during construction. Typical 8%-15%. MVS default ~10%.</t>
        </is>
      </c>
      <c r="F31" t="inlineStr">
        <is>
          <t>MVS / market</t>
        </is>
      </c>
    </row>
    <row r="32" ht="21.95" customHeight="1" s="1439">
      <c r="B32" t="inlineStr">
        <is>
          <t>Entrepreneurial Profit %  [-&gt; C32]</t>
        </is>
      </c>
      <c r="C32" s="1833" t="n">
        <v>0.15</v>
      </c>
      <c r="D32" t="inlineStr">
        <is>
          <t>% of (constr+indirect)</t>
        </is>
      </c>
      <c r="E32" s="1559" t="inlineStr">
        <is>
          <t>Developer expected return above cost. Typical 10%-20%. MVS default ~15%. Adjust for market conditions.</t>
        </is>
      </c>
      <c r="F32" t="inlineStr">
        <is>
          <t>MVS / market</t>
        </is>
      </c>
    </row>
    <row r="33" ht="6" customHeight="1" s="1439"/>
    <row r="34" ht="15.95" customHeight="1" s="1439">
      <c r="A34" s="1442" t="inlineStr">
        <is>
          <t>STEP 6 -- DEPRECIATION OVERRIDES  (enter 0 if none)</t>
        </is>
      </c>
    </row>
    <row r="35" ht="21.95" customHeight="1" s="1439">
      <c r="B35" t="inlineStr">
        <is>
          <t>Curable Deferred Maintenance ($)  [-&gt; F38]</t>
        </is>
      </c>
      <c r="C35" s="1834" t="n">
        <v>0</v>
      </c>
      <c r="D35" t="inlineStr">
        <is>
          <t>$</t>
        </is>
      </c>
      <c r="E35" s="1559" t="inlineStr">
        <is>
          <t>Dollar cost to cure deferred items (roof, HVAC, etc.). Enter positive number. 0 = no curable items.</t>
        </is>
      </c>
      <c r="F35" t="inlineStr">
        <is>
          <t>Inspection / market</t>
        </is>
      </c>
    </row>
    <row r="36" ht="21.95" customHeight="1" s="1439">
      <c r="B36" t="inlineStr">
        <is>
          <t>Functional Obsolescence %  [-&gt; C43]</t>
        </is>
      </c>
      <c r="C36" s="1833" t="n">
        <v>0</v>
      </c>
      <c r="D36" t="inlineStr">
        <is>
          <t>% of RCN</t>
        </is>
      </c>
      <c r="E36" s="1559" t="inlineStr">
        <is>
          <t>Loss from design deficiencies (excess bays, substandard ceiling height, etc.). 0 = none.</t>
        </is>
      </c>
      <c r="F36" t="inlineStr">
        <is>
          <t>Market analysis</t>
        </is>
      </c>
    </row>
    <row r="37" ht="21.95" customHeight="1" s="1439">
      <c r="B37" t="inlineStr">
        <is>
          <t>External Obsolescence %  [-&gt; C44]</t>
        </is>
      </c>
      <c r="C37" s="1833" t="n">
        <v>0</v>
      </c>
      <c r="D37" t="inlineStr">
        <is>
          <t>% of RCN</t>
        </is>
      </c>
      <c r="E37" s="1559" t="inlineStr">
        <is>
          <t>Loss from external factors (market, economic, locational). 0 = none.</t>
        </is>
      </c>
      <c r="F37" t="inlineStr">
        <is>
          <t>Market analysis</t>
        </is>
      </c>
    </row>
    <row r="38" ht="9.949999999999999" customHeight="1" s="1439"/>
    <row r="39" ht="18" customHeight="1" s="1439">
      <c r="A39" s="1443" t="inlineStr">
        <is>
          <t>MVS QUICK-REFERENCE TABLES -- DO NOT EDIT  (sourced from MVS June 2024 edition)</t>
        </is>
      </c>
    </row>
    <row r="40" ht="15.95" customHeight="1" s="1439">
      <c r="A40" s="1440" t="inlineStr">
        <is>
          <t>TABLE A -- Occ. 406: Storage Warehouses | Base Cost per SF | MVS Sec.14, p.26 (Feb 2024)</t>
        </is>
      </c>
    </row>
    <row r="41" ht="14.1" customHeight="1" s="1439">
      <c r="A41" s="1418" t="inlineStr">
        <is>
          <t>Class</t>
        </is>
      </c>
      <c r="B41" s="1418" t="inlineStr">
        <is>
          <t>Quality</t>
        </is>
      </c>
      <c r="C41" s="1418" t="inlineStr">
        <is>
          <t>$/SF</t>
        </is>
      </c>
      <c r="D41" s="1437" t="inlineStr">
        <is>
          <t>Key (auto)</t>
        </is>
      </c>
      <c r="E41" s="1418" t="n"/>
      <c r="F41" s="1418" t="n"/>
    </row>
    <row r="42" ht="12.95" customHeight="1" s="1439">
      <c r="A42" s="1419" t="inlineStr">
        <is>
          <t>A</t>
        </is>
      </c>
      <c r="B42" s="1419" t="inlineStr">
        <is>
          <t>Good</t>
        </is>
      </c>
      <c r="C42" s="1691" t="n">
        <v>137</v>
      </c>
      <c r="D42" t="inlineStr">
        <is>
          <t>A~Good</t>
        </is>
      </c>
    </row>
    <row r="43" ht="12.95" customHeight="1" s="1439">
      <c r="A43" s="1419" t="inlineStr">
        <is>
          <t>A</t>
        </is>
      </c>
      <c r="B43" s="1419" t="inlineStr">
        <is>
          <t>Average</t>
        </is>
      </c>
      <c r="C43" s="1691" t="n">
        <v>101</v>
      </c>
      <c r="D43" t="inlineStr">
        <is>
          <t>A~Average</t>
        </is>
      </c>
    </row>
    <row r="44" ht="12.95" customHeight="1" s="1439">
      <c r="A44" s="1419" t="inlineStr">
        <is>
          <t>A</t>
        </is>
      </c>
      <c r="B44" s="1419" t="inlineStr">
        <is>
          <t>Low Cost</t>
        </is>
      </c>
      <c r="C44" s="1691" t="n">
        <v>79.5</v>
      </c>
      <c r="D44" t="inlineStr">
        <is>
          <t>A~Low Cost</t>
        </is>
      </c>
    </row>
    <row r="45" ht="12.95" customHeight="1" s="1439">
      <c r="A45" s="1419" t="inlineStr">
        <is>
          <t>B</t>
        </is>
      </c>
      <c r="B45" s="1419" t="inlineStr">
        <is>
          <t>Good</t>
        </is>
      </c>
      <c r="C45" s="1691" t="n">
        <v>121</v>
      </c>
      <c r="D45" t="inlineStr">
        <is>
          <t>B~Good</t>
        </is>
      </c>
    </row>
    <row r="46" ht="12.95" customHeight="1" s="1439">
      <c r="A46" s="1419" t="inlineStr">
        <is>
          <t>B</t>
        </is>
      </c>
      <c r="B46" s="1419" t="inlineStr">
        <is>
          <t>Average</t>
        </is>
      </c>
      <c r="C46" s="1691" t="n">
        <v>88</v>
      </c>
      <c r="D46" t="inlineStr">
        <is>
          <t>B~Average</t>
        </is>
      </c>
    </row>
    <row r="47" ht="12.95" customHeight="1" s="1439">
      <c r="A47" s="1419" t="inlineStr">
        <is>
          <t>B</t>
        </is>
      </c>
      <c r="B47" s="1419" t="inlineStr">
        <is>
          <t>Low Cost</t>
        </is>
      </c>
      <c r="C47" s="1691" t="n">
        <v>69</v>
      </c>
      <c r="D47" t="inlineStr">
        <is>
          <t>B~Low Cost</t>
        </is>
      </c>
    </row>
    <row r="48" ht="12.95" customHeight="1" s="1439">
      <c r="A48" s="1419" t="inlineStr">
        <is>
          <t>C</t>
        </is>
      </c>
      <c r="B48" s="1419" t="inlineStr">
        <is>
          <t>Excellent</t>
        </is>
      </c>
      <c r="C48" s="1691" t="n">
        <v>134</v>
      </c>
      <c r="D48" t="inlineStr">
        <is>
          <t>C~Excellent</t>
        </is>
      </c>
    </row>
    <row r="49" ht="12.95" customHeight="1" s="1439">
      <c r="A49" s="1419" t="inlineStr">
        <is>
          <t>C</t>
        </is>
      </c>
      <c r="B49" s="1419" t="inlineStr">
        <is>
          <t>Good</t>
        </is>
      </c>
      <c r="C49" s="1691" t="n">
        <v>86.5</v>
      </c>
      <c r="D49" t="inlineStr">
        <is>
          <t>C~Good</t>
        </is>
      </c>
    </row>
    <row r="50" ht="12.95" customHeight="1" s="1439">
      <c r="A50" s="1419" t="inlineStr">
        <is>
          <t>C</t>
        </is>
      </c>
      <c r="B50" s="1419" t="inlineStr">
        <is>
          <t>Average</t>
        </is>
      </c>
      <c r="C50" s="1691" t="n">
        <v>61</v>
      </c>
      <c r="D50" t="inlineStr">
        <is>
          <t>C~Average</t>
        </is>
      </c>
    </row>
    <row r="51" ht="12.95" customHeight="1" s="1439">
      <c r="A51" s="1419" t="inlineStr">
        <is>
          <t>C</t>
        </is>
      </c>
      <c r="B51" s="1419" t="inlineStr">
        <is>
          <t>Low Cost</t>
        </is>
      </c>
      <c r="C51" s="1691" t="n">
        <v>43</v>
      </c>
      <c r="D51" t="inlineStr">
        <is>
          <t>C~Low Cost</t>
        </is>
      </c>
    </row>
    <row r="52" ht="12.95" customHeight="1" s="1439">
      <c r="A52" s="1419" t="inlineStr">
        <is>
          <t>C-Mill</t>
        </is>
      </c>
      <c r="B52" s="1419" t="inlineStr">
        <is>
          <t>Good</t>
        </is>
      </c>
      <c r="C52" s="1691" t="n">
        <v>119</v>
      </c>
      <c r="D52" t="inlineStr">
        <is>
          <t>C-Mill~Good</t>
        </is>
      </c>
    </row>
    <row r="53" ht="12.95" customHeight="1" s="1439">
      <c r="A53" s="1419" t="inlineStr">
        <is>
          <t>C-Mill</t>
        </is>
      </c>
      <c r="B53" s="1419" t="inlineStr">
        <is>
          <t>Average</t>
        </is>
      </c>
      <c r="C53" s="1691" t="n">
        <v>82</v>
      </c>
      <c r="D53" t="inlineStr">
        <is>
          <t>C-Mill~Average</t>
        </is>
      </c>
    </row>
    <row r="54" ht="12.95" customHeight="1" s="1439">
      <c r="A54" s="1419" t="inlineStr">
        <is>
          <t>D</t>
        </is>
      </c>
      <c r="B54" s="1419" t="inlineStr">
        <is>
          <t>Good</t>
        </is>
      </c>
      <c r="C54" s="1691" t="n">
        <v>78</v>
      </c>
      <c r="D54" t="inlineStr">
        <is>
          <t>D~Good</t>
        </is>
      </c>
    </row>
    <row r="55" ht="12.95" customHeight="1" s="1439">
      <c r="A55" s="1419" t="inlineStr">
        <is>
          <t>D</t>
        </is>
      </c>
      <c r="B55" s="1419" t="inlineStr">
        <is>
          <t>Average</t>
        </is>
      </c>
      <c r="C55" s="1691" t="n">
        <v>54.5</v>
      </c>
      <c r="D55" t="inlineStr">
        <is>
          <t>D~Average</t>
        </is>
      </c>
    </row>
    <row r="56" ht="12.95" customHeight="1" s="1439">
      <c r="A56" s="1419" t="inlineStr">
        <is>
          <t>D</t>
        </is>
      </c>
      <c r="B56" s="1419" t="inlineStr">
        <is>
          <t>Low Cost</t>
        </is>
      </c>
      <c r="C56" s="1691" t="n">
        <v>38.75</v>
      </c>
      <c r="D56" t="inlineStr">
        <is>
          <t>D~Low Cost</t>
        </is>
      </c>
    </row>
    <row r="57" ht="12.95" customHeight="1" s="1439">
      <c r="A57" s="1419" t="inlineStr">
        <is>
          <t>D-Pole</t>
        </is>
      </c>
      <c r="B57" s="1419" t="inlineStr">
        <is>
          <t>Average</t>
        </is>
      </c>
      <c r="C57" s="1691" t="n">
        <v>48</v>
      </c>
      <c r="D57" t="inlineStr">
        <is>
          <t>D-Pole~Average</t>
        </is>
      </c>
    </row>
    <row r="58" ht="12.95" customHeight="1" s="1439">
      <c r="A58" s="1419" t="inlineStr">
        <is>
          <t>D-Pole</t>
        </is>
      </c>
      <c r="B58" s="1419" t="inlineStr">
        <is>
          <t>Low Cost</t>
        </is>
      </c>
      <c r="C58" s="1691" t="n">
        <v>34</v>
      </c>
      <c r="D58" t="inlineStr">
        <is>
          <t>D-Pole~Low Cost</t>
        </is>
      </c>
    </row>
    <row r="59" ht="12.95" customHeight="1" s="1439">
      <c r="A59" s="1419" t="inlineStr">
        <is>
          <t>S</t>
        </is>
      </c>
      <c r="B59" s="1419" t="inlineStr">
        <is>
          <t>Excellent</t>
        </is>
      </c>
      <c r="C59" s="1691" t="n">
        <v>125</v>
      </c>
      <c r="D59" t="inlineStr">
        <is>
          <t>S~Excellent</t>
        </is>
      </c>
    </row>
    <row r="60" ht="12.95" customHeight="1" s="1439">
      <c r="A60" s="1419" t="inlineStr">
        <is>
          <t>S</t>
        </is>
      </c>
      <c r="B60" s="1419" t="inlineStr">
        <is>
          <t>Good</t>
        </is>
      </c>
      <c r="C60" s="1691" t="n">
        <v>79.5</v>
      </c>
      <c r="D60" t="inlineStr">
        <is>
          <t>S~Good</t>
        </is>
      </c>
    </row>
    <row r="61" ht="12.95" customHeight="1" s="1439">
      <c r="A61" s="1419" t="inlineStr">
        <is>
          <t>S</t>
        </is>
      </c>
      <c r="B61" s="1419" t="inlineStr">
        <is>
          <t>Average</t>
        </is>
      </c>
      <c r="C61" s="1691" t="n">
        <v>55.5</v>
      </c>
      <c r="D61" t="inlineStr">
        <is>
          <t>S~Average</t>
        </is>
      </c>
    </row>
    <row r="62" ht="12.95" customHeight="1" s="1439">
      <c r="A62" s="1419" t="inlineStr">
        <is>
          <t>S</t>
        </is>
      </c>
      <c r="B62" s="1419" t="inlineStr">
        <is>
          <t>Low Cost</t>
        </is>
      </c>
      <c r="C62" s="1691" t="n">
        <v>38.75</v>
      </c>
      <c r="D62" t="inlineStr">
        <is>
          <t>S~Low Cost</t>
        </is>
      </c>
    </row>
    <row r="63" ht="8.1" customHeight="1" s="1439"/>
    <row r="64" ht="15.95" customHeight="1" s="1439">
      <c r="A64" s="1440" t="inlineStr">
        <is>
          <t>TABLE B -- Story Height Multipliers | Base = 14 ft | MVS Sec.14, p.39 (Feb 2024)</t>
        </is>
      </c>
    </row>
    <row r="65" ht="14.1" customHeight="1" s="1439">
      <c r="A65" s="1418" t="inlineStr">
        <is>
          <t>Ht (ft)</t>
        </is>
      </c>
      <c r="B65" s="1418" t="inlineStr">
        <is>
          <t>Multiplier</t>
        </is>
      </c>
      <c r="C65" s="1418" t="n"/>
      <c r="D65" s="1418" t="inlineStr">
        <is>
          <t>Ht (ft)</t>
        </is>
      </c>
      <c r="E65" s="1418" t="inlineStr">
        <is>
          <t>Multiplier</t>
        </is>
      </c>
      <c r="F65" s="1418" t="n"/>
    </row>
    <row r="66" ht="12.95" customHeight="1" s="1439">
      <c r="A66" s="1419" t="n">
        <v>8</v>
      </c>
      <c r="B66" t="n">
        <v>0.885</v>
      </c>
      <c r="D66" s="1419" t="n">
        <v>20</v>
      </c>
      <c r="E66" s="1835" t="n">
        <v>1.133</v>
      </c>
    </row>
    <row r="67" ht="12.95" customHeight="1" s="1439">
      <c r="A67" s="1419" t="n">
        <v>10</v>
      </c>
      <c r="B67" t="n">
        <v>0.921</v>
      </c>
      <c r="D67" s="1419" t="n">
        <v>22</v>
      </c>
      <c r="E67" s="1835" t="n">
        <v>1.181</v>
      </c>
    </row>
    <row r="68" ht="12.95" customHeight="1" s="1439">
      <c r="A68" s="1419" t="n">
        <v>12</v>
      </c>
      <c r="B68" t="n">
        <v>0.96</v>
      </c>
      <c r="D68" s="1419" t="n">
        <v>24</v>
      </c>
      <c r="E68" s="1835" t="n">
        <v>1.231</v>
      </c>
    </row>
    <row r="69" ht="12.95" customHeight="1" s="1439">
      <c r="A69" s="1419" t="n">
        <v>14</v>
      </c>
      <c r="B69" t="inlineStr">
        <is>
          <t>1.000 (BASE)</t>
        </is>
      </c>
      <c r="D69" s="1419" t="n">
        <v>26</v>
      </c>
      <c r="E69" s="1835" t="n">
        <v>1.281</v>
      </c>
    </row>
    <row r="70" ht="12.95" customHeight="1" s="1439">
      <c r="A70" s="1419" t="n">
        <v>16</v>
      </c>
      <c r="B70" t="n">
        <v>1.041</v>
      </c>
      <c r="D70" s="1419" t="n">
        <v>28</v>
      </c>
      <c r="E70" s="1835" t="n">
        <v>1.331</v>
      </c>
    </row>
    <row r="71" ht="12.95" customHeight="1" s="1439">
      <c r="A71" s="1419" t="n">
        <v>18</v>
      </c>
      <c r="B71" t="n">
        <v>1.086</v>
      </c>
      <c r="D71" s="1419" t="n">
        <v>30</v>
      </c>
      <c r="E71" s="1835" t="n">
        <v>1.382</v>
      </c>
    </row>
    <row r="72" ht="12.95" customHeight="1" s="1439">
      <c r="D72" s="1419" t="n">
        <v>35</v>
      </c>
      <c r="E72" s="1835" t="n">
        <v>1.515</v>
      </c>
    </row>
    <row r="73" ht="12.95" customHeight="1" s="1439">
      <c r="D73" s="1419" t="n">
        <v>40</v>
      </c>
      <c r="E73" s="1835" t="n">
        <v>1.65</v>
      </c>
    </row>
    <row r="74" ht="12.95" customHeight="1" s="1439">
      <c r="D74" s="1419" t="n">
        <v>45</v>
      </c>
      <c r="E74" s="1835" t="n">
        <v>1.788</v>
      </c>
    </row>
    <row r="75" ht="12.95" customHeight="1" s="1439">
      <c r="D75" s="1419" t="n">
        <v>50</v>
      </c>
      <c r="E75" s="1835" t="n">
        <v>1.93</v>
      </c>
    </row>
    <row r="76" ht="8.1" customHeight="1" s="1439"/>
    <row r="77" ht="15.95" customHeight="1" s="1439">
      <c r="A77" s="1440" t="inlineStr">
        <is>
          <t>TABLE C -- Current Cost Multipliers | Sec.14 (eff. Feb 2024), Jan 2025 update | MVS Sec.99, p.3</t>
        </is>
      </c>
    </row>
    <row r="78" ht="14.1" customHeight="1" s="1439">
      <c r="A78" s="1418" t="inlineStr">
        <is>
          <t>Region</t>
        </is>
      </c>
      <c r="B78" s="1418" t="inlineStr">
        <is>
          <t>Class A</t>
        </is>
      </c>
      <c r="C78" s="1418" t="inlineStr">
        <is>
          <t>Class B</t>
        </is>
      </c>
      <c r="D78" s="1418" t="inlineStr">
        <is>
          <t>Class C</t>
        </is>
      </c>
      <c r="E78" s="1418" t="inlineStr">
        <is>
          <t>Class D</t>
        </is>
      </c>
      <c r="F78" s="1418" t="inlineStr">
        <is>
          <t>Class S</t>
        </is>
      </c>
    </row>
    <row r="79" ht="12.95" customHeight="1" s="1439">
      <c r="A79" s="1419" t="inlineStr">
        <is>
          <t>WESTERN</t>
        </is>
      </c>
      <c r="B79" s="1835" t="n">
        <v>1.07</v>
      </c>
      <c r="C79" s="1835" t="n">
        <v>1.04</v>
      </c>
      <c r="D79" s="1835" t="n">
        <v>1.06</v>
      </c>
      <c r="E79" s="1835" t="n">
        <v>1.05</v>
      </c>
      <c r="F79" s="1835" t="n">
        <v>1.04</v>
      </c>
    </row>
    <row r="80" ht="12.95" customHeight="1" s="1439">
      <c r="A80" s="1419" t="inlineStr">
        <is>
          <t>CENTRAL</t>
        </is>
      </c>
      <c r="B80" s="1835" t="n">
        <v>1</v>
      </c>
      <c r="C80" s="1835" t="n">
        <v>0.99</v>
      </c>
      <c r="D80" s="1835" t="n">
        <v>0.99</v>
      </c>
      <c r="E80" s="1835" t="n">
        <v>0.99</v>
      </c>
      <c r="F80" s="1835" t="n">
        <v>0.99</v>
      </c>
    </row>
    <row r="81" ht="12.95" customHeight="1" s="1439">
      <c r="A81" s="1419" t="inlineStr">
        <is>
          <t>EASTERN</t>
        </is>
      </c>
      <c r="B81" s="1835" t="n">
        <v>1.02</v>
      </c>
      <c r="C81" s="1835" t="n">
        <v>1.04</v>
      </c>
      <c r="D81" s="1835" t="n">
        <v>1.03</v>
      </c>
      <c r="E81" s="1835" t="n">
        <v>1.01</v>
      </c>
      <c r="F81" s="1835" t="n">
        <v>1.03</v>
      </c>
    </row>
    <row r="82" ht="12.95" customHeight="1" s="1439">
      <c r="A82" s="1438" t="inlineStr">
        <is>
          <t>NOTE: Colorado = EASTERN region for current cost multiplier purposes.</t>
        </is>
      </c>
    </row>
    <row r="83" ht="8.1" customHeight="1" s="1439"/>
    <row r="84" ht="15.95" customHeight="1" s="1439">
      <c r="A84" s="1440" t="inlineStr">
        <is>
          <t>TABLE C2 -- Colorado Local Area Multipliers | Jan 2025 update | MVS Sec.99, p.7</t>
        </is>
      </c>
    </row>
    <row r="85" ht="14.1" customHeight="1" s="1439">
      <c r="A85" s="1418" t="inlineStr">
        <is>
          <t>City / Area</t>
        </is>
      </c>
      <c r="B85" s="1418" t="inlineStr">
        <is>
          <t>Class A</t>
        </is>
      </c>
      <c r="C85" s="1418" t="inlineStr">
        <is>
          <t>Class B</t>
        </is>
      </c>
      <c r="D85" s="1418" t="inlineStr">
        <is>
          <t>Class C</t>
        </is>
      </c>
      <c r="E85" s="1418" t="inlineStr">
        <is>
          <t>Class D</t>
        </is>
      </c>
      <c r="F85" s="1418" t="inlineStr">
        <is>
          <t>Class S</t>
        </is>
      </c>
    </row>
    <row r="86" ht="12.95" customHeight="1" s="1439">
      <c r="A86" s="1419" t="inlineStr">
        <is>
          <t>Colorado Statewide</t>
        </is>
      </c>
      <c r="B86" s="1835" t="n">
        <v>1</v>
      </c>
      <c r="C86" s="1835" t="n">
        <v>1.02</v>
      </c>
      <c r="D86" s="1835" t="n">
        <v>1.02</v>
      </c>
      <c r="E86" s="1835" t="n">
        <v>1.01</v>
      </c>
      <c r="F86" s="1835" t="n">
        <v>1.02</v>
      </c>
    </row>
    <row r="87" ht="12.95" customHeight="1" s="1439">
      <c r="A87" s="1419" t="inlineStr">
        <is>
          <t>Denver</t>
        </is>
      </c>
      <c r="B87" s="1835" t="n">
        <v>1.01</v>
      </c>
      <c r="C87" s="1835" t="n">
        <v>1</v>
      </c>
      <c r="D87" s="1835" t="n">
        <v>1</v>
      </c>
      <c r="E87" s="1835" t="n">
        <v>1</v>
      </c>
      <c r="F87" s="1835" t="n">
        <v>1.03</v>
      </c>
    </row>
    <row r="88" ht="12.95" customHeight="1" s="1439">
      <c r="A88" s="1419" t="inlineStr">
        <is>
          <t>Boulder</t>
        </is>
      </c>
      <c r="B88" s="1835" t="n">
        <v>0.98</v>
      </c>
      <c r="C88" s="1835" t="n">
        <v>0.98</v>
      </c>
      <c r="D88" s="1835" t="n">
        <v>0.98</v>
      </c>
      <c r="E88" s="1835" t="n">
        <v>0.97</v>
      </c>
      <c r="F88" s="1835" t="n">
        <v>0.99</v>
      </c>
    </row>
    <row r="89" ht="12.95" customHeight="1" s="1439">
      <c r="A89" s="1419" t="inlineStr">
        <is>
          <t>Colorado Springs</t>
        </is>
      </c>
      <c r="B89" s="1835" t="n">
        <v>0.98</v>
      </c>
      <c r="C89" s="1835" t="n">
        <v>0.99</v>
      </c>
      <c r="D89" s="1835" t="n">
        <v>0.96</v>
      </c>
      <c r="E89" s="1835" t="n">
        <v>0.98</v>
      </c>
      <c r="F89" s="1835" t="n">
        <v>1</v>
      </c>
    </row>
    <row r="90" ht="12.95" customHeight="1" s="1439">
      <c r="A90" s="1419" t="inlineStr">
        <is>
          <t>Fort Collins</t>
        </is>
      </c>
      <c r="B90" s="1835" t="n">
        <v>0.98</v>
      </c>
      <c r="C90" s="1835" t="n">
        <v>1</v>
      </c>
      <c r="D90" s="1835" t="n">
        <v>1.01</v>
      </c>
      <c r="E90" s="1835" t="n">
        <v>0.99</v>
      </c>
      <c r="F90" s="1835" t="n">
        <v>1.01</v>
      </c>
    </row>
    <row r="91" ht="12.95" customHeight="1" s="1439">
      <c r="A91" s="1419" t="inlineStr">
        <is>
          <t>Grand Junction</t>
        </is>
      </c>
      <c r="B91" s="1835" t="n">
        <v>0.98</v>
      </c>
      <c r="C91" s="1835" t="n">
        <v>0.99</v>
      </c>
      <c r="D91" s="1835" t="n">
        <v>1</v>
      </c>
      <c r="E91" s="1835" t="n">
        <v>1</v>
      </c>
      <c r="F91" s="1835" t="n">
        <v>1.02</v>
      </c>
    </row>
    <row r="92" ht="12.95" customHeight="1" s="1439">
      <c r="A92" s="1419" t="inlineStr">
        <is>
          <t>Greeley</t>
        </is>
      </c>
      <c r="B92" s="1835" t="n">
        <v>0.98</v>
      </c>
      <c r="C92" s="1835" t="n">
        <v>1</v>
      </c>
      <c r="D92" s="1835" t="n">
        <v>1.01</v>
      </c>
      <c r="E92" s="1835" t="n">
        <v>0.99</v>
      </c>
      <c r="F92" s="1835" t="n">
        <v>0.99</v>
      </c>
    </row>
    <row r="93" ht="12.95" customHeight="1" s="1439">
      <c r="A93" s="1419" t="inlineStr">
        <is>
          <t>Pueblo</t>
        </is>
      </c>
      <c r="B93" s="1835" t="n">
        <v>0.95</v>
      </c>
      <c r="C93" s="1835" t="n">
        <v>0.95</v>
      </c>
      <c r="D93" s="1835" t="n">
        <v>0.95</v>
      </c>
      <c r="E93" s="1835" t="n">
        <v>0.95</v>
      </c>
      <c r="F93" s="1835" t="n">
        <v>0.95</v>
      </c>
    </row>
    <row r="94" ht="12.95" customHeight="1" s="1439">
      <c r="A94" s="1438" t="inlineStr">
        <is>
          <t>NOTE: Adams County -- use Colorado Statewide (1.01 for Class D) or Denver (1.00 for Class D). Confirm with county practice.</t>
        </is>
      </c>
    </row>
    <row r="95" ht="8.1" customHeight="1" s="1439"/>
    <row r="96" ht="15.95" customHeight="1" s="1439">
      <c r="A96" s="1440" t="inlineStr">
        <is>
          <t>TABLE D -- Wet Sprinkler System Add-On per SF | MVS Sec.14, p.37 (Feb 2024)</t>
        </is>
      </c>
    </row>
    <row r="97" ht="14.1" customHeight="1" s="1439">
      <c r="A97" s="1418" t="inlineStr">
        <is>
          <t>Coverage SF</t>
        </is>
      </c>
      <c r="B97" s="1418" t="inlineStr">
        <is>
          <t>Low Cost</t>
        </is>
      </c>
      <c r="C97" s="1418" t="inlineStr">
        <is>
          <t>Average</t>
        </is>
      </c>
      <c r="D97" s="1418" t="inlineStr">
        <is>
          <t>Good</t>
        </is>
      </c>
      <c r="E97" s="1418" t="inlineStr">
        <is>
          <t>Excellent</t>
        </is>
      </c>
      <c r="F97" s="1418" t="n"/>
    </row>
    <row r="98" ht="12.95" customHeight="1" s="1439">
      <c r="A98" s="67" t="n">
        <v>5000</v>
      </c>
      <c r="B98" s="1691" t="n">
        <v>4.17</v>
      </c>
      <c r="C98" s="1691" t="n">
        <v>5.02</v>
      </c>
      <c r="D98" s="1691" t="n">
        <v>6.05</v>
      </c>
      <c r="E98" s="1691" t="n">
        <v>7.28</v>
      </c>
    </row>
    <row r="99" ht="12.95" customHeight="1" s="1439">
      <c r="A99" s="67" t="n">
        <v>10000</v>
      </c>
      <c r="B99" s="1691" t="n">
        <v>3.77</v>
      </c>
      <c r="C99" s="1691" t="n">
        <v>4.52</v>
      </c>
      <c r="D99" s="1691" t="n">
        <v>5.41</v>
      </c>
      <c r="E99" s="1691" t="n">
        <v>6.48</v>
      </c>
    </row>
    <row r="100" ht="12.95" customHeight="1" s="1439">
      <c r="A100" s="67" t="n">
        <v>20000</v>
      </c>
      <c r="B100" s="1691" t="n">
        <v>3.37</v>
      </c>
      <c r="C100" s="1691" t="n">
        <v>4.02</v>
      </c>
      <c r="D100" s="1691" t="n">
        <v>4.78</v>
      </c>
      <c r="E100" s="1691" t="n">
        <v>5.7</v>
      </c>
    </row>
    <row r="101" ht="12.95" customHeight="1" s="1439">
      <c r="A101" s="67" t="n">
        <v>40000</v>
      </c>
      <c r="B101" s="1691" t="n">
        <v>3.04</v>
      </c>
      <c r="C101" s="1691" t="n">
        <v>3.6</v>
      </c>
      <c r="D101" s="1691" t="n">
        <v>4.27</v>
      </c>
      <c r="E101" s="1691" t="n">
        <v>5.06</v>
      </c>
    </row>
    <row r="102" ht="12.95" customHeight="1" s="1439">
      <c r="A102" s="67" t="n">
        <v>60000</v>
      </c>
      <c r="B102" s="1691" t="n">
        <v>2.87</v>
      </c>
      <c r="C102" s="1691" t="n">
        <v>3.39</v>
      </c>
      <c r="D102" s="1691" t="n">
        <v>3.99</v>
      </c>
      <c r="E102" s="1691" t="n">
        <v>4.71</v>
      </c>
    </row>
    <row r="103" ht="12.95" customHeight="1" s="1439">
      <c r="A103" s="67" t="n">
        <v>100000</v>
      </c>
      <c r="B103" s="1691" t="n">
        <v>2.66</v>
      </c>
      <c r="C103" s="1691" t="n">
        <v>3.13</v>
      </c>
      <c r="D103" s="1691" t="n">
        <v>3.68</v>
      </c>
      <c r="E103" s="1691" t="n">
        <v>4.32</v>
      </c>
    </row>
    <row r="104" ht="12.95" customHeight="1" s="1439">
      <c r="A104" s="67" t="n">
        <v>150000</v>
      </c>
      <c r="B104" s="1691" t="n">
        <v>2.49</v>
      </c>
      <c r="C104" s="1691" t="n">
        <v>2.92</v>
      </c>
      <c r="D104" s="1691" t="n">
        <v>3.43</v>
      </c>
      <c r="E104" s="1691" t="n">
        <v>4.03</v>
      </c>
    </row>
    <row r="105" ht="12.95" customHeight="1" s="1439">
      <c r="A105" s="67" t="n">
        <v>200000</v>
      </c>
      <c r="B105" s="1691" t="n">
        <v>2.4</v>
      </c>
      <c r="C105" s="1691" t="n">
        <v>2.81</v>
      </c>
      <c r="D105" s="1691" t="n">
        <v>3.28</v>
      </c>
      <c r="E105" s="1691" t="n">
        <v>3.84</v>
      </c>
    </row>
    <row r="106" ht="8.1" customHeight="1" s="1439"/>
    <row r="107" ht="15.95" customHeight="1" s="1439">
      <c r="A107" s="1440" t="inlineStr">
        <is>
          <t>TABLE E -- Site Paving Costs per SF | MVS Sec.66, pp.1-2 (Dec 2023)</t>
        </is>
      </c>
    </row>
    <row r="108" ht="14.1" customHeight="1" s="1439">
      <c r="A108" s="1418" t="inlineStr">
        <is>
          <t>Paving Type</t>
        </is>
      </c>
      <c r="B108" s="1418" t="inlineStr">
        <is>
          <t>Low</t>
        </is>
      </c>
      <c r="C108" s="1418" t="inlineStr">
        <is>
          <t>Average</t>
        </is>
      </c>
      <c r="D108" s="1418" t="inlineStr">
        <is>
          <t>High</t>
        </is>
      </c>
      <c r="E108" s="1418" t="inlineStr">
        <is>
          <t>Notes</t>
        </is>
      </c>
      <c r="F108" s="1418" t="n"/>
    </row>
    <row r="109" ht="12.95" customHeight="1" s="1439">
      <c r="A109" s="1419" t="inlineStr">
        <is>
          <t>4-inch Asphalt (Large &gt;3,000 SF)</t>
        </is>
      </c>
      <c r="B109" s="1691" t="n">
        <v>2.92</v>
      </c>
      <c r="C109" s="1691" t="n">
        <v>3.1</v>
      </c>
      <c r="D109" s="1691" t="n">
        <v>3.51</v>
      </c>
      <c r="E109" s="1419" t="inlineStr">
        <is>
          <t>Sec.66 p.1</t>
        </is>
      </c>
    </row>
    <row r="110" ht="12.95" customHeight="1" s="1439">
      <c r="A110" s="1419" t="inlineStr">
        <is>
          <t>6-inch Concrete (Large &gt;3,000 SF)</t>
        </is>
      </c>
      <c r="B110" s="1691" t="n">
        <v>4.66</v>
      </c>
      <c r="C110" s="1691" t="n">
        <v>5.51</v>
      </c>
      <c r="D110" s="1691" t="n">
        <v>7.71</v>
      </c>
      <c r="E110" s="1419" t="inlineStr">
        <is>
          <t>Sec.66 p.1</t>
        </is>
      </c>
    </row>
    <row r="111" ht="12.95" customHeight="1" s="1439">
      <c r="A111" s="1419" t="inlineStr">
        <is>
          <t>2-inch Asphalt on 2-inch base (Small)</t>
        </is>
      </c>
      <c r="B111" s="1691" t="n">
        <v>2.87</v>
      </c>
      <c r="C111" s="1691" t="n">
        <v>3.56</v>
      </c>
      <c r="D111" s="1691" t="n">
        <v>4.24</v>
      </c>
      <c r="E111" s="1419" t="inlineStr">
        <is>
          <t>Sec.66 p.2</t>
        </is>
      </c>
    </row>
    <row r="112" ht="12.95" customHeight="1" s="1439">
      <c r="A112" s="1419" t="inlineStr">
        <is>
          <t>4-inch Concrete unreinforced (Small)</t>
        </is>
      </c>
      <c r="B112" s="1691" t="n">
        <v>6.42</v>
      </c>
      <c r="C112" s="1691" t="n">
        <v>8</v>
      </c>
      <c r="D112" s="1691" t="n">
        <v>9.58</v>
      </c>
      <c r="E112" s="1419" t="inlineStr">
        <is>
          <t>Sec.66 p.2</t>
        </is>
      </c>
    </row>
    <row r="114">
      <c r="A114" t="inlineStr">
        <is>
          <t>TABLE F -- Occ. 407: Distribution Warehouses | Base Cost per SF | MVS Sec.14, p.23 (Feb 2024) | Space heaters configuration</t>
        </is>
      </c>
    </row>
    <row r="115">
      <c r="A115" s="1433" t="inlineStr">
        <is>
          <t>Class</t>
        </is>
      </c>
      <c r="B115" s="1433" t="inlineStr">
        <is>
          <t>Quality</t>
        </is>
      </c>
      <c r="C115" s="1433" t="inlineStr">
        <is>
          <t>$/SF</t>
        </is>
      </c>
      <c r="D115" s="1433" t="inlineStr">
        <is>
          <t>Key</t>
        </is>
      </c>
    </row>
    <row r="116">
      <c r="A116" t="inlineStr">
        <is>
          <t>A</t>
        </is>
      </c>
      <c r="B116" t="inlineStr">
        <is>
          <t>Good</t>
        </is>
      </c>
      <c r="C116" t="n">
        <v>123</v>
      </c>
      <c r="D116" t="inlineStr">
        <is>
          <t>A~Good</t>
        </is>
      </c>
    </row>
    <row r="117">
      <c r="A117" t="inlineStr">
        <is>
          <t>A</t>
        </is>
      </c>
      <c r="B117" t="inlineStr">
        <is>
          <t>Average</t>
        </is>
      </c>
      <c r="C117" t="n">
        <v>108</v>
      </c>
      <c r="D117" t="inlineStr">
        <is>
          <t>A~Average</t>
        </is>
      </c>
    </row>
    <row r="118">
      <c r="A118" t="inlineStr">
        <is>
          <t>B</t>
        </is>
      </c>
      <c r="B118" t="inlineStr">
        <is>
          <t>Good</t>
        </is>
      </c>
      <c r="C118" t="n">
        <v>103</v>
      </c>
      <c r="D118" t="inlineStr">
        <is>
          <t>B~Good</t>
        </is>
      </c>
    </row>
    <row r="119">
      <c r="A119" t="inlineStr">
        <is>
          <t>B</t>
        </is>
      </c>
      <c r="B119" t="inlineStr">
        <is>
          <t>Average</t>
        </is>
      </c>
      <c r="C119" t="n">
        <v>70.5</v>
      </c>
      <c r="D119" t="inlineStr">
        <is>
          <t>B~Average</t>
        </is>
      </c>
    </row>
    <row r="120">
      <c r="A120" t="inlineStr">
        <is>
          <t>C</t>
        </is>
      </c>
      <c r="B120" t="inlineStr">
        <is>
          <t>Excellent</t>
        </is>
      </c>
      <c r="C120" t="n">
        <v>92.5</v>
      </c>
      <c r="D120" t="inlineStr">
        <is>
          <t>C~Excellent</t>
        </is>
      </c>
    </row>
    <row r="121">
      <c r="A121" t="inlineStr">
        <is>
          <t>C</t>
        </is>
      </c>
      <c r="B121" t="inlineStr">
        <is>
          <t>Good</t>
        </is>
      </c>
      <c r="C121" t="n">
        <v>57</v>
      </c>
      <c r="D121" t="inlineStr">
        <is>
          <t>C~Good</t>
        </is>
      </c>
    </row>
    <row r="122">
      <c r="A122" t="inlineStr">
        <is>
          <t>C</t>
        </is>
      </c>
      <c r="B122" t="inlineStr">
        <is>
          <t>Average</t>
        </is>
      </c>
      <c r="C122" t="n">
        <v>94.5</v>
      </c>
      <c r="D122" t="inlineStr">
        <is>
          <t>C~Average</t>
        </is>
      </c>
    </row>
    <row r="123">
      <c r="A123" t="inlineStr">
        <is>
          <t>S</t>
        </is>
      </c>
      <c r="B123" t="inlineStr">
        <is>
          <t>Low Cost</t>
        </is>
      </c>
      <c r="C123" t="n">
        <v>45.5</v>
      </c>
      <c r="D123" t="inlineStr">
        <is>
          <t>S~Low Cost</t>
        </is>
      </c>
    </row>
    <row r="125">
      <c r="A125" t="inlineStr">
        <is>
          <t>TABLE G -- Story Height Multiplier Lookup (single-column, for VLOOKUP) | MVS Sec.14, p.39 (Feb 2024)</t>
        </is>
      </c>
    </row>
    <row r="126">
      <c r="A126" s="1433" t="inlineStr">
        <is>
          <t>Ht (ft)</t>
        </is>
      </c>
      <c r="B126" s="1433" t="inlineStr">
        <is>
          <t>Multiplier</t>
        </is>
      </c>
    </row>
    <row r="127">
      <c r="A127" t="n">
        <v>8</v>
      </c>
      <c r="B127" t="n">
        <v>0.885</v>
      </c>
    </row>
    <row r="128">
      <c r="A128" t="n">
        <v>10</v>
      </c>
      <c r="B128" t="n">
        <v>0.921</v>
      </c>
    </row>
    <row r="129">
      <c r="A129" t="n">
        <v>12</v>
      </c>
      <c r="B129" t="n">
        <v>0.96</v>
      </c>
    </row>
    <row r="130">
      <c r="A130" t="n">
        <v>14</v>
      </c>
      <c r="B130" t="n">
        <v>1</v>
      </c>
    </row>
    <row r="131">
      <c r="A131" t="n">
        <v>16</v>
      </c>
      <c r="B131" t="n">
        <v>1.041</v>
      </c>
    </row>
    <row r="132">
      <c r="A132" t="n">
        <v>18</v>
      </c>
      <c r="B132" t="n">
        <v>1.086</v>
      </c>
    </row>
    <row r="133">
      <c r="A133" t="n">
        <v>20</v>
      </c>
      <c r="B133" t="n">
        <v>1.133</v>
      </c>
    </row>
    <row r="134">
      <c r="A134" t="n">
        <v>22</v>
      </c>
      <c r="B134" t="n">
        <v>1.181</v>
      </c>
    </row>
    <row r="135">
      <c r="A135" t="n">
        <v>24</v>
      </c>
      <c r="B135" t="n">
        <v>1.231</v>
      </c>
    </row>
    <row r="136">
      <c r="A136" t="n">
        <v>26</v>
      </c>
      <c r="B136" t="n">
        <v>1.281</v>
      </c>
    </row>
    <row r="137">
      <c r="A137" t="n">
        <v>28</v>
      </c>
      <c r="B137" t="n">
        <v>1.331</v>
      </c>
    </row>
    <row r="138">
      <c r="A138" t="n">
        <v>30</v>
      </c>
      <c r="B138" t="n">
        <v>1.382</v>
      </c>
    </row>
    <row r="139">
      <c r="A139" t="n">
        <v>35</v>
      </c>
      <c r="B139" t="n">
        <v>1.515</v>
      </c>
    </row>
    <row r="140">
      <c r="A140" t="n">
        <v>40</v>
      </c>
      <c r="B140" t="n">
        <v>1.65</v>
      </c>
    </row>
    <row r="141">
      <c r="A141" t="n">
        <v>45</v>
      </c>
      <c r="B141" t="n">
        <v>1.788</v>
      </c>
    </row>
    <row r="142">
      <c r="A142" t="n">
        <v>50</v>
      </c>
      <c r="B142" t="n">
        <v>1.93</v>
      </c>
    </row>
  </sheetData>
  <mergeCells count="17">
    <mergeCell ref="A24:F24"/>
    <mergeCell ref="A107:F107"/>
    <mergeCell ref="A82:F82"/>
    <mergeCell ref="A84:F84"/>
    <mergeCell ref="A94:F94"/>
    <mergeCell ref="A1:F1"/>
    <mergeCell ref="A9:F9"/>
    <mergeCell ref="A77:F77"/>
    <mergeCell ref="A17:F17"/>
    <mergeCell ref="A34:F34"/>
    <mergeCell ref="A40:F40"/>
    <mergeCell ref="A3:F3"/>
    <mergeCell ref="A30:F30"/>
    <mergeCell ref="A39:F39"/>
    <mergeCell ref="A96:F96"/>
    <mergeCell ref="A64:F64"/>
    <mergeCell ref="B13:F13"/>
  </mergeCells>
  <dataValidations count="5">
    <dataValidation sqref="C5" showDropDown="0" showInputMessage="0" showErrorMessage="1" allowBlank="0" errorTitle="Invalid Occupancy" error="Choose Occ. 406 (Storage) or Occ. 407 (Distribution)" type="list">
      <formula1>"Occ. 406,Occ. 407"</formula1>
    </dataValidation>
    <dataValidation sqref="C6" showDropDown="0" showInputMessage="0" showErrorMessage="0" allowBlank="0" type="list">
      <formula1>"A,B,C,C-Mill,D,D-Pole,S"</formula1>
    </dataValidation>
    <dataValidation sqref="C7" showDropDown="0" showInputMessage="0" showErrorMessage="0" allowBlank="0" type="list">
      <formula1>"Excellent,Good,Average,Low Cost"</formula1>
    </dataValidation>
    <dataValidation sqref="C8" showDropDown="0" showInputMessage="0" showErrorMessage="0" allowBlank="0" type="list">
      <formula1>"Colorado Statewide,Denver,Boulder,Colorado Springs,Fort Collins,Grand Junction,Greeley,Pueblo"</formula1>
    </dataValidation>
    <dataValidation sqref="H15" showDropDown="0" showInputMessage="0" showErrorMessage="0" allowBlank="0" type="list">
      <formula1>"Low Cost,Average,Good,Excellent"</formula1>
    </dataValidation>
  </dataValidation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U542"/>
  <sheetViews>
    <sheetView topLeftCell="F1" zoomScale="130" zoomScaleNormal="130" workbookViewId="0">
      <selection activeCell="N40" sqref="N40"/>
    </sheetView>
  </sheetViews>
  <sheetFormatPr baseColWidth="8" defaultColWidth="9.140625" defaultRowHeight="15"/>
  <cols>
    <col width="1.7109375" customWidth="1" style="1550" min="1" max="1"/>
    <col width="42.42578125" bestFit="1" customWidth="1" style="372" min="2" max="2"/>
    <col width="13.5703125" customWidth="1" style="1547" min="3" max="3"/>
    <col width="9.85546875" customWidth="1" style="1547" min="4" max="4"/>
    <col width="1.7109375" customWidth="1" style="1547" min="5" max="5"/>
    <col width="11.7109375" customWidth="1" style="1836" min="6" max="6"/>
    <col width="11.140625" bestFit="1" customWidth="1" style="1836" min="7" max="7"/>
    <col width="1.7109375" customWidth="1" style="1550" min="8" max="8"/>
    <col width="16" customWidth="1" style="1550" min="9" max="9"/>
    <col width="9.140625" customWidth="1" style="1550" min="10" max="10"/>
    <col width="18.28515625" customWidth="1" style="1550" min="11" max="11"/>
    <col width="15.7109375" bestFit="1" customWidth="1" style="1550" min="12" max="12"/>
    <col width="8.5703125" customWidth="1" style="1550" min="13" max="13"/>
    <col width="15.7109375" bestFit="1" customWidth="1" style="1550" min="14" max="14"/>
    <col width="15.7109375" customWidth="1" style="1550" min="15" max="15"/>
    <col width="3.85546875" customWidth="1" style="1550" min="16" max="16"/>
    <col width="40.42578125" bestFit="1" customWidth="1" style="1550" min="17" max="17"/>
    <col width="13.28515625" customWidth="1" style="1550" min="18" max="18"/>
    <col width="7.5703125" bestFit="1" customWidth="1" style="1550" min="19" max="19"/>
    <col width="15.7109375" customWidth="1" style="1550" min="20" max="21"/>
    <col width="9.140625" customWidth="1" style="1550" min="22" max="22"/>
    <col width="9.140625" customWidth="1" style="1550" min="23" max="16384"/>
  </cols>
  <sheetData>
    <row r="1">
      <c r="A1" s="821" t="inlineStr">
        <is>
          <t>COST APPROACH</t>
        </is>
      </c>
      <c r="B1" s="874" t="n"/>
      <c r="C1" s="874" t="n"/>
      <c r="D1" s="361" t="n"/>
      <c r="E1" s="362" t="n"/>
      <c r="F1" s="362" t="n"/>
      <c r="G1" s="362" t="n"/>
      <c r="H1" s="362" t="n"/>
      <c r="I1" s="1299" t="inlineStr">
        <is>
          <t>NOTES</t>
        </is>
      </c>
      <c r="J1" s="1300" t="n"/>
      <c r="K1" s="1300" t="n"/>
      <c r="L1" s="1300" t="n"/>
      <c r="M1" s="1238" t="n"/>
    </row>
    <row r="2">
      <c r="B2" s="1550" t="n"/>
      <c r="I2" s="1278" t="inlineStr">
        <is>
          <t>Change Highlighted fields only</t>
        </is>
      </c>
      <c r="J2" s="1235" t="n"/>
      <c r="K2" s="1235" t="n"/>
      <c r="L2" s="1235" t="n"/>
      <c r="M2" s="1240" t="n"/>
      <c r="Q2" s="366" t="n"/>
      <c r="R2" s="366" t="n"/>
    </row>
    <row r="3" ht="15.75" customHeight="1" s="1439">
      <c r="B3" s="1546" t="inlineStr">
        <is>
          <t xml:space="preserve">COST APPROACH SUMMARY </t>
        </is>
      </c>
      <c r="I3" s="1278" t="inlineStr">
        <is>
          <t>Change highlighted areas to WHITE when complete</t>
        </is>
      </c>
      <c r="J3" s="1235" t="n"/>
      <c r="K3" s="1235" t="n"/>
      <c r="L3" s="1235" t="n"/>
      <c r="M3" s="1240" t="n"/>
      <c r="Q3" s="366" t="n"/>
      <c r="R3" s="112" t="n"/>
    </row>
    <row r="4" ht="15.95" customFormat="1" customHeight="1" s="112">
      <c r="B4" s="367" t="inlineStr">
        <is>
          <t>Replacement Cost New (RCN)</t>
        </is>
      </c>
      <c r="C4" s="368" t="inlineStr">
        <is>
          <t>Area (SF)</t>
        </is>
      </c>
      <c r="D4" s="368" t="inlineStr">
        <is>
          <t>$/SF</t>
        </is>
      </c>
      <c r="E4" s="368" t="n"/>
      <c r="F4" s="1837" t="inlineStr">
        <is>
          <t>Subtotal</t>
        </is>
      </c>
      <c r="G4" s="1837" t="inlineStr">
        <is>
          <t>Total
Cost</t>
        </is>
      </c>
      <c r="I4" s="1278" t="inlineStr">
        <is>
          <t>Check all cells for accuracy after completing</t>
        </is>
      </c>
      <c r="J4" s="1297" t="n"/>
      <c r="K4" s="1297" t="n"/>
      <c r="L4" s="1297" t="n"/>
      <c r="M4" s="1301" t="n"/>
    </row>
    <row r="5" customFormat="1" s="366">
      <c r="B5" s="374" t="inlineStr">
        <is>
          <t>Building Improvements</t>
        </is>
      </c>
      <c r="C5" s="375" t="n"/>
      <c r="D5" s="375" t="n"/>
      <c r="E5" s="375" t="n"/>
      <c r="F5" s="1838" t="n"/>
      <c r="G5" s="1838" t="n"/>
      <c r="I5" s="1278" t="inlineStr">
        <is>
          <t>Remember to spell check every worksheet as you go.</t>
        </is>
      </c>
      <c r="J5" s="1298" t="n"/>
      <c r="K5" s="1298" t="n"/>
      <c r="L5" s="1298" t="n"/>
      <c r="M5" s="1302" t="n"/>
      <c r="Q5" s="112" t="n"/>
      <c r="R5" s="112" t="n"/>
    </row>
    <row r="6" ht="12.75" customFormat="1" customHeight="1" s="366">
      <c r="B6" s="377" t="inlineStr">
        <is>
          <t>Base Cost</t>
        </is>
      </c>
      <c r="C6" s="378">
        <f>'Property Info'!B4</f>
        <v/>
      </c>
      <c r="D6" s="1839">
        <f>'M&amp;S Inputs'!C14</f>
        <v/>
      </c>
      <c r="E6" s="1840" t="n"/>
      <c r="F6" s="1838">
        <f>C6*D6</f>
        <v/>
      </c>
      <c r="G6" s="1838" t="n"/>
      <c r="I6" s="1303" t="inlineStr">
        <is>
          <t xml:space="preserve">LAND VALUE IS SET TO VALUE CONCLUDED IN THE LAND SALES WORKSHEET. </t>
        </is>
      </c>
      <c r="J6" s="1298" t="n"/>
      <c r="K6" s="1298" t="n"/>
      <c r="L6" s="1298" t="n"/>
      <c r="M6" s="1302" t="n"/>
      <c r="Q6" s="112" t="n"/>
      <c r="R6" s="112" t="n"/>
    </row>
    <row r="7" ht="12.75" customFormat="1" customHeight="1" s="366">
      <c r="B7" s="377" t="inlineStr">
        <is>
          <t>Sprinklers</t>
        </is>
      </c>
      <c r="C7" s="380">
        <f>C6</f>
        <v/>
      </c>
      <c r="D7" s="1841">
        <f>'M&amp;S Inputs'!C15</f>
        <v/>
      </c>
      <c r="E7" s="1842" t="n"/>
      <c r="F7" s="1843">
        <f>C7*D7</f>
        <v/>
      </c>
      <c r="G7" s="1838" t="n"/>
      <c r="I7" s="1303" t="inlineStr">
        <is>
          <t xml:space="preserve">IF YOU ARE USING LAND VALUE FROM REALWARE, OVERWRITE THAT CELL WITH THE </t>
        </is>
      </c>
      <c r="J7" s="1298" t="n"/>
      <c r="K7" s="1297" t="n"/>
      <c r="L7" s="1297" t="n"/>
      <c r="M7" s="1301" t="n"/>
      <c r="N7" s="112" t="n"/>
      <c r="O7" s="112" t="n"/>
      <c r="P7" s="112" t="n"/>
      <c r="Q7" s="112" t="n"/>
      <c r="R7" s="112" t="n"/>
    </row>
    <row r="8" hidden="1" ht="12.75" customFormat="1" customHeight="1" s="366">
      <c r="B8" s="377" t="n"/>
      <c r="C8" s="380" t="n"/>
      <c r="D8" s="1844" t="n"/>
      <c r="E8" s="1842" t="n"/>
      <c r="F8" s="1843" t="n"/>
      <c r="G8" s="1838" t="n"/>
      <c r="I8" s="1303" t="n"/>
      <c r="J8" s="1297" t="n"/>
      <c r="K8" s="1297" t="n"/>
      <c r="L8" s="1297" t="n"/>
      <c r="M8" s="1301" t="n"/>
      <c r="N8" s="112" t="n"/>
      <c r="O8" s="112" t="n"/>
      <c r="P8" s="112" t="n"/>
      <c r="Q8" s="112" t="n"/>
      <c r="R8" s="112" t="n"/>
    </row>
    <row r="9" hidden="1" ht="12.75" customFormat="1" customHeight="1" s="366">
      <c r="B9" s="377" t="n"/>
      <c r="C9" s="380" t="n"/>
      <c r="D9" s="1844" t="n"/>
      <c r="E9" s="1842" t="n"/>
      <c r="F9" s="1843" t="n"/>
      <c r="G9" s="1838" t="n"/>
      <c r="I9" s="1303" t="n"/>
      <c r="J9" s="1297" t="n"/>
      <c r="K9" s="1297" t="n"/>
      <c r="L9" s="1297" t="n"/>
      <c r="M9" s="1301" t="n"/>
      <c r="N9" s="112" t="n"/>
      <c r="O9" s="112" t="n"/>
      <c r="P9" s="112" t="n"/>
      <c r="Q9" s="112" t="n"/>
      <c r="R9" s="112" t="n"/>
    </row>
    <row r="10" hidden="1" ht="12.75" customFormat="1" customHeight="1" s="366">
      <c r="B10" s="377" t="n"/>
      <c r="C10" s="380" t="n"/>
      <c r="D10" s="1844" t="n"/>
      <c r="E10" s="1842" t="n"/>
      <c r="F10" s="1843" t="n"/>
      <c r="G10" s="1838" t="n"/>
      <c r="I10" s="1303" t="n"/>
      <c r="J10" s="1297" t="n"/>
      <c r="K10" s="1297" t="n"/>
      <c r="L10" s="1297" t="n"/>
      <c r="M10" s="1301" t="n"/>
      <c r="N10" s="112" t="n"/>
      <c r="O10" s="112" t="n"/>
      <c r="P10" s="112" t="n"/>
      <c r="Q10" s="112" t="n"/>
      <c r="R10" s="112" t="n"/>
    </row>
    <row r="11" hidden="1" ht="12.75" customFormat="1" customHeight="1" s="366">
      <c r="B11" s="383" t="n"/>
      <c r="C11" s="380" t="n"/>
      <c r="D11" s="1844" t="n"/>
      <c r="E11" s="1842" t="n"/>
      <c r="F11" s="1843" t="n"/>
      <c r="G11" s="1838" t="n"/>
      <c r="I11" s="1303" t="n"/>
      <c r="J11" s="1297" t="n"/>
      <c r="K11" s="1297" t="n"/>
      <c r="L11" s="1297" t="n"/>
      <c r="M11" s="1301" t="n"/>
      <c r="N11" s="112" t="n"/>
      <c r="O11" s="112" t="n"/>
      <c r="P11" s="112" t="n"/>
      <c r="Q11" s="112" t="n"/>
      <c r="R11" s="112" t="n"/>
    </row>
    <row r="12" hidden="1" ht="12.75" customFormat="1" customHeight="1" s="366">
      <c r="B12" s="383" t="n"/>
      <c r="C12" s="380" t="n"/>
      <c r="D12" s="1844" t="n"/>
      <c r="E12" s="1842" t="n"/>
      <c r="F12" s="1843" t="n"/>
      <c r="G12" s="1838" t="n"/>
      <c r="I12" s="1303" t="n"/>
      <c r="J12" s="1297" t="n"/>
      <c r="K12" s="1297" t="n"/>
      <c r="L12" s="1297" t="n"/>
      <c r="M12" s="1301" t="n"/>
      <c r="N12" s="112" t="n"/>
      <c r="O12" s="112" t="n"/>
      <c r="P12" s="112" t="n"/>
      <c r="R12" s="112" t="n"/>
    </row>
    <row r="13" ht="13.5" customFormat="1" customHeight="1" s="366" thickBot="1">
      <c r="B13" s="377" t="inlineStr">
        <is>
          <t>Subtotal</t>
        </is>
      </c>
      <c r="C13" s="384" t="n"/>
      <c r="D13" s="1844" t="n"/>
      <c r="E13" s="1842" t="n"/>
      <c r="F13" s="1845">
        <f>SUM(F6:F12)</f>
        <v/>
      </c>
      <c r="G13" s="1838" t="n"/>
      <c r="I13" s="1304" t="inlineStr">
        <is>
          <t>APPROPRIATE LAND VALUE.</t>
        </is>
      </c>
      <c r="J13" s="1305" t="n"/>
      <c r="K13" s="1305" t="n"/>
      <c r="L13" s="1305" t="n"/>
      <c r="M13" s="1306" t="n"/>
      <c r="N13" s="112" t="n"/>
      <c r="O13" s="112" t="n"/>
      <c r="P13" s="112" t="n"/>
      <c r="R13" s="112" t="n"/>
    </row>
    <row r="14" ht="12.75" customFormat="1" customHeight="1" s="366">
      <c r="B14" s="374" t="inlineStr">
        <is>
          <t>Multipliers</t>
        </is>
      </c>
      <c r="C14" s="386" t="n"/>
      <c r="D14" s="1844" t="n"/>
      <c r="E14" s="1842" t="n"/>
      <c r="F14" s="1843" t="n"/>
      <c r="G14" s="1838" t="n"/>
      <c r="I14" s="112" t="n"/>
      <c r="J14" s="112" t="n"/>
      <c r="K14" s="112" t="n"/>
      <c r="L14" s="112" t="n"/>
      <c r="M14" s="112" t="n"/>
      <c r="N14" s="112" t="n"/>
      <c r="O14" s="112" t="n"/>
      <c r="P14" s="112" t="n"/>
      <c r="R14" s="112" t="n"/>
    </row>
    <row r="15" ht="12.75" customFormat="1" customHeight="1" s="366">
      <c r="B15" s="377" t="inlineStr">
        <is>
          <t>Current Cost</t>
        </is>
      </c>
      <c r="C15" s="301" t="n"/>
      <c r="D15" s="1846">
        <f>'M&amp;S Inputs'!C18</f>
        <v/>
      </c>
      <c r="E15" s="1847" t="n"/>
      <c r="F15" s="1843" t="n"/>
      <c r="G15" s="1838" t="n"/>
      <c r="J15" s="112" t="n"/>
      <c r="K15" s="112" t="n"/>
      <c r="L15" s="112" t="n"/>
      <c r="M15" s="112" t="n"/>
      <c r="N15" s="112" t="n"/>
      <c r="O15" s="112" t="n"/>
      <c r="P15" s="112" t="n"/>
      <c r="R15" s="112" t="n"/>
    </row>
    <row r="16" ht="12.75" customFormat="1" customHeight="1" s="366">
      <c r="B16" s="377" t="inlineStr">
        <is>
          <t>Local Area</t>
        </is>
      </c>
      <c r="C16" s="301" t="n"/>
      <c r="D16" s="1846">
        <f>'M&amp;S Inputs'!C19</f>
        <v/>
      </c>
      <c r="E16" s="1847" t="n"/>
      <c r="F16" s="1843" t="n"/>
      <c r="G16" s="1838" t="n"/>
      <c r="J16" s="112" t="n"/>
      <c r="K16" s="112" t="n"/>
      <c r="L16" s="112" t="n"/>
      <c r="M16" s="112" t="n"/>
      <c r="N16" s="112" t="n"/>
      <c r="O16" s="112" t="n"/>
      <c r="P16" s="112" t="n"/>
      <c r="R16" s="112" t="n"/>
    </row>
    <row r="17" ht="12.75" customFormat="1" customHeight="1" s="366">
      <c r="B17" s="377" t="inlineStr">
        <is>
          <t>Area Multiplier</t>
        </is>
      </c>
      <c r="C17" s="301" t="n"/>
      <c r="D17" s="1846">
        <f>'M&amp;S Inputs'!C20</f>
        <v/>
      </c>
      <c r="E17" s="1847" t="n"/>
      <c r="F17" s="1843" t="n"/>
      <c r="G17" s="1838" t="n"/>
      <c r="J17" s="112" t="n"/>
      <c r="K17" s="112" t="n"/>
      <c r="L17" s="112" t="n"/>
      <c r="M17" s="112" t="n"/>
      <c r="N17" s="112" t="n"/>
      <c r="O17" s="112" t="n"/>
      <c r="P17" s="112" t="n"/>
      <c r="R17" s="112" t="n"/>
    </row>
    <row r="18" ht="12.75" customFormat="1" customHeight="1" s="366">
      <c r="B18" s="377" t="inlineStr">
        <is>
          <t>Story Height (Assumed 18' Average)</t>
        </is>
      </c>
      <c r="C18" s="301" t="n"/>
      <c r="D18" s="1848">
        <f>'M&amp;S Inputs'!C22</f>
        <v/>
      </c>
      <c r="E18" s="1847" t="n"/>
      <c r="F18" s="1843" t="n"/>
      <c r="G18" s="1838" t="n"/>
      <c r="J18" s="112" t="n"/>
      <c r="K18" s="112" t="n"/>
      <c r="L18" s="112" t="n"/>
      <c r="M18" s="112" t="n"/>
      <c r="N18" s="112" t="n"/>
      <c r="O18" s="112" t="n"/>
      <c r="P18" s="112" t="n"/>
      <c r="R18" s="112" t="n"/>
    </row>
    <row r="19" ht="12.75" customFormat="1" customHeight="1" s="366">
      <c r="B19" s="377" t="inlineStr">
        <is>
          <t>Product of Multipliers</t>
        </is>
      </c>
      <c r="C19" s="301" t="n"/>
      <c r="D19" s="1849" t="n"/>
      <c r="E19" s="1850" t="n"/>
      <c r="F19" s="1851">
        <f>ROUND(PRODUCT(D15:D18),3)</f>
        <v/>
      </c>
      <c r="G19" s="1838" t="n"/>
      <c r="J19" s="112" t="n"/>
      <c r="K19" s="112" t="n"/>
      <c r="L19" s="112" t="n"/>
      <c r="M19" s="112" t="n"/>
      <c r="N19" s="112" t="n"/>
      <c r="O19" s="112" t="n"/>
      <c r="P19" s="112" t="n"/>
      <c r="R19" s="112" t="n"/>
    </row>
    <row r="20" ht="12.75" customFormat="1" customHeight="1" s="366">
      <c r="B20" s="392" t="inlineStr">
        <is>
          <t>Adjusted Base Building Cost</t>
        </is>
      </c>
      <c r="C20" s="386" t="n"/>
      <c r="D20" s="1842" t="n"/>
      <c r="E20" s="1842" t="n"/>
      <c r="F20" s="1845" t="n"/>
      <c r="G20" s="1838">
        <f>F19*F13</f>
        <v/>
      </c>
      <c r="J20" s="112" t="n"/>
      <c r="K20" s="112" t="n"/>
      <c r="L20" s="112" t="n"/>
      <c r="M20" s="112" t="n"/>
      <c r="N20" s="112" t="n"/>
      <c r="O20" s="112" t="n"/>
      <c r="P20" s="112" t="n"/>
    </row>
    <row r="21" ht="12.75" customFormat="1" customHeight="1" s="366">
      <c r="B21" s="374" t="inlineStr">
        <is>
          <t xml:space="preserve">Site Improvements (Component SF Based on Appraiser Measurement) </t>
        </is>
      </c>
      <c r="C21" s="386" t="n"/>
      <c r="D21" s="1842" t="n"/>
      <c r="E21" s="1842" t="n"/>
      <c r="F21" s="1843" t="n"/>
      <c r="G21" s="1838" t="n"/>
      <c r="J21" s="112" t="n"/>
      <c r="K21" s="112" t="n"/>
      <c r="L21" s="112" t="n"/>
      <c r="M21" s="112" t="n"/>
      <c r="N21" s="112" t="n"/>
      <c r="O21" s="112" t="n"/>
      <c r="P21" s="112" t="n"/>
    </row>
    <row r="22" ht="12.75" customFormat="1" customHeight="1" s="366">
      <c r="B22" s="377" t="inlineStr">
        <is>
          <t>Parking/Loading Areas (asphalt)</t>
        </is>
      </c>
      <c r="C22" s="1285" t="n">
        <v>37800</v>
      </c>
      <c r="D22" s="1841">
        <f>'M&amp;S Inputs'!C25</f>
        <v/>
      </c>
      <c r="E22" s="1842" t="n"/>
      <c r="F22" s="1843">
        <f>D22*C22</f>
        <v/>
      </c>
      <c r="G22" s="1838" t="n"/>
      <c r="J22" s="112" t="n"/>
      <c r="K22" s="112" t="n"/>
      <c r="L22" s="112" t="n"/>
      <c r="M22" s="112" t="n"/>
      <c r="N22" s="112" t="n"/>
      <c r="O22" s="112" t="n"/>
      <c r="P22" s="112" t="n"/>
    </row>
    <row r="23" ht="12.75" customFormat="1" customHeight="1" s="366">
      <c r="B23" s="377" t="inlineStr">
        <is>
          <t>Striping (Per Space)</t>
        </is>
      </c>
      <c r="C23" s="1285" t="n">
        <v>71</v>
      </c>
      <c r="D23" s="1841">
        <f>'M&amp;S Inputs'!C27</f>
        <v/>
      </c>
      <c r="E23" s="1842" t="n"/>
      <c r="F23" s="1843">
        <f>D23*C23</f>
        <v/>
      </c>
      <c r="G23" s="1838" t="n"/>
      <c r="J23" s="112" t="n"/>
      <c r="K23" s="112" t="n"/>
      <c r="L23" s="112" t="n"/>
      <c r="M23" s="112" t="n"/>
      <c r="N23" s="112" t="n"/>
      <c r="O23" s="112" t="n"/>
      <c r="P23" s="112" t="n"/>
    </row>
    <row r="24" ht="12.75" customFormat="1" customHeight="1" s="366">
      <c r="B24" s="377" t="inlineStr">
        <is>
          <t>Paving (concrete)</t>
        </is>
      </c>
      <c r="C24" s="1285">
        <f>3564.94+334.9+942.42+495</f>
        <v/>
      </c>
      <c r="D24" s="1841">
        <f>'M&amp;S Inputs'!C26</f>
        <v/>
      </c>
      <c r="E24" s="1842" t="n"/>
      <c r="F24" s="1843">
        <f>D24*C24</f>
        <v/>
      </c>
      <c r="G24" s="1838" t="n"/>
    </row>
    <row r="25" hidden="1" ht="17.25" customFormat="1" customHeight="1" s="366">
      <c r="B25" s="383" t="inlineStr">
        <is>
          <t>Other1</t>
        </is>
      </c>
      <c r="C25" s="1285" t="n"/>
      <c r="D25" s="1844" t="n"/>
      <c r="E25" s="1842" t="n"/>
      <c r="F25" s="1843">
        <f>D25*C25</f>
        <v/>
      </c>
      <c r="G25" s="1838" t="n"/>
    </row>
    <row r="26" hidden="1" ht="12.75" customFormat="1" customHeight="1" s="366">
      <c r="B26" s="383" t="inlineStr">
        <is>
          <t>Other2</t>
        </is>
      </c>
      <c r="C26" s="1286" t="n"/>
      <c r="D26" s="1844" t="n"/>
      <c r="E26" s="1842" t="n"/>
      <c r="F26" s="1843">
        <f>D26*C26</f>
        <v/>
      </c>
      <c r="G26" s="1838" t="n"/>
    </row>
    <row r="27" ht="12.75" customFormat="1" customHeight="1" s="366">
      <c r="B27" s="377" t="inlineStr">
        <is>
          <t>Landscaping, Lighting, Other Site Improvements</t>
        </is>
      </c>
      <c r="C27" s="1286">
        <f>27877.68+472.99</f>
        <v/>
      </c>
      <c r="D27" s="1841">
        <f>'M&amp;S Inputs'!C28</f>
        <v/>
      </c>
      <c r="E27" s="236" t="n"/>
      <c r="F27" s="1852">
        <f>D27*C27</f>
        <v/>
      </c>
      <c r="G27" s="1838" t="n"/>
    </row>
    <row r="28" ht="12.75" customFormat="1" customHeight="1" s="366">
      <c r="B28" s="392" t="inlineStr">
        <is>
          <t>Total Site Improvements</t>
        </is>
      </c>
      <c r="C28" s="386" t="n"/>
      <c r="D28" s="236" t="n"/>
      <c r="E28" s="236" t="n"/>
      <c r="F28" s="394" t="n"/>
      <c r="G28" s="1853">
        <f>SUM(F22:F27)</f>
        <v/>
      </c>
    </row>
    <row r="29" ht="12.75" customFormat="1" customHeight="1" s="366">
      <c r="B29" s="392" t="inlineStr">
        <is>
          <t>Total Construction Costs</t>
        </is>
      </c>
      <c r="C29" s="386" t="n"/>
      <c r="D29" s="236" t="n"/>
      <c r="E29" s="236" t="n"/>
      <c r="F29" s="301" t="n"/>
      <c r="G29" s="1838">
        <f>SUM(G20:G28)</f>
        <v/>
      </c>
      <c r="I29" s="1854" t="n"/>
    </row>
    <row r="30" ht="12.75" customFormat="1" customHeight="1" s="366">
      <c r="B30" s="377" t="inlineStr">
        <is>
          <t>Plus Other Indirect Costs (% of Direct Costs)</t>
        </is>
      </c>
      <c r="C30" s="1855">
        <f>'M&amp;S Inputs'!C31</f>
        <v/>
      </c>
      <c r="D30" s="1856" t="n"/>
      <c r="E30" s="1856" t="n"/>
      <c r="F30" s="301" t="n"/>
      <c r="G30" s="1853">
        <f>G29*(C30)</f>
        <v/>
      </c>
    </row>
    <row r="31" ht="12.75" customFormat="1" customHeight="1" s="366">
      <c r="B31" s="392" t="inlineStr">
        <is>
          <t>Subtotal Replacement Cost New (RCN)</t>
        </is>
      </c>
      <c r="C31" s="396" t="n"/>
      <c r="D31" s="386" t="n"/>
      <c r="E31" s="386" t="n"/>
      <c r="F31" s="1843" t="n"/>
      <c r="G31" s="1857">
        <f>SUM(G29:G30)</f>
        <v/>
      </c>
    </row>
    <row r="32" ht="12.75" customFormat="1" customHeight="1" s="366">
      <c r="B32" s="377" t="inlineStr">
        <is>
          <t>Plus Entrepreneurial Profit (% of RCN)</t>
        </is>
      </c>
      <c r="C32" s="1855">
        <f>'M&amp;S Inputs'!C32</f>
        <v/>
      </c>
      <c r="D32" s="1856" t="n"/>
      <c r="E32" s="1856" t="n"/>
      <c r="F32" s="236" t="n"/>
      <c r="G32" s="1858">
        <f>G31*C32</f>
        <v/>
      </c>
    </row>
    <row r="33" ht="12.75" customFormat="1" customHeight="1" s="366">
      <c r="B33" s="392" t="inlineStr">
        <is>
          <t>Total Replacement Cost New (RCN)</t>
        </is>
      </c>
      <c r="C33" s="375" t="n"/>
      <c r="D33" s="375" t="n"/>
      <c r="E33" s="375" t="n"/>
      <c r="F33" s="1838" t="n"/>
      <c r="G33" s="1857">
        <f>SUM(G31:G32)</f>
        <v/>
      </c>
      <c r="I33" s="1859" t="n"/>
    </row>
    <row r="34" ht="12.75" customFormat="1" customHeight="1" s="366">
      <c r="B34" s="377" t="inlineStr">
        <is>
          <t>per square foot of gross building area</t>
        </is>
      </c>
      <c r="C34" s="386" t="n"/>
      <c r="D34" s="386" t="n"/>
      <c r="E34" s="386" t="n"/>
      <c r="F34" s="1843" t="n"/>
      <c r="G34" s="1842">
        <f>caRCN/10000</f>
        <v/>
      </c>
    </row>
    <row r="35" ht="11.25" customFormat="1" customHeight="1" s="366">
      <c r="B35" s="400" t="n"/>
      <c r="C35" s="386" t="n"/>
      <c r="D35" s="386" t="n"/>
      <c r="E35" s="386" t="n"/>
      <c r="F35" s="1843" t="n"/>
      <c r="G35" s="1843" t="n"/>
    </row>
    <row r="36" ht="12.75" customFormat="1" customHeight="1" s="366">
      <c r="B36" s="400" t="inlineStr">
        <is>
          <t>Less Accrued Depreciation</t>
        </is>
      </c>
      <c r="C36" s="386" t="n"/>
      <c r="D36" s="386" t="n"/>
      <c r="E36" s="386" t="n"/>
      <c r="F36" s="1843" t="n"/>
      <c r="G36" s="1843" t="n"/>
    </row>
    <row r="37" ht="12.75" customFormat="1" customHeight="1" s="366">
      <c r="B37" s="392" t="inlineStr">
        <is>
          <t>Physical</t>
        </is>
      </c>
      <c r="C37" s="475" t="n"/>
      <c r="D37" s="475" t="n"/>
      <c r="E37" s="475" t="n"/>
      <c r="F37" s="301" t="n"/>
      <c r="G37" s="1843" t="n"/>
    </row>
    <row r="38" ht="12.75" customFormat="1" customHeight="1" s="366">
      <c r="B38" s="401" t="inlineStr">
        <is>
          <t>Curable (Deferred Maintenance)</t>
        </is>
      </c>
      <c r="C38" s="475" t="n"/>
      <c r="D38" s="475" t="n"/>
      <c r="E38" s="475" t="n"/>
      <c r="F38" s="1860">
        <f>'M&amp;S Inputs'!C35</f>
        <v/>
      </c>
      <c r="G38" s="1843" t="n"/>
      <c r="Q38" s="371" t="n"/>
      <c r="R38" s="371" t="n"/>
    </row>
    <row r="39" ht="12.75" customFormat="1" customHeight="1" s="366">
      <c r="B39" s="401" t="inlineStr">
        <is>
          <t>Incurable</t>
        </is>
      </c>
      <c r="C39" s="475" t="n"/>
      <c r="D39" s="475" t="n"/>
      <c r="E39" s="475" t="n"/>
      <c r="F39" s="301" t="n"/>
      <c r="G39" s="1843" t="n"/>
      <c r="Q39" s="1553" t="n"/>
      <c r="R39" s="1553" t="n"/>
      <c r="U39" s="366" t="n">
        <v>251225</v>
      </c>
    </row>
    <row r="40" ht="12.75" customFormat="1" customHeight="1" s="366">
      <c r="B40" s="403" t="inlineStr">
        <is>
          <t>Effective Age (Years)</t>
        </is>
      </c>
      <c r="C40" s="1861">
        <f>Improvements!C98</f>
        <v/>
      </c>
      <c r="D40" s="1843" t="n"/>
      <c r="E40" s="1843" t="n"/>
      <c r="F40" s="1843" t="n"/>
      <c r="G40" s="1843" t="n"/>
      <c r="Q40" s="1553" t="n"/>
      <c r="R40" s="1553" t="n"/>
      <c r="U40" s="366" t="n">
        <v>5000</v>
      </c>
    </row>
    <row r="41" ht="12.75" customFormat="1" customHeight="1" s="366">
      <c r="B41" s="403" t="inlineStr">
        <is>
          <t>Economic Life</t>
        </is>
      </c>
      <c r="C41" s="1862">
        <f>Improvements!C97</f>
        <v/>
      </c>
      <c r="D41" s="301" t="n"/>
      <c r="E41" s="301" t="n"/>
      <c r="F41" s="1843" t="n"/>
      <c r="G41" s="1843" t="n"/>
      <c r="Q41" s="1550" t="n"/>
      <c r="R41" s="1550" t="n"/>
      <c r="U41" s="366" t="n">
        <v>138125</v>
      </c>
    </row>
    <row r="42" ht="12.75" customFormat="1" customHeight="1" s="366">
      <c r="B42" s="403" t="inlineStr">
        <is>
          <t>Total Incurable Physical Depreciation</t>
        </is>
      </c>
      <c r="C42" s="1863">
        <f>C40/C41</f>
        <v/>
      </c>
      <c r="D42" s="1843" t="n"/>
      <c r="E42" s="1843" t="n"/>
      <c r="F42" s="1843">
        <f>G33*C42</f>
        <v/>
      </c>
      <c r="G42" s="1843" t="n"/>
      <c r="Q42" s="1550" t="n"/>
      <c r="R42" s="1550" t="n"/>
      <c r="U42" s="366" t="n">
        <v>198000</v>
      </c>
    </row>
    <row r="43" ht="12.75" customFormat="1" customHeight="1" s="366">
      <c r="B43" s="392" t="inlineStr">
        <is>
          <t>Functional Obsolescence</t>
        </is>
      </c>
      <c r="C43" s="1855">
        <f>'M&amp;S Inputs'!C36</f>
        <v/>
      </c>
      <c r="D43" s="475" t="n"/>
      <c r="E43" s="475" t="n"/>
      <c r="F43" s="1843">
        <f>C43*caRCN</f>
        <v/>
      </c>
      <c r="G43" s="1843" t="n"/>
      <c r="Q43" s="1550" t="n"/>
      <c r="R43" s="1550" t="n"/>
      <c r="U43" s="366">
        <f>SUM(U39:U42)</f>
        <v/>
      </c>
    </row>
    <row r="44" ht="12.75" customFormat="1" customHeight="1" s="366">
      <c r="B44" s="392" t="inlineStr">
        <is>
          <t>External Obsolescence</t>
        </is>
      </c>
      <c r="C44" s="1864">
        <f>'M&amp;S Inputs'!C37</f>
        <v/>
      </c>
      <c r="D44" s="475" t="n"/>
      <c r="E44" s="475" t="n"/>
      <c r="F44" s="1865">
        <f>C44*caRCN</f>
        <v/>
      </c>
      <c r="G44" s="1843" t="n"/>
      <c r="Q44" s="1550" t="n"/>
      <c r="R44" s="1550" t="n"/>
    </row>
    <row r="45" ht="12.75" customFormat="1" customHeight="1" s="366">
      <c r="B45" s="392" t="inlineStr">
        <is>
          <t>Total</t>
        </is>
      </c>
      <c r="C45" s="1866">
        <f>G45/caRCN</f>
        <v/>
      </c>
      <c r="D45" s="475" t="n"/>
      <c r="E45" s="475" t="n"/>
      <c r="F45" s="301" t="n"/>
      <c r="G45" s="1867">
        <f>SUM(F38:F44)</f>
        <v/>
      </c>
      <c r="Q45" s="1550" t="n"/>
      <c r="R45" s="1550" t="n"/>
    </row>
    <row r="46" ht="12.75" customFormat="1" customHeight="1" s="366">
      <c r="B46" s="400" t="inlineStr">
        <is>
          <t>Depreciated Value of the Improvements</t>
        </is>
      </c>
      <c r="C46" s="386" t="n"/>
      <c r="D46" s="386" t="n"/>
      <c r="E46" s="386" t="n"/>
      <c r="F46" s="1843" t="n"/>
      <c r="G46" s="1868">
        <f>G33-G45</f>
        <v/>
      </c>
      <c r="Q46" s="1550" t="n"/>
      <c r="R46" s="1550" t="n"/>
    </row>
    <row r="47" ht="12.75" customFormat="1" customHeight="1" s="366">
      <c r="B47" s="377" t="inlineStr">
        <is>
          <t>per square foot of gross building area</t>
        </is>
      </c>
      <c r="C47" s="475" t="n"/>
      <c r="D47" s="475" t="n"/>
      <c r="E47" s="475" t="n"/>
      <c r="F47" s="1868" t="n"/>
      <c r="G47" s="1842">
        <f>caRCNDeprec/10000</f>
        <v/>
      </c>
      <c r="Q47" s="1550" t="n"/>
      <c r="R47" s="1550" t="n"/>
    </row>
    <row r="48" ht="3.95" customFormat="1" customHeight="1" s="366">
      <c r="B48" s="374" t="n"/>
      <c r="C48" s="475" t="n"/>
      <c r="D48" s="475" t="n"/>
      <c r="E48" s="475" t="n"/>
      <c r="F48" s="1868" t="n"/>
      <c r="G48" s="1843" t="n"/>
      <c r="Q48" s="1550" t="n"/>
      <c r="R48" s="1550" t="n"/>
    </row>
    <row r="49" ht="12.75" customFormat="1" customHeight="1" s="366">
      <c r="B49" s="400" t="inlineStr">
        <is>
          <t>Plus Land Value</t>
        </is>
      </c>
      <c r="C49" s="486" t="n"/>
      <c r="D49" s="475" t="n"/>
      <c r="E49" s="475" t="n"/>
      <c r="F49" s="1868" t="n"/>
      <c r="G49" s="1867">
        <f>'Land Sales'!C65</f>
        <v/>
      </c>
      <c r="Q49" s="1550" t="n"/>
      <c r="R49" s="1550" t="n"/>
    </row>
    <row r="50" ht="3.95" customFormat="1" customHeight="1" s="366">
      <c r="B50" s="400" t="n"/>
      <c r="C50" s="375" t="n"/>
      <c r="D50" s="375" t="n"/>
      <c r="E50" s="375" t="n"/>
      <c r="F50" s="1838" t="n"/>
      <c r="G50" s="1838" t="n"/>
      <c r="Q50" s="1550" t="n"/>
      <c r="R50" s="1550" t="n"/>
    </row>
    <row r="51" ht="12.75" customFormat="1" customHeight="1" s="366">
      <c r="B51" s="400" t="inlineStr">
        <is>
          <t>Indicated Value by Cost Approach</t>
        </is>
      </c>
      <c r="C51" s="375" t="n"/>
      <c r="D51" s="375" t="n"/>
      <c r="E51" s="375" t="n"/>
      <c r="F51" s="1838" t="n"/>
      <c r="G51" s="1857">
        <f>G46+G49</f>
        <v/>
      </c>
      <c r="Q51" s="1550" t="n"/>
      <c r="R51" s="1550" t="n"/>
    </row>
    <row r="52" ht="12.75" customFormat="1" customHeight="1" s="366">
      <c r="B52" s="1869" t="n">
        <v>5000</v>
      </c>
      <c r="C52" s="406" t="n"/>
      <c r="D52" s="359" t="n"/>
      <c r="E52" s="359" t="n"/>
      <c r="F52" s="1838" t="n"/>
      <c r="G52" s="1870">
        <f>ROUND((G51/B52),0)*B52</f>
        <v/>
      </c>
      <c r="Q52" s="1550" t="n"/>
      <c r="R52" s="1550" t="n"/>
    </row>
    <row r="53" ht="12.75" customFormat="1" customHeight="1" s="366">
      <c r="B53" s="408" t="inlineStr">
        <is>
          <t>per square foot of gross building area</t>
        </is>
      </c>
      <c r="C53" s="375" t="n"/>
      <c r="D53" s="359" t="n"/>
      <c r="E53" s="359" t="n"/>
      <c r="F53" s="1838" t="n"/>
      <c r="G53" s="1871">
        <f>G52/C6</f>
        <v/>
      </c>
      <c r="Q53" s="1550" t="n"/>
      <c r="R53" s="1550" t="n"/>
    </row>
    <row r="54" ht="5.25" customFormat="1" customHeight="1" s="366">
      <c r="B54" s="408" t="n"/>
      <c r="C54" s="375" t="n"/>
      <c r="D54" s="359" t="n"/>
      <c r="E54" s="359" t="n"/>
      <c r="F54" s="1838" t="n"/>
      <c r="G54" s="1872" t="n"/>
      <c r="Q54" s="1550" t="n"/>
      <c r="R54" s="1550" t="n"/>
    </row>
    <row r="55" ht="12" customFormat="1" customHeight="1" s="1553">
      <c r="B55" s="1427" t="inlineStr">
        <is>
          <t>MVS June 2024 Ed.</t>
        </is>
      </c>
      <c r="C55" s="1428">
        <f>"Occ. 406 Storage Warehouse | "&amp;'M&amp;S Inputs'!C4&amp;" | "&amp;'M&amp;S Inputs'!C5</f>
        <v/>
      </c>
      <c r="D55" s="1428">
        <f>"Class: "&amp;'M&amp;S Inputs'!C6&amp;" / "&amp;'M&amp;S Inputs'!C7</f>
        <v/>
      </c>
      <c r="E55" s="1287" t="n"/>
      <c r="F55" s="1873" t="n"/>
      <c r="G55" s="1873" t="n"/>
      <c r="Q55" s="1549" t="n"/>
    </row>
    <row r="56" ht="12.75" customFormat="1" customHeight="1" s="1553">
      <c r="B56" s="1429" t="inlineStr">
        <is>
          <t>Colorado -- EASTERN region</t>
        </is>
      </c>
      <c r="C56" s="1430">
        <f>"CCM: "&amp;TEXT('M&amp;S Inputs'!C18,"0.000")&amp;" | LAM: "&amp;TEXT('M&amp;S Inputs'!C19,"0.000")</f>
        <v/>
      </c>
      <c r="D56" s="1431" t="inlineStr">
        <is>
          <t>Sec.99 p.3 and p.7 (Jan 2025 update)</t>
        </is>
      </c>
      <c r="E56" s="1289" t="n"/>
      <c r="F56" s="1874" t="n"/>
      <c r="G56" s="1875" t="n"/>
      <c r="Q56" s="1309" t="n"/>
      <c r="R56" s="1309" t="n"/>
      <c r="S56" s="1309" t="n"/>
    </row>
    <row r="57">
      <c r="B57" s="1292" t="n"/>
      <c r="C57" s="1432">
        <f>"Story Ht Mult: "&amp;TEXT('M&amp;S Inputs'!C22,"0.000")&amp;" | Area Mult: "&amp;TEXT('M&amp;S Inputs'!C20,"0.000")</f>
        <v/>
      </c>
      <c r="D57" s="1293" t="n"/>
      <c r="E57" s="1294" t="n"/>
      <c r="F57" s="1876" t="n"/>
      <c r="G57" s="1876" t="n"/>
      <c r="R57" s="1877" t="n"/>
    </row>
    <row r="58">
      <c r="B58" s="411" t="n"/>
      <c r="C58" s="412" t="n"/>
      <c r="D58" s="412" t="n"/>
      <c r="E58" s="412" t="n"/>
      <c r="F58" s="1878" t="n"/>
      <c r="G58" s="1878" t="n"/>
      <c r="Q58" s="1553" t="n"/>
      <c r="R58" s="1879" t="n"/>
      <c r="S58" s="1880" t="n"/>
    </row>
    <row r="59" ht="17.25" customHeight="1" s="1439">
      <c r="B59" s="362" t="n"/>
      <c r="C59" s="414" t="n"/>
      <c r="D59" s="415" t="n"/>
      <c r="E59" s="415" t="n"/>
      <c r="F59" s="1881" t="n"/>
      <c r="G59" s="1881" t="n"/>
      <c r="K59" s="1549" t="n"/>
      <c r="P59" s="1549" t="n"/>
      <c r="Q59" s="1553" t="n"/>
      <c r="R59" s="1879" t="n"/>
      <c r="S59" s="1880" t="n"/>
    </row>
    <row r="60">
      <c r="B60" s="417" t="n"/>
      <c r="C60" s="1882" t="n"/>
      <c r="D60" s="415" t="n"/>
      <c r="E60" s="415" t="n"/>
      <c r="F60" s="1881" t="n"/>
      <c r="G60" s="1881" t="n"/>
      <c r="K60" s="1312" t="n"/>
      <c r="L60" s="1313" t="n"/>
      <c r="M60" s="1313" t="n"/>
      <c r="N60" s="1313" t="n"/>
      <c r="O60" s="1313" t="n"/>
      <c r="P60" s="1313" t="n"/>
      <c r="Q60" s="1553" t="n"/>
      <c r="R60" s="1879" t="n"/>
      <c r="S60" s="1880" t="n"/>
    </row>
    <row r="61">
      <c r="B61" s="419" t="n"/>
      <c r="C61" s="415" t="n"/>
      <c r="D61" s="415" t="n"/>
      <c r="E61" s="415" t="n"/>
      <c r="F61" s="1881" t="n"/>
      <c r="G61" s="1881" t="n"/>
      <c r="K61" s="1312" t="n"/>
      <c r="L61" s="1314" t="n"/>
      <c r="M61" s="1313" t="n"/>
      <c r="N61" s="1313" t="n"/>
      <c r="O61" s="1313" t="n"/>
      <c r="P61" s="1313" t="n"/>
      <c r="Q61" s="1553" t="n"/>
      <c r="R61" s="1879" t="n"/>
      <c r="S61" s="1880" t="n"/>
    </row>
    <row r="62">
      <c r="B62" s="419" t="n"/>
      <c r="C62" s="415" t="n"/>
      <c r="D62" s="415" t="n"/>
      <c r="E62" s="415" t="n"/>
      <c r="F62" s="1881" t="n"/>
      <c r="G62" s="1881" t="n"/>
      <c r="K62" s="1312" t="n"/>
      <c r="L62" s="1314" t="n"/>
      <c r="M62" s="1313" t="n"/>
      <c r="N62" s="1313" t="n"/>
      <c r="O62" s="1313" t="n"/>
      <c r="P62" s="1313" t="n"/>
      <c r="Q62" s="3" t="n"/>
      <c r="R62" s="1883" t="n"/>
      <c r="S62" s="1884" t="n"/>
    </row>
    <row r="63">
      <c r="B63" s="419" t="n"/>
      <c r="C63" s="415" t="n"/>
      <c r="D63" s="415" t="n"/>
      <c r="E63" s="415" t="n"/>
      <c r="F63" s="1881" t="n"/>
      <c r="G63" s="1881" t="n"/>
      <c r="K63" s="1316" t="n"/>
      <c r="L63" s="1314" t="n"/>
      <c r="M63" s="1314" t="n"/>
      <c r="N63" s="1314" t="n"/>
      <c r="O63" s="1314" t="n"/>
      <c r="P63" s="1314" t="n"/>
    </row>
    <row r="64">
      <c r="B64" s="419" t="n"/>
      <c r="C64" s="415" t="n"/>
      <c r="D64" s="415" t="n"/>
      <c r="E64" s="415" t="n"/>
      <c r="F64" s="1881" t="n"/>
      <c r="G64" s="1881" t="n"/>
      <c r="K64" s="1316" t="n"/>
      <c r="L64" s="1885" t="n"/>
      <c r="M64" s="1885" t="n"/>
      <c r="N64" s="1885" t="n"/>
      <c r="O64" s="1885" t="n"/>
      <c r="P64" s="1885" t="n"/>
    </row>
    <row r="65">
      <c r="B65" s="419" t="n"/>
      <c r="C65" s="415" t="n"/>
      <c r="D65" s="415" t="n"/>
      <c r="E65" s="415" t="n"/>
      <c r="F65" s="1881" t="n"/>
      <c r="G65" s="1881" t="n"/>
    </row>
    <row r="66" hidden="1" s="1439">
      <c r="B66" s="1551" t="inlineStr">
        <is>
          <t>COST APPROACH SUMMARY - MVS</t>
        </is>
      </c>
    </row>
    <row r="67" hidden="1" s="1439">
      <c r="B67" s="367" t="inlineStr">
        <is>
          <t>Replacement Cost New (RCN)</t>
        </is>
      </c>
      <c r="C67" s="368" t="inlineStr">
        <is>
          <t>Area (SF)</t>
        </is>
      </c>
      <c r="D67" s="368" t="inlineStr">
        <is>
          <t>$/SF</t>
        </is>
      </c>
      <c r="E67" s="368" t="n"/>
      <c r="F67" s="1837" t="inlineStr">
        <is>
          <t>Subtotal</t>
        </is>
      </c>
      <c r="G67" s="1837" t="inlineStr">
        <is>
          <t>Total
Cost</t>
        </is>
      </c>
      <c r="H67" s="362" t="n"/>
      <c r="I67" s="362" t="n"/>
    </row>
    <row r="68" hidden="1" s="1439">
      <c r="B68" s="374" t="inlineStr">
        <is>
          <t>Building Improvements</t>
        </is>
      </c>
      <c r="C68" s="375" t="n"/>
      <c r="D68" s="375" t="n"/>
      <c r="E68" s="375" t="n"/>
      <c r="F68" s="1838" t="n"/>
      <c r="G68" s="1838" t="n"/>
      <c r="H68" s="362" t="n"/>
      <c r="I68" s="362" t="n"/>
    </row>
    <row r="69" hidden="1" s="1439">
      <c r="B69" s="377" t="inlineStr">
        <is>
          <t>Base Cost</t>
        </is>
      </c>
      <c r="C69" s="378">
        <f>'Property Info'!B4</f>
        <v/>
      </c>
      <c r="D69" s="1840" t="n">
        <v>69</v>
      </c>
      <c r="E69" s="1840" t="n"/>
      <c r="F69" s="1838">
        <f>C69*D69</f>
        <v/>
      </c>
      <c r="G69" s="1838" t="n"/>
      <c r="H69" s="362" t="n"/>
      <c r="I69" s="362" t="n"/>
    </row>
    <row r="70" hidden="1" s="1439">
      <c r="B70" s="377" t="inlineStr">
        <is>
          <t>Sprinklers</t>
        </is>
      </c>
      <c r="C70" s="380">
        <f>'Property Info'!B4</f>
        <v/>
      </c>
      <c r="D70" s="1842" t="n">
        <v>4.5</v>
      </c>
      <c r="E70" s="1842" t="n"/>
      <c r="F70" s="1843">
        <f>D70*C70</f>
        <v/>
      </c>
      <c r="G70" s="1838" t="n"/>
      <c r="H70" s="362" t="n"/>
      <c r="I70" s="362" t="n"/>
    </row>
    <row r="71" hidden="1" ht="15" customHeight="1" s="1439">
      <c r="B71" s="377" t="n"/>
      <c r="C71" s="380" t="n"/>
      <c r="D71" s="1842" t="n"/>
      <c r="E71" s="1842" t="n"/>
      <c r="F71" s="1843" t="n"/>
      <c r="G71" s="1838" t="n"/>
      <c r="H71" s="362" t="n"/>
      <c r="I71" s="362" t="n"/>
    </row>
    <row r="72" hidden="1" ht="15" customHeight="1" s="1439">
      <c r="B72" s="377" t="n"/>
      <c r="C72" s="380" t="n"/>
      <c r="D72" s="1842" t="n"/>
      <c r="E72" s="1842" t="n"/>
      <c r="F72" s="1843" t="n"/>
      <c r="G72" s="1838" t="n"/>
      <c r="H72" s="362" t="n"/>
      <c r="I72" s="362" t="n"/>
    </row>
    <row r="73" hidden="1" ht="15" customHeight="1" s="1439">
      <c r="B73" s="377" t="n"/>
      <c r="C73" s="380" t="n"/>
      <c r="D73" s="1842" t="n"/>
      <c r="E73" s="1842" t="n"/>
      <c r="F73" s="1843" t="n"/>
      <c r="G73" s="1838" t="n"/>
      <c r="H73" s="362" t="n"/>
      <c r="I73" s="362" t="n"/>
    </row>
    <row r="74" hidden="1" ht="15" customHeight="1" s="1439">
      <c r="B74" s="383" t="n"/>
      <c r="C74" s="380" t="n"/>
      <c r="D74" s="1842" t="n"/>
      <c r="E74" s="1842" t="n"/>
      <c r="F74" s="1843" t="n"/>
      <c r="G74" s="1838" t="n"/>
      <c r="H74" s="362" t="n"/>
      <c r="I74" s="362" t="n"/>
    </row>
    <row r="75" hidden="1" ht="15" customHeight="1" s="1439">
      <c r="B75" s="383" t="n"/>
      <c r="C75" s="380" t="n"/>
      <c r="D75" s="1842" t="n"/>
      <c r="E75" s="1842" t="n"/>
      <c r="F75" s="1843" t="n"/>
      <c r="G75" s="1838" t="n"/>
      <c r="H75" s="362" t="n"/>
      <c r="I75" s="362" t="n"/>
    </row>
    <row r="76" hidden="1" s="1439">
      <c r="B76" s="377" t="inlineStr">
        <is>
          <t>Subtotal</t>
        </is>
      </c>
      <c r="C76" s="384" t="n"/>
      <c r="D76" s="1842" t="n"/>
      <c r="E76" s="1842" t="n"/>
      <c r="F76" s="1845">
        <f>SUM(F69:F75)</f>
        <v/>
      </c>
      <c r="G76" s="1838" t="n"/>
      <c r="H76" s="362" t="n"/>
      <c r="I76" s="362" t="n"/>
    </row>
    <row r="77" hidden="1" s="1439">
      <c r="B77" s="374" t="inlineStr">
        <is>
          <t>Multipliers</t>
        </is>
      </c>
      <c r="C77" s="386" t="n"/>
      <c r="D77" s="1842" t="n"/>
      <c r="E77" s="1842" t="n"/>
      <c r="F77" s="1843" t="n"/>
      <c r="G77" s="1838" t="n"/>
      <c r="H77" s="362" t="n"/>
      <c r="I77" s="362" t="n"/>
    </row>
    <row r="78" hidden="1" s="1439">
      <c r="B78" s="377" t="inlineStr">
        <is>
          <t>Current Cost</t>
        </is>
      </c>
      <c r="C78" s="301" t="n"/>
      <c r="D78" s="1847" t="n">
        <v>1.01</v>
      </c>
      <c r="E78" s="1847" t="n"/>
      <c r="F78" s="1843" t="n"/>
      <c r="G78" s="1838" t="n"/>
      <c r="H78" s="362" t="n"/>
      <c r="I78" s="362" t="n"/>
    </row>
    <row r="79" hidden="1" s="1439">
      <c r="B79" s="377" t="inlineStr">
        <is>
          <t>Local Area</t>
        </is>
      </c>
      <c r="C79" s="301" t="n"/>
      <c r="D79" s="1847" t="n">
        <v>0.96</v>
      </c>
      <c r="E79" s="1847" t="n"/>
      <c r="F79" s="1843" t="n"/>
      <c r="G79" s="1838" t="n"/>
      <c r="H79" s="362" t="n"/>
      <c r="I79" s="362" t="n"/>
    </row>
    <row r="80" hidden="1" s="1439">
      <c r="B80" s="377" t="inlineStr">
        <is>
          <t>Area Multiplier</t>
        </is>
      </c>
      <c r="C80" s="301" t="n"/>
      <c r="D80" s="1847" t="n">
        <v>0.949</v>
      </c>
      <c r="E80" s="1847" t="n"/>
      <c r="F80" s="1843" t="n"/>
      <c r="G80" s="1838" t="n"/>
      <c r="H80" s="362" t="n"/>
      <c r="I80" s="362" t="n"/>
    </row>
    <row r="81" hidden="1" s="1439">
      <c r="B81" s="377" t="inlineStr">
        <is>
          <t>Story Height</t>
        </is>
      </c>
      <c r="C81" s="301" t="n"/>
      <c r="D81" s="1886" t="n">
        <v>1</v>
      </c>
      <c r="E81" s="1847" t="n"/>
      <c r="F81" s="1843" t="n"/>
      <c r="G81" s="1838" t="n"/>
      <c r="H81" s="362" t="n"/>
      <c r="I81" s="362" t="n"/>
    </row>
    <row r="82" hidden="1" s="1439">
      <c r="B82" s="377" t="inlineStr">
        <is>
          <t>Product of Multipliers</t>
        </is>
      </c>
      <c r="C82" s="301" t="n"/>
      <c r="D82" s="1849" t="n"/>
      <c r="E82" s="1850" t="n"/>
      <c r="F82" s="1851">
        <f>ROUND(PRODUCT(D78:D81),3)</f>
        <v/>
      </c>
      <c r="G82" s="1838" t="n"/>
      <c r="H82" s="362" t="n"/>
      <c r="I82" s="362" t="n"/>
    </row>
    <row r="83" hidden="1" s="1439">
      <c r="B83" s="392" t="inlineStr">
        <is>
          <t>Adjusted Base Building Cost</t>
        </is>
      </c>
      <c r="C83" s="386" t="n"/>
      <c r="D83" s="1842" t="n"/>
      <c r="E83" s="1842" t="n"/>
      <c r="F83" s="1845" t="n"/>
      <c r="G83" s="1838">
        <f>F82*F76</f>
        <v/>
      </c>
      <c r="H83" s="362" t="n"/>
      <c r="I83" s="362" t="n"/>
    </row>
    <row r="84" hidden="1" s="1439">
      <c r="B84" s="374" t="inlineStr">
        <is>
          <t>Site Improvements</t>
        </is>
      </c>
      <c r="C84" s="386" t="n"/>
      <c r="D84" s="1842" t="n"/>
      <c r="E84" s="1842" t="n"/>
      <c r="F84" s="1843" t="n"/>
      <c r="G84" s="1838" t="n"/>
      <c r="H84" s="362" t="n"/>
      <c r="I84" s="362" t="n"/>
    </row>
    <row r="85" hidden="1" s="1439">
      <c r="B85" s="377" t="inlineStr">
        <is>
          <t>Paving (asphalt)</t>
        </is>
      </c>
      <c r="C85" s="380" t="n"/>
      <c r="D85" s="1842" t="n"/>
      <c r="E85" s="1842" t="n"/>
      <c r="F85" s="1843" t="n"/>
      <c r="G85" s="1838" t="n"/>
      <c r="H85" s="362" t="n"/>
      <c r="I85" s="362" t="n"/>
    </row>
    <row r="86" hidden="1" s="1439">
      <c r="B86" s="377" t="inlineStr">
        <is>
          <t>Paving (concrete)</t>
        </is>
      </c>
      <c r="C86" s="380" t="n"/>
      <c r="D86" s="1842" t="n"/>
      <c r="E86" s="1842" t="n"/>
      <c r="F86" s="1843" t="n"/>
      <c r="G86" s="1838" t="n"/>
      <c r="H86" s="362" t="n"/>
      <c r="I86" s="362" t="n"/>
    </row>
    <row r="87" hidden="1" s="1439">
      <c r="B87" s="383" t="inlineStr">
        <is>
          <t>Other1</t>
        </is>
      </c>
      <c r="C87" s="380" t="n"/>
      <c r="D87" s="1842" t="n"/>
      <c r="E87" s="1842" t="n"/>
      <c r="F87" s="1843" t="n"/>
      <c r="G87" s="1838" t="n"/>
      <c r="H87" s="362" t="n"/>
      <c r="I87" s="362" t="n"/>
    </row>
    <row r="88" hidden="1" s="1439">
      <c r="B88" s="383" t="inlineStr">
        <is>
          <t>Other2</t>
        </is>
      </c>
      <c r="C88" s="386" t="n"/>
      <c r="D88" s="1842" t="n"/>
      <c r="E88" s="1842" t="n"/>
      <c r="F88" s="1843" t="n"/>
      <c r="G88" s="1838" t="n"/>
      <c r="H88" s="362" t="n"/>
      <c r="I88" s="362" t="n"/>
    </row>
    <row r="89" hidden="1" s="1439">
      <c r="B89" s="377" t="inlineStr">
        <is>
          <t>Landscaping, Lighting, Other Site Improvements</t>
        </is>
      </c>
      <c r="C89" s="386">
        <f>C27</f>
        <v/>
      </c>
      <c r="D89" s="1842" t="n">
        <v>4.5</v>
      </c>
      <c r="E89" s="236" t="n"/>
      <c r="F89" s="1852">
        <f>C89*D89</f>
        <v/>
      </c>
      <c r="G89" s="1838" t="n"/>
      <c r="H89" s="362" t="n"/>
      <c r="I89" s="362" t="n"/>
    </row>
    <row r="90" hidden="1" s="1439">
      <c r="B90" s="392" t="inlineStr">
        <is>
          <t>Total Site Improvements</t>
        </is>
      </c>
      <c r="C90" s="386" t="n"/>
      <c r="D90" s="236" t="n"/>
      <c r="E90" s="236" t="n"/>
      <c r="F90" s="394" t="n"/>
      <c r="G90" s="1853">
        <f>SUM(F85:F89)</f>
        <v/>
      </c>
      <c r="H90" s="362" t="n"/>
      <c r="I90" s="362" t="n"/>
    </row>
    <row r="91" hidden="1" s="1439">
      <c r="B91" s="392" t="inlineStr">
        <is>
          <t>Total Direct Costs</t>
        </is>
      </c>
      <c r="C91" s="386" t="n"/>
      <c r="D91" s="236" t="n"/>
      <c r="E91" s="236" t="n"/>
      <c r="F91" s="301" t="n"/>
      <c r="G91" s="1838">
        <f>SUM(G83:G90)</f>
        <v/>
      </c>
      <c r="H91" s="362" t="n"/>
      <c r="I91" s="362" t="n"/>
    </row>
    <row r="92" hidden="1" s="1439">
      <c r="B92" s="377" t="inlineStr">
        <is>
          <t>Plus Other Indirect Costs (% of Direct Costs)</t>
        </is>
      </c>
      <c r="C92" s="396" t="n">
        <v>0.15</v>
      </c>
      <c r="D92" s="1856" t="n"/>
      <c r="E92" s="1856" t="n"/>
      <c r="F92" s="301" t="n"/>
      <c r="G92" s="1853">
        <f>G91*(C92)</f>
        <v/>
      </c>
      <c r="H92" s="362" t="n"/>
      <c r="I92" s="362" t="n"/>
      <c r="R92" s="1877" t="n"/>
    </row>
    <row r="93" hidden="1" s="1439">
      <c r="B93" s="392" t="inlineStr">
        <is>
          <t>Subtotal Replacement Cost New (RCN)</t>
        </is>
      </c>
      <c r="C93" s="396" t="n"/>
      <c r="D93" s="386" t="n"/>
      <c r="E93" s="386" t="n"/>
      <c r="F93" s="1843" t="n"/>
      <c r="G93" s="1857">
        <f>SUM(G91:G92)</f>
        <v/>
      </c>
      <c r="H93" s="362" t="n"/>
      <c r="I93" s="362" t="n"/>
      <c r="R93" s="1877" t="n"/>
    </row>
    <row r="94" hidden="1" s="1439">
      <c r="B94" s="377" t="inlineStr">
        <is>
          <t>Plus Entrepreneurial Profit (% of RCN)</t>
        </is>
      </c>
      <c r="C94" s="396" t="n">
        <v>0.15</v>
      </c>
      <c r="D94" s="1856" t="n"/>
      <c r="E94" s="1856" t="n"/>
      <c r="F94" s="236" t="n"/>
      <c r="G94" s="1858">
        <f>G93*C94</f>
        <v/>
      </c>
      <c r="H94" s="362" t="n"/>
      <c r="I94" s="362" t="n"/>
      <c r="R94" s="1877" t="n"/>
    </row>
    <row r="95" hidden="1" s="1439">
      <c r="B95" s="392" t="inlineStr">
        <is>
          <t>Total Replacement Cost New (RCN)</t>
        </is>
      </c>
      <c r="C95" s="375" t="n"/>
      <c r="D95" s="375" t="n"/>
      <c r="E95" s="375" t="n"/>
      <c r="F95" s="1838" t="n"/>
      <c r="G95" s="1857">
        <f>SUM(G93:G94)</f>
        <v/>
      </c>
      <c r="H95" s="362" t="n"/>
      <c r="I95" s="362" t="n"/>
      <c r="R95" s="1877" t="n"/>
    </row>
    <row r="96" hidden="1" s="1439">
      <c r="B96" s="377" t="inlineStr">
        <is>
          <t>per square foot of gross building area</t>
        </is>
      </c>
      <c r="C96" s="375" t="n"/>
      <c r="D96" s="375" t="n"/>
      <c r="E96" s="375" t="n"/>
      <c r="F96" s="1838" t="n"/>
      <c r="G96" s="1840">
        <f>G95/C70</f>
        <v/>
      </c>
      <c r="H96" s="362" t="n"/>
      <c r="I96" s="362" t="n"/>
      <c r="R96" s="1877" t="n"/>
    </row>
    <row r="97" hidden="1" s="1439">
      <c r="B97" s="473" t="n"/>
      <c r="C97" s="386" t="n"/>
      <c r="D97" s="386" t="n"/>
      <c r="E97" s="386" t="n"/>
      <c r="F97" s="1843" t="n"/>
      <c r="G97" s="1843" t="n"/>
      <c r="H97" s="362" t="n"/>
      <c r="I97" s="362" t="n"/>
      <c r="R97" s="1877" t="n"/>
    </row>
    <row r="98" hidden="1" s="1439">
      <c r="B98" s="473" t="inlineStr">
        <is>
          <t>Less Accrued Depreciation</t>
        </is>
      </c>
      <c r="C98" s="386" t="n"/>
      <c r="D98" s="386" t="n"/>
      <c r="E98" s="386" t="n"/>
      <c r="F98" s="1843" t="n"/>
      <c r="G98" s="1843" t="n"/>
      <c r="H98" s="362" t="n"/>
      <c r="I98" s="362" t="n"/>
      <c r="R98" s="1877" t="n"/>
    </row>
    <row r="99" hidden="1" s="1439">
      <c r="B99" s="474" t="inlineStr">
        <is>
          <t>Physical</t>
        </is>
      </c>
      <c r="C99" s="475" t="n"/>
      <c r="D99" s="475" t="n"/>
      <c r="E99" s="475" t="n"/>
      <c r="F99" s="301" t="n"/>
      <c r="G99" s="1843" t="n"/>
      <c r="H99" s="362" t="n"/>
      <c r="I99" s="362" t="n"/>
      <c r="R99" s="1877" t="n"/>
    </row>
    <row r="100" hidden="1" s="1439">
      <c r="B100" s="476" t="inlineStr">
        <is>
          <t>Curable (Deferred Maintenance)</t>
        </is>
      </c>
      <c r="C100" s="475" t="n"/>
      <c r="D100" s="475" t="n"/>
      <c r="E100" s="475" t="n"/>
      <c r="F100" s="1843" t="n">
        <v>0</v>
      </c>
      <c r="G100" s="1843" t="n"/>
      <c r="H100" s="362" t="n"/>
      <c r="I100" s="362" t="n"/>
      <c r="R100" s="1877" t="n"/>
    </row>
    <row r="101" hidden="1" s="1439">
      <c r="B101" s="476" t="inlineStr">
        <is>
          <t>Incurable</t>
        </is>
      </c>
      <c r="C101" s="475" t="n"/>
      <c r="D101" s="475" t="n"/>
      <c r="E101" s="475" t="n"/>
      <c r="F101" s="301" t="n"/>
      <c r="G101" s="1843" t="n"/>
      <c r="H101" s="362" t="n"/>
      <c r="I101" s="362" t="n"/>
      <c r="R101" s="1877" t="n"/>
    </row>
    <row r="102" hidden="1" s="1439">
      <c r="B102" s="477" t="inlineStr">
        <is>
          <t>Effective Age (Years)</t>
        </is>
      </c>
      <c r="C102" s="1861" t="n">
        <v>15</v>
      </c>
      <c r="D102" s="1843" t="n"/>
      <c r="E102" s="1843" t="n"/>
      <c r="F102" s="1843" t="n"/>
      <c r="G102" s="1843" t="n"/>
      <c r="H102" s="362" t="n"/>
      <c r="I102" s="362" t="n"/>
      <c r="R102" s="1877" t="n"/>
    </row>
    <row r="103" hidden="1" s="1439">
      <c r="B103" s="477" t="inlineStr">
        <is>
          <t>Economic Life</t>
        </is>
      </c>
      <c r="C103" s="1862" t="n">
        <v>45</v>
      </c>
      <c r="D103" s="301" t="n"/>
      <c r="E103" s="301" t="n"/>
      <c r="F103" s="1843" t="n"/>
      <c r="G103" s="1843" t="n"/>
      <c r="H103" s="362" t="n"/>
      <c r="I103" s="362" t="n"/>
      <c r="R103" s="1877" t="n"/>
    </row>
    <row r="104" hidden="1" s="1439">
      <c r="B104" s="477" t="inlineStr">
        <is>
          <t>Total Incurable Physical Depreciation</t>
        </is>
      </c>
      <c r="C104" s="1863">
        <f>C102/C103</f>
        <v/>
      </c>
      <c r="D104" s="1843" t="n"/>
      <c r="E104" s="1843" t="n"/>
      <c r="F104" s="1843">
        <f>G95*C104</f>
        <v/>
      </c>
      <c r="G104" s="1843" t="n"/>
      <c r="H104" s="362" t="n"/>
      <c r="I104" s="362" t="n"/>
      <c r="R104" s="1877" t="n"/>
    </row>
    <row r="105" hidden="1" s="1439">
      <c r="B105" s="474" t="inlineStr">
        <is>
          <t>Functional Obsolescence</t>
        </is>
      </c>
      <c r="C105" s="1863" t="n">
        <v>0</v>
      </c>
      <c r="D105" s="475" t="n"/>
      <c r="E105" s="475" t="n"/>
      <c r="F105" s="1843">
        <f>C105*caRCN</f>
        <v/>
      </c>
      <c r="G105" s="1843" t="n"/>
      <c r="H105" s="362" t="n"/>
      <c r="I105" s="362" t="n"/>
      <c r="R105" s="1877" t="n"/>
    </row>
    <row r="106" hidden="1" s="1439">
      <c r="B106" s="474" t="inlineStr">
        <is>
          <t>External Obsolescence</t>
        </is>
      </c>
      <c r="C106" s="1887" t="n">
        <v>0</v>
      </c>
      <c r="D106" s="475" t="n"/>
      <c r="E106" s="475" t="n"/>
      <c r="F106" s="1865">
        <f>C106*caRCN</f>
        <v/>
      </c>
      <c r="G106" s="1843" t="n"/>
      <c r="H106" s="362" t="n"/>
      <c r="I106" s="362" t="n"/>
      <c r="R106" s="1877" t="n"/>
    </row>
    <row r="107" hidden="1" s="1439">
      <c r="B107" s="474" t="inlineStr">
        <is>
          <t>Total</t>
        </is>
      </c>
      <c r="C107" s="1866">
        <f>G107/caRCN</f>
        <v/>
      </c>
      <c r="D107" s="475" t="n"/>
      <c r="E107" s="475" t="n"/>
      <c r="F107" s="301" t="n"/>
      <c r="G107" s="1867">
        <f>SUM(F100:F106)</f>
        <v/>
      </c>
      <c r="H107" s="362" t="n"/>
      <c r="I107" s="362" t="n"/>
      <c r="R107" s="1877" t="n"/>
    </row>
    <row r="108" hidden="1" s="1439">
      <c r="B108" s="473" t="inlineStr">
        <is>
          <t>Depreciated Value of the Improvements</t>
        </is>
      </c>
      <c r="C108" s="386" t="n"/>
      <c r="D108" s="386" t="n"/>
      <c r="E108" s="386" t="n"/>
      <c r="F108" s="1843" t="n"/>
      <c r="G108" s="1888">
        <f>G95-G107</f>
        <v/>
      </c>
      <c r="H108" s="362" t="n"/>
      <c r="I108" s="362" t="n"/>
      <c r="R108" s="1877" t="n"/>
    </row>
    <row r="109" hidden="1" s="1439">
      <c r="B109" s="484" t="inlineStr">
        <is>
          <t>per square foot of gross building area</t>
        </is>
      </c>
      <c r="C109" s="475" t="n"/>
      <c r="D109" s="475" t="n"/>
      <c r="E109" s="475" t="n"/>
      <c r="F109" s="1868" t="n"/>
      <c r="G109" s="1842">
        <f>caRCNDeprec/10000</f>
        <v/>
      </c>
      <c r="H109" s="362" t="n"/>
      <c r="I109" s="362" t="n"/>
      <c r="R109" s="1877" t="n"/>
    </row>
    <row r="110" hidden="1" s="1439">
      <c r="B110" s="485" t="n"/>
      <c r="C110" s="475" t="n"/>
      <c r="D110" s="475" t="n"/>
      <c r="E110" s="475" t="n"/>
      <c r="F110" s="1868" t="n"/>
      <c r="G110" s="1843" t="n"/>
      <c r="H110" s="362" t="n"/>
      <c r="I110" s="362" t="n"/>
      <c r="Q110" s="373" t="n"/>
      <c r="R110" s="1889" t="n"/>
    </row>
    <row r="111" hidden="1" s="1439">
      <c r="B111" s="473" t="inlineStr">
        <is>
          <t>Plus Land Procurement Cost</t>
        </is>
      </c>
      <c r="C111" s="486" t="n"/>
      <c r="D111" s="475" t="n"/>
      <c r="E111" s="475" t="n"/>
      <c r="F111" s="1868" t="n"/>
      <c r="G111" s="1867">
        <f>'Land Sales'!C66</f>
        <v/>
      </c>
      <c r="H111" s="362" t="n"/>
      <c r="I111" s="362" t="n"/>
      <c r="Q111" s="373" t="n"/>
      <c r="R111" s="1889" t="n"/>
    </row>
    <row r="112" hidden="1" s="1439">
      <c r="B112" s="473" t="n"/>
      <c r="C112" s="386" t="n"/>
      <c r="D112" s="386" t="n"/>
      <c r="E112" s="386" t="n"/>
      <c r="F112" s="1843" t="n"/>
      <c r="G112" s="1843" t="n"/>
      <c r="H112" s="362" t="n"/>
      <c r="I112" s="362" t="n"/>
      <c r="R112" s="1877" t="n"/>
    </row>
    <row r="113" hidden="1" s="1439">
      <c r="B113" s="473" t="inlineStr">
        <is>
          <t>Indicated Value by Cost Approach</t>
        </is>
      </c>
      <c r="C113" s="386" t="n"/>
      <c r="D113" s="386" t="n"/>
      <c r="E113" s="386" t="n"/>
      <c r="F113" s="1843" t="n"/>
      <c r="G113" s="1868">
        <f>G108+G111</f>
        <v/>
      </c>
      <c r="H113" s="362" t="n"/>
      <c r="I113" s="1890" t="n"/>
      <c r="R113" s="1877" t="n"/>
    </row>
    <row r="114" hidden="1" s="1439">
      <c r="B114" s="1869" t="n">
        <v>5000</v>
      </c>
      <c r="C114" s="487" t="n"/>
      <c r="D114" s="301" t="n"/>
      <c r="E114" s="301" t="n"/>
      <c r="F114" s="1843" t="n"/>
      <c r="G114" s="1891">
        <f>ROUND((G113/B114),0)*B114</f>
        <v/>
      </c>
      <c r="H114" s="362" t="n"/>
      <c r="I114" s="362" t="n"/>
      <c r="R114" s="1877" t="n"/>
    </row>
    <row r="115" hidden="1" s="1439">
      <c r="B115" s="427" t="inlineStr">
        <is>
          <t>per square foot of gross building area</t>
        </is>
      </c>
      <c r="C115" s="428" t="n"/>
      <c r="D115" s="429" t="n"/>
      <c r="E115" s="429" t="n"/>
      <c r="F115" s="1853" t="n"/>
      <c r="G115" s="1892">
        <f>G114/C69</f>
        <v/>
      </c>
      <c r="H115" s="362" t="n"/>
      <c r="I115" s="362" t="n"/>
      <c r="R115" s="1877" t="n"/>
    </row>
    <row r="116" hidden="1" s="1439">
      <c r="B116" s="431" t="inlineStr">
        <is>
          <t>Source: Marshall Valuation Service</t>
        </is>
      </c>
      <c r="C116" s="431" t="inlineStr">
        <is>
          <t>Date: Feb. 2019</t>
        </is>
      </c>
      <c r="D116" s="301" t="n"/>
      <c r="E116" s="432" t="n"/>
      <c r="F116" s="432" t="n"/>
      <c r="G116" s="432" t="n"/>
      <c r="H116" s="362" t="n"/>
      <c r="I116" s="362" t="n"/>
      <c r="R116" s="1877" t="n"/>
    </row>
    <row r="117" hidden="1" s="1439">
      <c r="B117" s="868" t="inlineStr">
        <is>
          <t>Type: 407 - Industrial Warehouse</t>
        </is>
      </c>
      <c r="C117" s="1893" t="inlineStr">
        <is>
          <t>Section: 18</t>
        </is>
      </c>
      <c r="D117" s="1894" t="inlineStr">
        <is>
          <t>Page: 13</t>
        </is>
      </c>
      <c r="E117" s="1893" t="n"/>
      <c r="F117" s="1893" t="inlineStr">
        <is>
          <t>Class: C</t>
        </is>
      </c>
      <c r="G117" s="1894" t="inlineStr">
        <is>
          <t>Quality: Good</t>
        </is>
      </c>
      <c r="H117" s="362" t="n"/>
      <c r="I117" s="362" t="n"/>
      <c r="R117" s="1877" t="n"/>
    </row>
    <row r="118" hidden="1" s="1439">
      <c r="B118" s="419" t="n"/>
      <c r="C118" s="415" t="n"/>
      <c r="D118" s="415" t="n"/>
      <c r="E118" s="415" t="n"/>
      <c r="F118" s="1881" t="n"/>
      <c r="G118" s="1881" t="n"/>
      <c r="H118" s="362" t="n"/>
      <c r="I118" s="362" t="n"/>
      <c r="Q118" s="373" t="n"/>
      <c r="R118" s="1889" t="n"/>
    </row>
    <row r="119" hidden="1" s="1439">
      <c r="B119" s="1552" t="inlineStr">
        <is>
          <t>INSURABLE VALUE</t>
        </is>
      </c>
      <c r="E119" s="415" t="n"/>
      <c r="F119" s="1881" t="n"/>
      <c r="G119" s="1881" t="n"/>
      <c r="H119" s="362" t="n"/>
      <c r="I119" s="362" t="n"/>
      <c r="Q119" s="373" t="n"/>
      <c r="R119" s="1889" t="n"/>
    </row>
    <row r="120" hidden="1" s="1439">
      <c r="B120" s="435" t="inlineStr">
        <is>
          <t>Replacement Cost (Base Cost)</t>
        </is>
      </c>
      <c r="C120" s="1895" t="n"/>
      <c r="D120" s="1896">
        <f>G29</f>
        <v/>
      </c>
      <c r="E120" s="415" t="n"/>
      <c r="F120" s="1881" t="n"/>
      <c r="G120" s="1881" t="n"/>
      <c r="H120" s="362" t="n"/>
      <c r="I120" s="362" t="n"/>
      <c r="Q120" s="373" t="n"/>
      <c r="R120" s="1889" t="n"/>
    </row>
    <row r="121" hidden="1" s="1439">
      <c r="B121" s="360" t="inlineStr">
        <is>
          <t>Plus:  Indirect Costs</t>
        </is>
      </c>
      <c r="C121" s="1845" t="n"/>
      <c r="D121" s="1897" t="n">
        <v>0</v>
      </c>
      <c r="E121" s="415" t="n"/>
      <c r="F121" s="1881" t="n"/>
      <c r="G121" s="1881" t="n"/>
      <c r="H121" s="362" t="n"/>
      <c r="I121" s="362" t="n"/>
      <c r="Q121" s="373" t="n"/>
      <c r="R121" s="1889" t="n"/>
    </row>
    <row r="122" hidden="1" ht="24" customHeight="1" s="1439">
      <c r="B122" s="439" t="inlineStr">
        <is>
          <t>Plus:  Entrepreneurial Profit
(Est. 5% of Replacement and Indirect Cost)</t>
        </is>
      </c>
      <c r="C122" s="1865" t="n"/>
      <c r="D122" s="1898">
        <f>G32</f>
        <v/>
      </c>
      <c r="E122" s="415" t="n"/>
      <c r="F122" s="1881" t="n"/>
      <c r="G122" s="1881" t="n"/>
      <c r="H122" s="362" t="n"/>
      <c r="I122" s="362" t="n"/>
      <c r="R122" s="1877" t="n"/>
    </row>
    <row r="123" hidden="1" s="1439">
      <c r="B123" s="442" t="inlineStr">
        <is>
          <t>Replacement Cost (Base Cost + Indirect Costs + Profit</t>
        </is>
      </c>
      <c r="C123" s="1899" t="n"/>
      <c r="D123" s="444">
        <f>SUM(D120,D121,D122)</f>
        <v/>
      </c>
      <c r="E123" s="415" t="n"/>
      <c r="F123" s="1881" t="n"/>
      <c r="G123" s="1881" t="n"/>
      <c r="H123" s="362" t="n"/>
      <c r="I123" s="362" t="n"/>
      <c r="R123" s="1877" t="n"/>
    </row>
    <row r="124" hidden="1" s="1439">
      <c r="B124" s="360" t="inlineStr">
        <is>
          <t>Less:  5% of Replacement Costs for Excavations/Foundations</t>
        </is>
      </c>
      <c r="C124" s="1845">
        <f>ROUND(-0.05*D123, 0)</f>
        <v/>
      </c>
      <c r="D124" s="445" t="n"/>
      <c r="E124" s="415" t="n"/>
      <c r="F124" s="1881" t="n"/>
      <c r="G124" s="1881" t="n"/>
      <c r="H124" s="362" t="n"/>
      <c r="I124" s="362" t="n"/>
      <c r="R124" s="1877" t="n"/>
    </row>
    <row r="125" hidden="1" s="1439">
      <c r="B125" s="360" t="inlineStr">
        <is>
          <t>Less:  Site Work not included in Excavations/Foundations</t>
        </is>
      </c>
      <c r="C125" s="1843" t="n">
        <v>0</v>
      </c>
      <c r="D125" s="446" t="n"/>
      <c r="E125" s="415" t="n"/>
      <c r="F125" s="1881" t="n"/>
      <c r="G125" s="1881" t="n"/>
      <c r="H125" s="362" t="n"/>
      <c r="I125" s="362" t="n"/>
      <c r="R125" s="1877" t="n"/>
    </row>
    <row r="126" hidden="1" s="1439">
      <c r="B126" s="360" t="inlineStr">
        <is>
          <t>Less:  5% of Replacement Costs for Architect's Fees</t>
        </is>
      </c>
      <c r="C126" s="1865">
        <f>ROUND(-0.05*D123, 0)</f>
        <v/>
      </c>
      <c r="D126" s="447" t="n"/>
      <c r="E126" s="415" t="n"/>
      <c r="F126" s="1881" t="n"/>
      <c r="G126" s="1881" t="n"/>
      <c r="H126" s="362" t="n"/>
      <c r="I126" s="362" t="n"/>
      <c r="R126" s="1877" t="n"/>
    </row>
    <row r="127" hidden="1" s="1439">
      <c r="B127" s="442" t="inlineStr">
        <is>
          <t>Total Deductions</t>
        </is>
      </c>
      <c r="C127" s="1900">
        <f>SUM(C124:C126)</f>
        <v/>
      </c>
      <c r="D127" s="444" t="n"/>
      <c r="E127" s="415" t="n"/>
      <c r="F127" s="1881" t="n"/>
      <c r="G127" s="1881" t="n"/>
      <c r="H127" s="362" t="n"/>
      <c r="I127" s="362" t="n"/>
      <c r="R127" s="1877" t="n"/>
    </row>
    <row r="128" hidden="1" s="1439">
      <c r="B128" s="360" t="inlineStr">
        <is>
          <t>Plus:  Appliances</t>
        </is>
      </c>
      <c r="C128" s="1901" t="n"/>
      <c r="D128" s="1902" t="n">
        <v>0</v>
      </c>
      <c r="E128" s="415" t="n"/>
      <c r="F128" s="1881" t="n"/>
      <c r="G128" s="1881" t="n"/>
      <c r="H128" s="362" t="n"/>
      <c r="I128" s="362" t="n"/>
      <c r="R128" s="1877" t="n"/>
    </row>
    <row r="129" hidden="1" s="1439">
      <c r="B129" s="360" t="inlineStr">
        <is>
          <t>Plus:  Patios and Balconies</t>
        </is>
      </c>
      <c r="C129" s="1903" t="n"/>
      <c r="D129" s="1904" t="n">
        <v>0</v>
      </c>
      <c r="E129" s="415" t="n"/>
      <c r="F129" s="1881" t="n"/>
      <c r="G129" s="1881" t="n"/>
      <c r="H129" s="362" t="n"/>
      <c r="I129" s="362" t="n"/>
      <c r="R129" s="1877" t="n"/>
    </row>
    <row r="130" hidden="1" s="1439">
      <c r="B130" s="360" t="inlineStr">
        <is>
          <t>Plus:  Fireplaces</t>
        </is>
      </c>
      <c r="C130" s="1905" t="n"/>
      <c r="D130" s="1906" t="n">
        <v>0</v>
      </c>
      <c r="E130" s="415" t="n"/>
      <c r="F130" s="1881" t="n"/>
      <c r="G130" s="1881" t="n"/>
      <c r="H130" s="362" t="n"/>
      <c r="I130" s="362" t="n"/>
      <c r="R130" s="1877" t="n"/>
    </row>
    <row r="131" hidden="1" s="1439">
      <c r="B131" s="442" t="inlineStr">
        <is>
          <t>Total Inclusions</t>
        </is>
      </c>
      <c r="C131" s="1900" t="n"/>
      <c r="D131" s="1907">
        <f>SUM(D128:D130)</f>
        <v/>
      </c>
      <c r="E131" s="415" t="n"/>
      <c r="F131" s="1881" t="n"/>
      <c r="G131" s="1881" t="n"/>
      <c r="H131" s="362" t="n"/>
      <c r="I131" s="362" t="n"/>
      <c r="R131" s="1877" t="n"/>
    </row>
    <row r="132" hidden="1" s="1439">
      <c r="B132" s="455" t="inlineStr">
        <is>
          <t>Insurable Value</t>
        </is>
      </c>
      <c r="C132" s="456" t="n"/>
      <c r="D132" s="1908">
        <f>SUM(D123,C127,D131)</f>
        <v/>
      </c>
      <c r="E132" s="415" t="n"/>
      <c r="F132" s="1881" t="n"/>
      <c r="G132" s="1881" t="n"/>
      <c r="H132" s="362" t="n"/>
      <c r="I132" s="362" t="n"/>
    </row>
    <row r="133" hidden="1" s="1439">
      <c r="B133" s="1869" t="n">
        <v>5000</v>
      </c>
      <c r="C133" s="359" t="n"/>
      <c r="D133" s="1870">
        <f>MROUND(D132,5000)</f>
        <v/>
      </c>
      <c r="E133" s="415" t="n"/>
      <c r="F133" s="1881" t="n"/>
      <c r="G133" s="1909" t="n"/>
      <c r="H133" s="362" t="n"/>
      <c r="I133" s="362" t="n"/>
    </row>
    <row r="134" hidden="1" s="1439">
      <c r="B134" s="458" t="n"/>
      <c r="C134" s="458" t="n"/>
      <c r="D134" s="458" t="n"/>
      <c r="E134" s="415" t="n"/>
      <c r="F134" s="1881" t="n"/>
      <c r="G134" s="1881" t="n"/>
      <c r="H134" s="362" t="n"/>
      <c r="I134" s="362" t="n"/>
    </row>
    <row r="135" hidden="1" s="1439">
      <c r="B135" s="410">
        <f>B55</f>
        <v/>
      </c>
      <c r="C135" s="459" t="n"/>
      <c r="D135" s="460" t="n"/>
      <c r="E135" s="415" t="n"/>
      <c r="F135" s="1881" t="n"/>
      <c r="G135" s="1881" t="n"/>
      <c r="H135" s="362" t="n"/>
      <c r="I135" s="362" t="n"/>
    </row>
    <row r="136" hidden="1" s="1439">
      <c r="B136" s="461" t="n"/>
      <c r="C136" s="1910" t="n"/>
      <c r="D136" s="463" t="n"/>
      <c r="E136" s="415" t="n"/>
      <c r="F136" s="1881" t="n"/>
      <c r="G136" s="1881" t="n"/>
      <c r="H136" s="362" t="n"/>
      <c r="I136" s="362" t="n"/>
    </row>
    <row r="137">
      <c r="B137" s="419" t="n"/>
      <c r="C137" s="415" t="n"/>
      <c r="D137" s="415" t="n"/>
      <c r="E137" s="415" t="n"/>
      <c r="F137" s="1881" t="n"/>
      <c r="G137" s="1881" t="n"/>
      <c r="H137" s="362" t="n"/>
      <c r="I137" s="362" t="n"/>
    </row>
    <row r="138">
      <c r="B138" s="419" t="n"/>
      <c r="C138" s="415" t="n"/>
      <c r="D138" s="415" t="n"/>
      <c r="E138" s="415" t="n"/>
      <c r="F138" s="1881" t="n"/>
      <c r="G138" s="1881" t="n"/>
      <c r="H138" s="362" t="n"/>
      <c r="I138" s="362" t="n"/>
    </row>
    <row r="139">
      <c r="B139" s="419" t="n"/>
      <c r="C139" s="415" t="n"/>
      <c r="D139" s="415" t="n"/>
      <c r="E139" s="415" t="n"/>
      <c r="F139" s="1881" t="n"/>
      <c r="G139" s="1881" t="n"/>
      <c r="H139" s="362" t="n"/>
      <c r="I139" s="362" t="n"/>
    </row>
    <row r="140">
      <c r="B140" s="419" t="n"/>
      <c r="C140" s="415" t="n"/>
      <c r="D140" s="415" t="n"/>
      <c r="E140" s="415" t="n"/>
      <c r="F140" s="1881" t="n"/>
      <c r="G140" s="1881" t="n"/>
      <c r="H140" s="362" t="n"/>
      <c r="I140" s="362" t="n"/>
    </row>
    <row r="141">
      <c r="B141" s="419" t="n"/>
      <c r="C141" s="415" t="n"/>
      <c r="D141" s="415" t="n"/>
      <c r="E141" s="415" t="n"/>
      <c r="F141" s="1881" t="n"/>
      <c r="G141" s="1881" t="n"/>
      <c r="H141" s="362" t="n"/>
      <c r="I141" s="362" t="n"/>
    </row>
    <row r="142">
      <c r="B142" s="419" t="n"/>
      <c r="C142" s="415" t="n"/>
      <c r="D142" s="415" t="n"/>
      <c r="E142" s="415" t="n"/>
      <c r="F142" s="1881" t="n"/>
      <c r="G142" s="1881" t="n"/>
      <c r="H142" s="362" t="n"/>
      <c r="I142" s="362" t="n"/>
    </row>
    <row r="143">
      <c r="B143" s="419" t="n"/>
      <c r="C143" s="415" t="n"/>
      <c r="D143" s="415" t="n"/>
      <c r="E143" s="415" t="n"/>
      <c r="F143" s="1881" t="n"/>
      <c r="G143" s="1881" t="n"/>
      <c r="H143" s="362" t="n"/>
      <c r="I143" s="362" t="n"/>
    </row>
    <row r="144">
      <c r="B144" s="419" t="n"/>
      <c r="C144" s="415" t="n"/>
      <c r="D144" s="415" t="n"/>
      <c r="E144" s="415" t="n"/>
      <c r="F144" s="1881" t="n"/>
      <c r="G144" s="1881" t="n"/>
      <c r="H144" s="362" t="n"/>
      <c r="I144" s="362" t="n"/>
    </row>
    <row r="145">
      <c r="B145" s="419" t="n"/>
      <c r="C145" s="415" t="n"/>
      <c r="D145" s="415" t="n"/>
      <c r="E145" s="415" t="n"/>
      <c r="F145" s="1881" t="n"/>
      <c r="G145" s="1881" t="n"/>
      <c r="H145" s="362" t="n"/>
      <c r="I145" s="362" t="n"/>
    </row>
    <row r="146">
      <c r="B146" s="419" t="n"/>
      <c r="C146" s="415" t="n"/>
      <c r="D146" s="415" t="n"/>
      <c r="E146" s="415" t="n"/>
      <c r="F146" s="1881" t="n"/>
      <c r="G146" s="1881" t="n"/>
      <c r="H146" s="362" t="n"/>
      <c r="I146" s="362" t="n"/>
    </row>
    <row r="147">
      <c r="B147" s="419" t="n"/>
      <c r="C147" s="415" t="n"/>
      <c r="D147" s="415" t="n"/>
      <c r="E147" s="415" t="n"/>
      <c r="F147" s="1881" t="n"/>
      <c r="G147" s="1881" t="n"/>
      <c r="H147" s="362" t="n"/>
      <c r="I147" s="362" t="n"/>
    </row>
    <row r="223">
      <c r="Q223" s="373" t="n"/>
      <c r="R223" s="366" t="n"/>
    </row>
    <row r="224">
      <c r="Q224" s="373" t="n"/>
      <c r="R224" s="366" t="n"/>
    </row>
    <row r="225">
      <c r="Q225" s="373" t="n"/>
      <c r="R225" s="366" t="n"/>
    </row>
    <row r="226">
      <c r="Q226" s="373" t="n"/>
      <c r="R226" s="366" t="n"/>
    </row>
    <row r="341">
      <c r="Q341" s="373" t="n"/>
      <c r="R341" s="366" t="n"/>
    </row>
    <row r="540">
      <c r="Q540" s="373" t="n"/>
      <c r="R540" s="366" t="n"/>
    </row>
    <row r="541">
      <c r="Q541" s="373" t="n"/>
      <c r="R541" s="366" t="n"/>
    </row>
    <row r="542">
      <c r="Q542" s="373" t="n"/>
      <c r="R542" s="366" t="n"/>
    </row>
  </sheetData>
  <mergeCells count="5">
    <mergeCell ref="B3:G3"/>
    <mergeCell ref="K59:O59"/>
    <mergeCell ref="B66:G66"/>
    <mergeCell ref="B119:D119"/>
    <mergeCell ref="Q55:S55"/>
  </mergeCells>
  <dataValidations count="1">
    <dataValidation sqref="D11 D74" showDropDown="0" showInputMessage="1" showErrorMessage="1" allowBlank="1" prompt="Value is for average quality and 1-story flue. Each additional story for flue is $885."/>
  </dataValidation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B2:J17"/>
  <sheetViews>
    <sheetView workbookViewId="0">
      <selection activeCell="H23" sqref="H23"/>
    </sheetView>
  </sheetViews>
  <sheetFormatPr baseColWidth="8" defaultRowHeight="15"/>
  <cols>
    <col width="40.140625" customWidth="1" style="1439" min="2" max="2"/>
    <col width="14" bestFit="1" customWidth="1" style="1439" min="6" max="6"/>
    <col width="15.7109375" bestFit="1" customWidth="1" style="1439" min="7" max="10"/>
  </cols>
  <sheetData>
    <row r="2">
      <c r="B2" s="1546" t="inlineStr">
        <is>
          <t>Subject's Budgeted Construction Costs</t>
        </is>
      </c>
    </row>
    <row r="3">
      <c r="B3" s="1382" t="inlineStr">
        <is>
          <t>Item</t>
        </is>
      </c>
      <c r="C3" s="1382" t="inlineStr">
        <is>
          <t>Cost</t>
        </is>
      </c>
      <c r="D3" s="1382" t="inlineStr">
        <is>
          <t>Cost PSF</t>
        </is>
      </c>
    </row>
    <row r="4">
      <c r="B4" s="236" t="inlineStr">
        <is>
          <t>Site Inspection, Architectural &amp; Engineering</t>
        </is>
      </c>
      <c r="C4" s="1911" t="n">
        <v>208225</v>
      </c>
      <c r="D4" s="1912">
        <f>C4/'Property Info'!$B$4</f>
        <v/>
      </c>
    </row>
    <row r="5">
      <c r="B5" s="236" t="inlineStr">
        <is>
          <t>Government Fees &amp; Permits</t>
        </is>
      </c>
      <c r="C5" s="1911" t="n">
        <v>406500</v>
      </c>
      <c r="D5" s="1912">
        <f>C5/'Property Info'!$B$4</f>
        <v/>
      </c>
    </row>
    <row r="6">
      <c r="B6" s="236" t="inlineStr">
        <is>
          <t>Site Improvements</t>
        </is>
      </c>
      <c r="C6" s="1911" t="n">
        <v>733000</v>
      </c>
      <c r="D6" s="1912">
        <f>C6/'Property Info'!$B$4</f>
        <v/>
      </c>
    </row>
    <row r="7">
      <c r="B7" s="236" t="inlineStr">
        <is>
          <t>Off-Site Construction</t>
        </is>
      </c>
      <c r="C7" s="1911" t="n">
        <v>105000</v>
      </c>
      <c r="D7" s="1912">
        <f>C7/'Property Info'!$B$4</f>
        <v/>
      </c>
    </row>
    <row r="8">
      <c r="B8" s="236" t="inlineStr">
        <is>
          <t>Vertical Improvements</t>
        </is>
      </c>
      <c r="C8" s="1911" t="n">
        <v>2150000</v>
      </c>
      <c r="D8" s="1912">
        <f>C8/'Property Info'!$B$4</f>
        <v/>
      </c>
    </row>
    <row r="9">
      <c r="B9" s="236" t="inlineStr">
        <is>
          <t>Contractor Overhead &amp; Profit</t>
        </is>
      </c>
      <c r="C9" s="1911" t="n">
        <v>375000</v>
      </c>
      <c r="D9" s="1912">
        <f>C9/'Property Info'!$B$4</f>
        <v/>
      </c>
    </row>
    <row r="10">
      <c r="B10" s="236" t="inlineStr">
        <is>
          <t>Indirect Costs</t>
        </is>
      </c>
      <c r="C10" s="1911" t="n"/>
      <c r="D10" s="1912">
        <f>C10/'Property Info'!$B$4</f>
        <v/>
      </c>
    </row>
    <row r="11">
      <c r="B11" s="426" t="inlineStr">
        <is>
          <t>Total</t>
        </is>
      </c>
      <c r="C11" s="1913">
        <f>SUM(C4:C10)</f>
        <v/>
      </c>
      <c r="D11" s="1914">
        <f>C11/'Property Info'!$B$4</f>
        <v/>
      </c>
    </row>
    <row r="12">
      <c r="F12" s="1546" t="inlineStr">
        <is>
          <t>Comparable Constrution Cots</t>
        </is>
      </c>
    </row>
    <row r="13">
      <c r="F13" s="420" t="inlineStr">
        <is>
          <t>Comparable</t>
        </is>
      </c>
      <c r="G13" s="421" t="n">
        <v>1</v>
      </c>
      <c r="H13" s="421" t="n">
        <v>2</v>
      </c>
      <c r="I13" s="421" t="n">
        <v>3</v>
      </c>
      <c r="J13" s="421" t="n">
        <v>4</v>
      </c>
    </row>
    <row r="14">
      <c r="F14" s="420" t="inlineStr">
        <is>
          <t>Location</t>
        </is>
      </c>
      <c r="G14" s="422" t="inlineStr">
        <is>
          <t>Metro Denver</t>
        </is>
      </c>
      <c r="H14" s="421" t="inlineStr">
        <is>
          <t>Metro Denver</t>
        </is>
      </c>
      <c r="I14" s="421" t="inlineStr">
        <is>
          <t>Metro Denver</t>
        </is>
      </c>
      <c r="J14" s="421" t="inlineStr">
        <is>
          <t>Metro Denver</t>
        </is>
      </c>
    </row>
    <row r="15">
      <c r="F15" s="420" t="inlineStr">
        <is>
          <t>YOC</t>
        </is>
      </c>
      <c r="G15" s="422" t="n">
        <v>2015</v>
      </c>
      <c r="H15" s="421" t="n">
        <v>2016</v>
      </c>
      <c r="I15" s="421" t="n">
        <v>2019</v>
      </c>
      <c r="J15" s="421" t="n">
        <v>2019</v>
      </c>
    </row>
    <row r="16">
      <c r="F16" s="423" t="inlineStr">
        <is>
          <t>Property Type</t>
        </is>
      </c>
      <c r="G16" s="422" t="inlineStr">
        <is>
          <t>Franchise Daycare</t>
        </is>
      </c>
      <c r="H16" s="422" t="inlineStr">
        <is>
          <t>Franchise Daycare</t>
        </is>
      </c>
      <c r="I16" s="422" t="inlineStr">
        <is>
          <t>Franchise Daycare</t>
        </is>
      </c>
      <c r="J16" s="422" t="inlineStr">
        <is>
          <t>Franchise Daycare</t>
        </is>
      </c>
    </row>
    <row r="17">
      <c r="F17" s="424" t="inlineStr">
        <is>
          <t>Total Direct Cost</t>
        </is>
      </c>
      <c r="G17" s="1915" t="n">
        <v>255.16</v>
      </c>
      <c r="H17" s="1915" t="n">
        <v>325.13</v>
      </c>
      <c r="I17" s="1915" t="n">
        <v>420.5</v>
      </c>
      <c r="J17" s="1915" t="n">
        <v>344.08</v>
      </c>
    </row>
  </sheetData>
  <mergeCells count="2">
    <mergeCell ref="F12:J12"/>
    <mergeCell ref="B2:D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Z19"/>
  <sheetViews>
    <sheetView zoomScale="85" zoomScaleNormal="85" workbookViewId="0">
      <pane xSplit="2" topLeftCell="C1" activePane="topRight" state="frozen"/>
      <selection pane="topRight" activeCell="C36" sqref="C36"/>
    </sheetView>
  </sheetViews>
  <sheetFormatPr baseColWidth="8" defaultColWidth="9.140625" defaultRowHeight="15"/>
  <cols>
    <col width="8.140625" customWidth="1" style="677" min="1" max="1"/>
    <col width="22.42578125" bestFit="1" customWidth="1" style="677" min="2" max="2"/>
    <col width="19.7109375" bestFit="1" customWidth="1" style="677" min="3" max="3"/>
    <col width="21.42578125" bestFit="1" customWidth="1" style="677" min="4" max="4"/>
    <col width="11.5703125" customWidth="1" style="677" min="5" max="5"/>
    <col width="13.85546875" bestFit="1" customWidth="1" style="684" min="6" max="6"/>
    <col width="12.85546875" customWidth="1" style="1916" min="7" max="7"/>
    <col width="9.5703125" customWidth="1" style="1917" min="8" max="8"/>
    <col width="11.42578125" bestFit="1" customWidth="1" style="681" min="9" max="9"/>
    <col width="9" customWidth="1" style="682" min="10" max="10"/>
    <col width="9" customWidth="1" style="681" min="11" max="11"/>
    <col width="12.5703125" bestFit="1" customWidth="1" style="680" min="12" max="12"/>
    <col width="12.28515625" customWidth="1" style="679" min="13" max="15"/>
    <col width="13.7109375" customWidth="1" style="679" min="16" max="16"/>
    <col width="12.28515625" customWidth="1" style="679" min="17" max="17"/>
    <col width="10.7109375" bestFit="1" customWidth="1" style="679" min="18" max="18"/>
    <col width="12.28515625" customWidth="1" style="679" min="19" max="19"/>
    <col width="16.140625" customWidth="1" style="679" min="20" max="20"/>
    <col width="12.28515625" customWidth="1" style="679" min="21" max="24"/>
    <col width="9.140625" bestFit="1" customWidth="1" style="679" min="25" max="25"/>
    <col width="9.140625" customWidth="1" style="678" min="26" max="26"/>
    <col width="9.140625" customWidth="1" style="677" min="27" max="27"/>
    <col width="9.140625" customWidth="1" style="677" min="28" max="16384"/>
  </cols>
  <sheetData>
    <row r="1" ht="45" customFormat="1" customHeight="1" s="691">
      <c r="B1" s="721" t="inlineStr">
        <is>
          <t>Property Address</t>
        </is>
      </c>
      <c r="C1" s="721" t="inlineStr">
        <is>
          <t>Property City</t>
        </is>
      </c>
      <c r="D1" s="721" t="inlineStr">
        <is>
          <t>Account/Parcel</t>
        </is>
      </c>
      <c r="E1" s="720" t="inlineStr">
        <is>
          <t>Property Type</t>
        </is>
      </c>
      <c r="F1" s="719" t="inlineStr">
        <is>
          <t>Sale Date</t>
        </is>
      </c>
      <c r="G1" s="1918" t="inlineStr">
        <is>
          <t>Sale Price</t>
        </is>
      </c>
      <c r="H1" s="1918" t="inlineStr">
        <is>
          <t>Price ($/SF)</t>
        </is>
      </c>
      <c r="I1" s="716" t="inlineStr">
        <is>
          <t>Asking Price</t>
        </is>
      </c>
      <c r="J1" s="717" t="inlineStr">
        <is>
          <t>DOM</t>
        </is>
      </c>
      <c r="K1" s="716" t="inlineStr">
        <is>
          <t>Building SF</t>
        </is>
      </c>
      <c r="L1" s="715" t="inlineStr">
        <is>
          <t>Land Area SF</t>
        </is>
      </c>
      <c r="M1" s="713" t="inlineStr">
        <is>
          <t>Property Rights Conveyed</t>
        </is>
      </c>
      <c r="N1" s="713" t="inlineStr">
        <is>
          <t>Financing</t>
        </is>
      </c>
      <c r="O1" s="713" t="inlineStr">
        <is>
          <t>Terms/
Conditions of Sale</t>
        </is>
      </c>
      <c r="P1" s="713" t="inlineStr">
        <is>
          <t>Expenditures After Sale</t>
        </is>
      </c>
      <c r="Q1" s="713" t="inlineStr">
        <is>
          <t>Market Conditions</t>
        </is>
      </c>
      <c r="R1" s="714" t="inlineStr">
        <is>
          <t>Location</t>
        </is>
      </c>
      <c r="S1" s="714" t="inlineStr">
        <is>
          <t>Property Size (SF)</t>
        </is>
      </c>
      <c r="T1" s="714" t="inlineStr">
        <is>
          <t>YOC / Condition</t>
        </is>
      </c>
      <c r="U1" s="714" t="inlineStr">
        <is>
          <t>Quality</t>
        </is>
      </c>
      <c r="V1" s="714" t="inlineStr">
        <is>
          <t>Land-To-Building Ratio</t>
        </is>
      </c>
      <c r="W1" s="714" t="inlineStr">
        <is>
          <t>Tenancy / Occupancy</t>
        </is>
      </c>
      <c r="X1" s="714" t="inlineStr">
        <is>
          <t>Functional Utility</t>
        </is>
      </c>
      <c r="Y1" s="713" t="inlineStr">
        <is>
          <t>Total Net Adj.</t>
        </is>
      </c>
      <c r="Z1" s="713" t="inlineStr">
        <is>
          <t>Adjusted Price ($/SF)</t>
        </is>
      </c>
    </row>
    <row r="2" ht="30" customFormat="1" customHeight="1" s="705">
      <c r="A2" s="794" t="inlineStr">
        <is>
          <t>A</t>
        </is>
      </c>
      <c r="B2" s="712">
        <f>'Property Info'!B16</f>
        <v/>
      </c>
      <c r="C2" s="712">
        <f>'Property Info'!B17</f>
        <v/>
      </c>
      <c r="D2" s="712">
        <f>'Property Info'!B1</f>
        <v/>
      </c>
      <c r="E2" s="728">
        <f>'Property Info'!B15</f>
        <v/>
      </c>
      <c r="F2" s="1318" t="inlineStr">
        <is>
          <t>N/A</t>
        </is>
      </c>
      <c r="G2" s="1919" t="inlineStr">
        <is>
          <t>N/A</t>
        </is>
      </c>
      <c r="H2" s="1920" t="inlineStr">
        <is>
          <t>N/A</t>
        </is>
      </c>
      <c r="I2" s="1321" t="inlineStr">
        <is>
          <t>N/A</t>
        </is>
      </c>
      <c r="J2" s="1322" t="inlineStr">
        <is>
          <t>N/A</t>
        </is>
      </c>
      <c r="K2" s="711">
        <f>FE!C14</f>
        <v/>
      </c>
      <c r="L2" s="711">
        <f>'Property Info'!B11</f>
        <v/>
      </c>
      <c r="M2" s="707">
        <f>'Property Info'!B24</f>
        <v/>
      </c>
      <c r="N2" s="707" t="inlineStr">
        <is>
          <t>N/A</t>
        </is>
      </c>
      <c r="O2" s="707" t="inlineStr">
        <is>
          <t>N/A</t>
        </is>
      </c>
      <c r="P2" s="707" t="inlineStr">
        <is>
          <t>N/A</t>
        </is>
      </c>
      <c r="Q2" s="707" t="inlineStr">
        <is>
          <t>N/A</t>
        </is>
      </c>
      <c r="R2" s="1323" t="inlineStr">
        <is>
          <t>Average</t>
        </is>
      </c>
      <c r="S2" s="710">
        <f>K2</f>
        <v/>
      </c>
      <c r="T2" s="708">
        <f>'Property Info'!B10</f>
        <v/>
      </c>
      <c r="U2" s="708" t="inlineStr">
        <is>
          <t>Average</t>
        </is>
      </c>
      <c r="V2" s="709">
        <f>L2/K2</f>
        <v/>
      </c>
      <c r="W2" s="1323" t="inlineStr">
        <is>
          <t>Average</t>
        </is>
      </c>
      <c r="X2" s="1323" t="inlineStr">
        <is>
          <t>Average</t>
        </is>
      </c>
      <c r="Y2" s="707" t="inlineStr">
        <is>
          <t>N/A</t>
        </is>
      </c>
      <c r="Z2" s="706" t="inlineStr">
        <is>
          <t>N/A</t>
        </is>
      </c>
    </row>
    <row r="3" customFormat="1" s="702">
      <c r="A3" s="688" t="n">
        <v>1</v>
      </c>
      <c r="B3" s="1064" t="inlineStr">
        <is>
          <t>9670 Dallas St (Condo)</t>
        </is>
      </c>
      <c r="C3" s="783" t="inlineStr">
        <is>
          <t>Henderson</t>
        </is>
      </c>
      <c r="D3" s="784" t="inlineStr">
        <is>
          <t>1721-15-3-03-001</t>
        </is>
      </c>
      <c r="E3" s="1921" t="inlineStr">
        <is>
          <t>Industrial</t>
        </is>
      </c>
      <c r="F3" s="784" t="n">
        <v>44742</v>
      </c>
      <c r="G3" s="1922" t="n">
        <v>630000</v>
      </c>
      <c r="H3" s="1923" t="n">
        <v>210</v>
      </c>
      <c r="I3" s="787" t="n">
        <v>525000</v>
      </c>
      <c r="J3" s="783" t="n">
        <v>289</v>
      </c>
      <c r="K3" s="787" t="n">
        <v>3000</v>
      </c>
      <c r="L3" s="787" t="n"/>
      <c r="M3" s="1324" t="n">
        <v>0</v>
      </c>
      <c r="N3" s="1324" t="n">
        <v>0</v>
      </c>
      <c r="O3" s="1324" t="n">
        <v>0</v>
      </c>
      <c r="P3" s="1324" t="n">
        <v>0</v>
      </c>
      <c r="Q3" s="1324" t="n">
        <v>0</v>
      </c>
      <c r="R3" s="1324" t="n">
        <v>0.05</v>
      </c>
      <c r="S3" s="1325" t="n">
        <v>-0.05</v>
      </c>
      <c r="T3" s="1324" t="n">
        <v>0</v>
      </c>
      <c r="U3" s="1324" t="n">
        <v>0</v>
      </c>
      <c r="V3" s="1324" t="n">
        <v>0</v>
      </c>
      <c r="W3" s="1324" t="n">
        <v>0</v>
      </c>
      <c r="X3" s="1324" t="n">
        <v>0</v>
      </c>
      <c r="Y3" s="704">
        <f>SUM(M3:X3)</f>
        <v/>
      </c>
      <c r="Z3" s="1924">
        <f>H3+(H3*Y3)</f>
        <v/>
      </c>
    </row>
    <row r="4" customFormat="1" s="702">
      <c r="A4" s="688" t="n">
        <v>2</v>
      </c>
      <c r="B4" s="1064" t="inlineStr">
        <is>
          <t>9652 Hanover Ct W</t>
        </is>
      </c>
      <c r="C4" s="783" t="inlineStr">
        <is>
          <t>Henderson</t>
        </is>
      </c>
      <c r="D4" s="784" t="inlineStr">
        <is>
          <t>1721-15-0-11-005</t>
        </is>
      </c>
      <c r="E4" s="1921" t="inlineStr">
        <is>
          <t>Industrial</t>
        </is>
      </c>
      <c r="F4" s="784" t="n">
        <v>44637</v>
      </c>
      <c r="G4" s="1922" t="n">
        <v>4600000</v>
      </c>
      <c r="H4" s="1923" t="n">
        <v>197.87</v>
      </c>
      <c r="I4" s="783" t="n"/>
      <c r="J4" s="783" t="n"/>
      <c r="K4" s="787" t="n">
        <v>23248</v>
      </c>
      <c r="L4" s="787" t="n">
        <v>73704</v>
      </c>
      <c r="M4" s="1324" t="n">
        <v>0</v>
      </c>
      <c r="N4" s="1324" t="n">
        <v>0</v>
      </c>
      <c r="O4" s="1324" t="n">
        <v>0</v>
      </c>
      <c r="P4" s="1324" t="n">
        <v>0</v>
      </c>
      <c r="Q4" s="1324" t="n">
        <v>0</v>
      </c>
      <c r="R4" s="1324" t="n">
        <v>0</v>
      </c>
      <c r="S4" s="1325" t="n">
        <v>0</v>
      </c>
      <c r="T4" s="1324" t="n">
        <v>0</v>
      </c>
      <c r="U4" s="1324" t="n">
        <v>-0.1</v>
      </c>
      <c r="V4" s="1324" t="n">
        <v>0</v>
      </c>
      <c r="W4" s="1324" t="n">
        <v>0</v>
      </c>
      <c r="X4" s="1324" t="n">
        <v>0</v>
      </c>
      <c r="Y4" s="704">
        <f>SUM(M4:X4)</f>
        <v/>
      </c>
      <c r="Z4" s="1924">
        <f>H4+(H4*Y4)</f>
        <v/>
      </c>
    </row>
    <row r="5" customFormat="1" s="702">
      <c r="A5" s="688" t="n">
        <v>3</v>
      </c>
      <c r="B5" s="1064" t="inlineStr">
        <is>
          <t>9690 Dallas St (Condo)</t>
        </is>
      </c>
      <c r="C5" s="783" t="inlineStr">
        <is>
          <t>Henderson</t>
        </is>
      </c>
      <c r="D5" s="784" t="inlineStr">
        <is>
          <t>1721-15-3-03-013</t>
        </is>
      </c>
      <c r="E5" s="1921" t="inlineStr">
        <is>
          <t>Industrial</t>
        </is>
      </c>
      <c r="F5" s="784" t="n">
        <v>44631</v>
      </c>
      <c r="G5" s="1922" t="n">
        <v>525000</v>
      </c>
      <c r="H5" s="1923" t="n">
        <v>175</v>
      </c>
      <c r="I5" s="787" t="n"/>
      <c r="J5" s="787" t="n"/>
      <c r="K5" s="787" t="n">
        <v>3000</v>
      </c>
      <c r="L5" s="787" t="n">
        <v>93218</v>
      </c>
      <c r="M5" s="1324" t="n">
        <v>0</v>
      </c>
      <c r="N5" s="1324" t="n">
        <v>0</v>
      </c>
      <c r="O5" s="1324" t="n">
        <v>0</v>
      </c>
      <c r="P5" s="1324" t="n">
        <v>0</v>
      </c>
      <c r="Q5" s="1324" t="n">
        <v>0</v>
      </c>
      <c r="R5" s="1324" t="n">
        <v>0</v>
      </c>
      <c r="S5" s="1325" t="n">
        <v>-0.05</v>
      </c>
      <c r="T5" s="1324" t="n">
        <v>0</v>
      </c>
      <c r="U5" s="1324" t="n">
        <v>-0.05</v>
      </c>
      <c r="V5" s="1324" t="n">
        <v>0.05</v>
      </c>
      <c r="W5" s="1324" t="n">
        <v>0.05</v>
      </c>
      <c r="X5" s="1324" t="n">
        <v>0</v>
      </c>
      <c r="Y5" s="704">
        <f>SUM(M5:X5)</f>
        <v/>
      </c>
      <c r="Z5" s="1924">
        <f>H5+(H5*Y5)</f>
        <v/>
      </c>
    </row>
    <row r="6" customFormat="1" s="702">
      <c r="A6" s="688" t="n">
        <v>4</v>
      </c>
      <c r="B6" s="1064" t="inlineStr">
        <is>
          <t>9900 Emporia St (Part of a 2 Property Sale)</t>
        </is>
      </c>
      <c r="C6" s="783" t="inlineStr">
        <is>
          <t>Commerce City</t>
        </is>
      </c>
      <c r="D6" s="784" t="inlineStr">
        <is>
          <t>1721-15-4-04-003</t>
        </is>
      </c>
      <c r="E6" s="1921" t="inlineStr">
        <is>
          <t>Industrial</t>
        </is>
      </c>
      <c r="F6" s="784" t="n">
        <v>44537</v>
      </c>
      <c r="G6" s="1922" t="n">
        <v>9728033</v>
      </c>
      <c r="H6" s="1923" t="n">
        <v>640</v>
      </c>
      <c r="I6" s="787" t="n"/>
      <c r="J6" s="783" t="n"/>
      <c r="K6" s="787" t="n">
        <v>15200</v>
      </c>
      <c r="L6" s="787" t="n">
        <v>487436</v>
      </c>
      <c r="M6" s="1324" t="n">
        <v>0</v>
      </c>
      <c r="N6" s="1324" t="n">
        <v>0</v>
      </c>
      <c r="O6" s="1324" t="n">
        <v>0</v>
      </c>
      <c r="P6" s="1324" t="n">
        <v>0</v>
      </c>
      <c r="Q6" s="1324" t="n">
        <v>0.05</v>
      </c>
      <c r="R6" s="1324" t="n">
        <v>0</v>
      </c>
      <c r="S6" s="1325" t="n">
        <v>0</v>
      </c>
      <c r="T6" s="1324" t="n">
        <v>0</v>
      </c>
      <c r="U6" s="1324" t="n">
        <v>0</v>
      </c>
      <c r="V6" s="1324" t="n">
        <v>0.05</v>
      </c>
      <c r="W6" s="1324" t="n">
        <v>0</v>
      </c>
      <c r="X6" s="1324" t="n">
        <v>0</v>
      </c>
      <c r="Y6" s="704">
        <f>SUM(M6:X6)</f>
        <v/>
      </c>
      <c r="Z6" s="1924">
        <f>H6+(H6*Y6)</f>
        <v/>
      </c>
    </row>
    <row r="7" customFormat="1" s="702">
      <c r="A7" s="688" t="n">
        <v>5</v>
      </c>
      <c r="B7" s="1328" t="inlineStr">
        <is>
          <t>10400 E 102nd Ave</t>
        </is>
      </c>
      <c r="C7" s="1328" t="inlineStr">
        <is>
          <t>Commerce City</t>
        </is>
      </c>
      <c r="D7" s="1328" t="inlineStr">
        <is>
          <t>1721-15-1-02-013</t>
        </is>
      </c>
      <c r="E7" s="1328" t="inlineStr">
        <is>
          <t>Industrial</t>
        </is>
      </c>
      <c r="F7" s="1329" t="n">
        <v>44517</v>
      </c>
      <c r="G7" s="1925" t="n">
        <v>13000000</v>
      </c>
      <c r="H7" s="1926" t="n">
        <v>739.6</v>
      </c>
      <c r="I7" s="1332" t="n"/>
      <c r="J7" s="1332" t="n"/>
      <c r="K7" s="1332" t="n">
        <v>17577</v>
      </c>
      <c r="L7" s="1332" t="n">
        <v>700880</v>
      </c>
      <c r="M7" s="1326" t="n"/>
      <c r="N7" s="1326" t="n"/>
      <c r="O7" s="1326" t="n"/>
      <c r="P7" s="1326" t="n"/>
      <c r="Q7" s="1326" t="n"/>
      <c r="R7" s="1326" t="n"/>
      <c r="S7" s="1327" t="n"/>
      <c r="T7" s="1326" t="n"/>
      <c r="U7" s="1326" t="n"/>
      <c r="V7" s="1326" t="n"/>
      <c r="W7" s="1326" t="n"/>
      <c r="X7" s="1326" t="n"/>
      <c r="Y7" s="701" t="n"/>
      <c r="Z7" s="1924" t="n"/>
    </row>
    <row r="8">
      <c r="B8" s="700" t="inlineStr">
        <is>
          <t>Average</t>
        </is>
      </c>
      <c r="H8" s="1927">
        <f>AVERAGE(H3:H7)</f>
        <v/>
      </c>
      <c r="Q8" s="699" t="n"/>
      <c r="Z8" s="1928">
        <f>AVERAGE(Z3:Z7)</f>
        <v/>
      </c>
    </row>
    <row r="9">
      <c r="B9" s="700" t="inlineStr">
        <is>
          <t>Median</t>
        </is>
      </c>
      <c r="H9" s="1927">
        <f>MEDIAN(H3:H7)</f>
        <v/>
      </c>
      <c r="Q9" s="699" t="n"/>
      <c r="Z9" s="1928">
        <f>MEDIAN(Z3:Z7)</f>
        <v/>
      </c>
    </row>
    <row r="10" customFormat="1" s="689">
      <c r="B10" s="697" t="inlineStr">
        <is>
          <t>Standard Dev.</t>
        </is>
      </c>
      <c r="F10" s="696" t="n"/>
      <c r="G10" s="1929" t="n"/>
      <c r="H10" s="1930">
        <f>_xlfn.STDEV.P(H3:H6)</f>
        <v/>
      </c>
      <c r="I10" s="693" t="n"/>
      <c r="J10" s="694" t="n"/>
      <c r="K10" s="693" t="n"/>
      <c r="L10" s="692" t="n"/>
      <c r="M10" s="691" t="n"/>
      <c r="N10" s="691" t="n"/>
      <c r="O10" s="691" t="n"/>
      <c r="P10" s="691" t="n"/>
      <c r="Q10" s="691" t="n"/>
      <c r="R10" s="691" t="n"/>
      <c r="S10" s="691" t="n"/>
      <c r="T10" s="691" t="n"/>
      <c r="U10" s="691" t="n"/>
      <c r="V10" s="691" t="n"/>
      <c r="W10" s="691" t="n"/>
      <c r="X10" s="691" t="n"/>
      <c r="Y10" s="691" t="n"/>
      <c r="Z10" s="1931">
        <f>_xlfn.STDEV.P(Z3:Z6)</f>
        <v/>
      </c>
    </row>
    <row r="12">
      <c r="R12" s="1333" t="inlineStr">
        <is>
          <t>Comp</t>
        </is>
      </c>
      <c r="S12" s="688" t="inlineStr">
        <is>
          <t>% Size Diff.</t>
        </is>
      </c>
      <c r="T12" s="688" t="n"/>
      <c r="U12" s="688" t="n"/>
      <c r="V12" s="688" t="inlineStr">
        <is>
          <t>LTB</t>
        </is>
      </c>
    </row>
    <row r="13">
      <c r="R13" s="679" t="n">
        <v>1</v>
      </c>
      <c r="S13" s="687">
        <f>(K3-$K$2)/$K$2</f>
        <v/>
      </c>
      <c r="T13" s="686" t="n"/>
      <c r="U13" s="686" t="n"/>
      <c r="V13" s="685">
        <f>L3/K3</f>
        <v/>
      </c>
    </row>
    <row r="14">
      <c r="R14" s="679" t="n">
        <v>2</v>
      </c>
      <c r="S14" s="687">
        <f>(K4-$K$2)/$K$2</f>
        <v/>
      </c>
      <c r="T14" s="686" t="n"/>
      <c r="U14" s="686" t="n"/>
      <c r="V14" s="685">
        <f>L4/K4</f>
        <v/>
      </c>
    </row>
    <row r="15">
      <c r="R15" s="679" t="n">
        <v>3</v>
      </c>
      <c r="S15" s="687">
        <f>(K5-$K$2)/$K$2</f>
        <v/>
      </c>
      <c r="T15" s="686" t="n"/>
      <c r="U15" s="686" t="n"/>
      <c r="V15" s="685">
        <f>L5/K5</f>
        <v/>
      </c>
    </row>
    <row r="16">
      <c r="R16" s="679" t="n">
        <v>4</v>
      </c>
      <c r="S16" s="687">
        <f>(K6-$K$2)/$K$2</f>
        <v/>
      </c>
      <c r="T16" s="686" t="n"/>
      <c r="U16" s="686" t="n"/>
      <c r="V16" s="685">
        <f>L6/K6</f>
        <v/>
      </c>
    </row>
    <row r="17">
      <c r="R17" s="679" t="n">
        <v>5</v>
      </c>
      <c r="S17" s="687">
        <f>(K7-$K$2)/$K$2</f>
        <v/>
      </c>
      <c r="T17" s="686" t="n"/>
      <c r="U17" s="686" t="n"/>
      <c r="V17" s="685">
        <f>L7/K7</f>
        <v/>
      </c>
    </row>
    <row r="18">
      <c r="S18" s="687" t="n"/>
      <c r="T18" s="686" t="n"/>
      <c r="U18" s="686" t="n"/>
      <c r="V18" s="685" t="n"/>
    </row>
    <row r="19">
      <c r="S19" s="687" t="n"/>
      <c r="T19" s="686" t="n"/>
      <c r="U19" s="686" t="n"/>
      <c r="V19" s="685" t="n"/>
    </row>
  </sheetData>
  <autoFilter ref="B1:X5">
    <sortState ref="B2:X11">
      <sortCondition descending="1" ref="F1:F5"/>
    </sortState>
  </autoFilter>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C2:T70"/>
  <sheetViews>
    <sheetView showGridLines="0" topLeftCell="C1" zoomScale="85" zoomScaleNormal="85" workbookViewId="0">
      <selection activeCell="H63" sqref="H63"/>
    </sheetView>
  </sheetViews>
  <sheetFormatPr baseColWidth="8" defaultColWidth="9.140625" defaultRowHeight="15"/>
  <cols>
    <col width="2.85546875" customWidth="1" style="1439" min="2" max="2"/>
    <col width="27.28515625" customWidth="1" style="1439" min="3" max="3"/>
    <col width="25.7109375" customWidth="1" style="1439" min="4" max="4"/>
    <col width="21.85546875" customWidth="1" style="1439" min="5" max="8"/>
    <col hidden="1" width="21.85546875" customWidth="1" style="1439" min="9" max="9"/>
    <col hidden="1" width="25.7109375" customWidth="1" style="1439" min="10" max="10"/>
    <col hidden="1" width="10.140625" customWidth="1" style="1439" min="11" max="11"/>
    <col width="29.85546875" customWidth="1" style="1439" min="15" max="15"/>
    <col width="40.7109375" customWidth="1" style="1439" min="16" max="16"/>
    <col width="15.140625" customWidth="1" style="1439" min="17" max="17"/>
    <col width="16.140625" customWidth="1" style="1439" min="18" max="20"/>
  </cols>
  <sheetData>
    <row r="1" ht="11.45" customHeight="1" s="1439"/>
    <row r="2">
      <c r="C2" s="1536" t="inlineStr">
        <is>
          <t>COMPARABLE SALE ADJUSTMENT GRID</t>
        </is>
      </c>
      <c r="J2" s="669" t="n"/>
      <c r="K2" s="669" t="n"/>
    </row>
    <row r="3">
      <c r="C3" s="801" t="n"/>
      <c r="D3" s="801" t="inlineStr">
        <is>
          <t>Subject</t>
        </is>
      </c>
      <c r="E3" s="801" t="inlineStr">
        <is>
          <t>Sale 1</t>
        </is>
      </c>
      <c r="F3" s="1532" t="inlineStr">
        <is>
          <t>Sale 2</t>
        </is>
      </c>
      <c r="G3" s="1532" t="inlineStr">
        <is>
          <t>Sale 3</t>
        </is>
      </c>
      <c r="H3" s="1532" t="inlineStr">
        <is>
          <t>Sale 4</t>
        </is>
      </c>
      <c r="I3" s="1532" t="inlineStr">
        <is>
          <t>Sale 5</t>
        </is>
      </c>
      <c r="J3" s="1543" t="inlineStr">
        <is>
          <t>Listing 1</t>
        </is>
      </c>
    </row>
    <row r="4" customFormat="1" s="1559">
      <c r="C4" s="744" t="inlineStr">
        <is>
          <t>Address</t>
        </is>
      </c>
      <c r="D4" s="747">
        <f>Export030823!B2</f>
        <v/>
      </c>
      <c r="E4" s="1558">
        <f>Export030823!B3</f>
        <v/>
      </c>
      <c r="F4" s="1588">
        <f>Export030823!B4</f>
        <v/>
      </c>
      <c r="G4" s="1588">
        <f>Export030823!B5</f>
        <v/>
      </c>
      <c r="H4" s="1579">
        <f>Export030823!B6</f>
        <v/>
      </c>
      <c r="I4" s="1579">
        <f>Export030823!B7</f>
        <v/>
      </c>
      <c r="J4" s="1558" t="inlineStr">
        <is>
          <t>3555 West 144th Avenue</t>
        </is>
      </c>
    </row>
    <row r="5" ht="30" customHeight="1" s="1439">
      <c r="C5" s="634" t="inlineStr">
        <is>
          <t>City, State</t>
        </is>
      </c>
      <c r="D5" s="747">
        <f>Export030823!C2</f>
        <v/>
      </c>
      <c r="E5" s="1560">
        <f>Export030823!C3</f>
        <v/>
      </c>
      <c r="F5" s="1568">
        <f>Export030823!C4</f>
        <v/>
      </c>
      <c r="G5" s="1568">
        <f>Export030823!C5</f>
        <v/>
      </c>
      <c r="H5" s="1590">
        <f>Export030823!C6</f>
        <v/>
      </c>
      <c r="I5" s="1590">
        <f>Export030823!C7</f>
        <v/>
      </c>
      <c r="J5" s="1560" t="inlineStr">
        <is>
          <t>Broomfield</t>
        </is>
      </c>
    </row>
    <row r="6" hidden="1" ht="30" customHeight="1" s="1439">
      <c r="C6" s="634" t="inlineStr">
        <is>
          <t>Parcel Number</t>
        </is>
      </c>
      <c r="D6" s="748">
        <f>Export030823!D2</f>
        <v/>
      </c>
      <c r="E6" s="1558">
        <f>Export030823!D3</f>
        <v/>
      </c>
      <c r="F6" s="1588">
        <f>Export030823!D4</f>
        <v/>
      </c>
      <c r="G6" s="1588">
        <f>Export030823!D5</f>
        <v/>
      </c>
      <c r="H6" s="1590">
        <f>Export030823!D6</f>
        <v/>
      </c>
      <c r="I6" s="1590">
        <f>Export030823!D7</f>
        <v/>
      </c>
      <c r="J6" s="1558" t="inlineStr">
        <is>
          <t>1573-173-14-002</t>
        </is>
      </c>
    </row>
    <row r="7">
      <c r="C7" s="634" t="inlineStr">
        <is>
          <t>Property Type</t>
        </is>
      </c>
      <c r="D7" s="747">
        <f>Export030823!E2</f>
        <v/>
      </c>
      <c r="E7" s="1560">
        <f>Export030823!E3</f>
        <v/>
      </c>
      <c r="F7" s="1568">
        <f>Export030823!E4</f>
        <v/>
      </c>
      <c r="G7" s="1568">
        <f>Export030823!E5</f>
        <v/>
      </c>
      <c r="H7" s="1590">
        <f>Export030823!E6</f>
        <v/>
      </c>
      <c r="I7" s="1590">
        <f>Export030823!E7</f>
        <v/>
      </c>
      <c r="J7" s="1560" t="inlineStr">
        <is>
          <t>ST Daycare Building</t>
        </is>
      </c>
    </row>
    <row r="8">
      <c r="C8" s="634" t="inlineStr">
        <is>
          <t>Sale Date</t>
        </is>
      </c>
      <c r="D8" s="749" t="inlineStr">
        <is>
          <t>N/A</t>
        </is>
      </c>
      <c r="E8" s="1932">
        <f>Export030823!F3</f>
        <v/>
      </c>
      <c r="F8" s="1933">
        <f>Export030823!F4</f>
        <v/>
      </c>
      <c r="G8" s="1933">
        <f>Export030823!F5</f>
        <v/>
      </c>
      <c r="H8" s="1934">
        <f>Export030823!F6</f>
        <v/>
      </c>
      <c r="I8" s="1934">
        <f>Export030823!F7</f>
        <v/>
      </c>
      <c r="J8" s="1932" t="inlineStr">
        <is>
          <t>TBD (Active Listing)</t>
        </is>
      </c>
    </row>
    <row r="9">
      <c r="C9" s="634" t="inlineStr">
        <is>
          <t>Sale Price</t>
        </is>
      </c>
      <c r="D9" s="1935" t="inlineStr">
        <is>
          <t>N/A</t>
        </is>
      </c>
      <c r="E9" s="1936">
        <f>Export030823!G3</f>
        <v/>
      </c>
      <c r="F9" s="1937">
        <f>Export030823!G4</f>
        <v/>
      </c>
      <c r="G9" s="1937">
        <f>Export030823!G5</f>
        <v/>
      </c>
      <c r="H9" s="1938">
        <f>Export030823!G6</f>
        <v/>
      </c>
      <c r="I9" s="1938">
        <f>Export030823!G7</f>
        <v/>
      </c>
      <c r="J9" s="1936" t="inlineStr">
        <is>
          <t>N/A</t>
        </is>
      </c>
    </row>
    <row r="10" hidden="1" s="1439">
      <c r="C10" s="634" t="inlineStr">
        <is>
          <t>Listing Price</t>
        </is>
      </c>
      <c r="D10" s="1935" t="inlineStr">
        <is>
          <t>N/A</t>
        </is>
      </c>
      <c r="E10" s="1936">
        <f>Export030823!I3</f>
        <v/>
      </c>
      <c r="F10" s="1937">
        <f>Export030823!I4</f>
        <v/>
      </c>
      <c r="G10" s="1937">
        <f>Export030823!I5</f>
        <v/>
      </c>
      <c r="H10" s="1938">
        <f>Export030823!I6</f>
        <v/>
      </c>
      <c r="I10" s="1938">
        <f>Export030823!I7</f>
        <v/>
      </c>
      <c r="J10" s="1936" t="n"/>
      <c r="K10" s="1936" t="n">
        <v>6769231</v>
      </c>
    </row>
    <row r="11" hidden="1" s="1439">
      <c r="C11" s="635" t="inlineStr">
        <is>
          <t>Days On Market</t>
        </is>
      </c>
      <c r="D11" s="749" t="inlineStr">
        <is>
          <t>N/A</t>
        </is>
      </c>
      <c r="E11" s="746">
        <f>Export030823!J3</f>
        <v/>
      </c>
      <c r="F11" s="740">
        <f>Export030823!J4</f>
        <v/>
      </c>
      <c r="G11" s="740">
        <f>Export030823!J5</f>
        <v/>
      </c>
      <c r="H11" s="772">
        <f>Export030823!J6</f>
        <v/>
      </c>
      <c r="I11" s="772">
        <f>Export030823!J7</f>
        <v/>
      </c>
      <c r="J11" s="1560" t="n">
        <v>73</v>
      </c>
    </row>
    <row r="12" hidden="1" ht="28.5" customHeight="1" s="1439">
      <c r="C12" s="634" t="inlineStr">
        <is>
          <t>Data Source</t>
        </is>
      </c>
      <c r="D12" s="751" t="inlineStr">
        <is>
          <t>Inspection, Lease, Site Plans, Assessor</t>
        </is>
      </c>
      <c r="E12" s="1558" t="inlineStr">
        <is>
          <t>CoStar, Assessor, Deed</t>
        </is>
      </c>
      <c r="F12" s="1588" t="inlineStr">
        <is>
          <t>CoStar, Assessor, Deed</t>
        </is>
      </c>
      <c r="G12" s="1588" t="inlineStr">
        <is>
          <t>CoStar, Assessor, Deed</t>
        </is>
      </c>
      <c r="H12" s="1579" t="inlineStr">
        <is>
          <t>CoStar, Assessor, Deed</t>
        </is>
      </c>
      <c r="I12" s="1579" t="inlineStr">
        <is>
          <t>CoStar, Assessor, Offering Memorandum</t>
        </is>
      </c>
      <c r="J12" s="1558" t="inlineStr">
        <is>
          <t>CoStar, Assessor, Offering Memorandum</t>
        </is>
      </c>
    </row>
    <row r="13">
      <c r="C13" s="634" t="inlineStr">
        <is>
          <t>Property Size (SF)</t>
        </is>
      </c>
      <c r="D13" s="752">
        <f>Export030823!K2</f>
        <v/>
      </c>
      <c r="E13" s="1555">
        <f>Export030823!K3</f>
        <v/>
      </c>
      <c r="F13" s="1595">
        <f>Export030823!K4</f>
        <v/>
      </c>
      <c r="G13" s="1595">
        <f>Export030823!K5</f>
        <v/>
      </c>
      <c r="H13" s="1577">
        <f>Export030823!K6</f>
        <v/>
      </c>
      <c r="I13" s="1577">
        <f>Export030823!K7</f>
        <v/>
      </c>
      <c r="J13" s="1555" t="n">
        <v>10511</v>
      </c>
    </row>
    <row r="14">
      <c r="C14" s="634" t="inlineStr">
        <is>
          <t>Site Size (SF)</t>
        </is>
      </c>
      <c r="D14" s="753">
        <f>Export030823!L2</f>
        <v/>
      </c>
      <c r="E14" s="1555">
        <f>Export030823!L3</f>
        <v/>
      </c>
      <c r="F14" s="1595">
        <f>Export030823!L4</f>
        <v/>
      </c>
      <c r="G14" s="1595">
        <f>Export030823!L5</f>
        <v/>
      </c>
      <c r="H14" s="1577">
        <f>Export030823!L6</f>
        <v/>
      </c>
      <c r="I14" s="1577">
        <f>Export030823!L7</f>
        <v/>
      </c>
      <c r="J14" s="1555" t="n">
        <v>67954</v>
      </c>
    </row>
    <row r="15" hidden="1" s="1439">
      <c r="C15" s="634" t="inlineStr">
        <is>
          <t>Parking Spaces</t>
        </is>
      </c>
      <c r="D15" s="754" t="n">
        <v>41</v>
      </c>
      <c r="E15" s="741" t="n"/>
      <c r="F15" s="741" t="n"/>
      <c r="G15" s="741" t="n"/>
      <c r="H15" s="742" t="n"/>
      <c r="I15" s="742" t="n"/>
      <c r="J15" s="1562" t="n">
        <v>28</v>
      </c>
    </row>
    <row r="16" hidden="1" ht="70.5" customHeight="1" s="1439">
      <c r="C16" s="634" t="inlineStr">
        <is>
          <t>Comments</t>
        </is>
      </c>
      <c r="D16" s="1939" t="inlineStr">
        <is>
          <t>Single-tenant daycare facility 100% leased long-term to KinderCare on a guaranteed net agreement.</t>
        </is>
      </c>
      <c r="E16" s="1940" t="n"/>
      <c r="F16" s="1940" t="n"/>
      <c r="G16" s="1940" t="n"/>
      <c r="H16" s="1940" t="n"/>
      <c r="I16" s="1940" t="n"/>
      <c r="J16" s="1941" t="inlineStr">
        <is>
          <t>Single-tenant daycare facility 100% leased long-term to Little Sunshine's Playhouse and Preschool, a national tenant.</t>
        </is>
      </c>
      <c r="K16" s="1540" t="n"/>
    </row>
    <row r="17">
      <c r="C17" s="636" t="inlineStr">
        <is>
          <t>Unadjusted Price Per SF</t>
        </is>
      </c>
      <c r="D17" s="1942" t="n"/>
      <c r="E17" s="1943">
        <f>E9/E13</f>
        <v/>
      </c>
      <c r="F17" s="1943">
        <f>F9/F13</f>
        <v/>
      </c>
      <c r="G17" s="1943">
        <f>G9/G13</f>
        <v/>
      </c>
      <c r="H17" s="1943">
        <f>H9/H13</f>
        <v/>
      </c>
      <c r="I17" s="1943">
        <f>I9/I13</f>
        <v/>
      </c>
      <c r="J17" s="639" t="n"/>
      <c r="K17" s="1944">
        <f>K10/J13</f>
        <v/>
      </c>
    </row>
    <row r="18" ht="12.6" customHeight="1" s="1439">
      <c r="C18" s="802" t="inlineStr">
        <is>
          <t>Quantified Adjustments</t>
        </is>
      </c>
      <c r="D18" s="803" t="n"/>
      <c r="E18" s="804" t="n"/>
      <c r="F18" s="804" t="n"/>
      <c r="G18" s="804" t="n"/>
      <c r="H18" s="804" t="n"/>
      <c r="I18" s="804" t="n"/>
      <c r="J18" s="640" t="n"/>
      <c r="K18" s="640" t="n"/>
    </row>
    <row r="19" hidden="1" s="1439">
      <c r="C19" s="641" t="inlineStr">
        <is>
          <t>Sale Type</t>
        </is>
      </c>
      <c r="D19" s="757">
        <f>Export030823!M2</f>
        <v/>
      </c>
      <c r="E19" s="1945">
        <f>Export030823!M3</f>
        <v/>
      </c>
      <c r="F19" s="1945">
        <f>Export030823!M4</f>
        <v/>
      </c>
      <c r="G19" s="1945">
        <f>Export030823!M5</f>
        <v/>
      </c>
      <c r="H19" s="1945">
        <f>Export030823!M6</f>
        <v/>
      </c>
      <c r="I19" s="1945">
        <f>Export030823!M7</f>
        <v/>
      </c>
      <c r="J19" s="643" t="inlineStr">
        <is>
          <t>Leased Fee</t>
        </is>
      </c>
      <c r="K19" s="1946" t="n"/>
    </row>
    <row r="20">
      <c r="C20" s="634" t="inlineStr">
        <is>
          <t>Financing</t>
        </is>
      </c>
      <c r="D20" s="749" t="inlineStr">
        <is>
          <t>Market Based</t>
        </is>
      </c>
      <c r="E20" s="1947">
        <f>Export030823!N3</f>
        <v/>
      </c>
      <c r="F20" s="1947">
        <f>Export030823!N4</f>
        <v/>
      </c>
      <c r="G20" s="1947">
        <f>Export030823!N5</f>
        <v/>
      </c>
      <c r="H20" s="1947">
        <f>Export030823!N6</f>
        <v/>
      </c>
      <c r="I20" s="1947">
        <f>Export030823!N7</f>
        <v/>
      </c>
      <c r="J20" s="648" t="n"/>
      <c r="K20" s="1948" t="n">
        <v>0</v>
      </c>
    </row>
    <row r="21">
      <c r="C21" s="634" t="inlineStr">
        <is>
          <t>Terms/Conditions of Sale</t>
        </is>
      </c>
      <c r="D21" s="749" t="inlineStr">
        <is>
          <t>None</t>
        </is>
      </c>
      <c r="E21" s="1947">
        <f>Export030823!O3</f>
        <v/>
      </c>
      <c r="F21" s="1947">
        <f>Export030823!O4</f>
        <v/>
      </c>
      <c r="G21" s="1947">
        <f>Export030823!O5</f>
        <v/>
      </c>
      <c r="H21" s="1947">
        <f>Export030823!O6</f>
        <v/>
      </c>
      <c r="I21" s="1947">
        <f>Export030823!O7</f>
        <v/>
      </c>
      <c r="J21" s="646" t="inlineStr">
        <is>
          <t>Active Listing</t>
        </is>
      </c>
      <c r="K21" s="1948" t="n">
        <v>-0.05</v>
      </c>
    </row>
    <row r="22">
      <c r="C22" s="634" t="inlineStr">
        <is>
          <t>Expenditures After Sale</t>
        </is>
      </c>
      <c r="D22" s="749" t="inlineStr">
        <is>
          <t>None</t>
        </is>
      </c>
      <c r="E22" s="1947">
        <f>Export030823!P3</f>
        <v/>
      </c>
      <c r="F22" s="1947">
        <f>Export030823!P4</f>
        <v/>
      </c>
      <c r="G22" s="1947">
        <f>Export030823!P5</f>
        <v/>
      </c>
      <c r="H22" s="1947">
        <f>Export030823!P6</f>
        <v/>
      </c>
      <c r="I22" s="1947">
        <f>Export030823!P7</f>
        <v/>
      </c>
      <c r="J22" s="648" t="n"/>
      <c r="K22" s="1948" t="n">
        <v>0</v>
      </c>
    </row>
    <row r="23">
      <c r="C23" s="634" t="inlineStr">
        <is>
          <t>Market Conditions</t>
        </is>
      </c>
      <c r="D23" s="749" t="inlineStr">
        <is>
          <t>N/A</t>
        </is>
      </c>
      <c r="E23" s="1947">
        <f>Export030823!Q3</f>
        <v/>
      </c>
      <c r="F23" s="1947">
        <f>Export030823!Q4</f>
        <v/>
      </c>
      <c r="G23" s="1947">
        <f>Export030823!Q5</f>
        <v/>
      </c>
      <c r="H23" s="1947">
        <f>Export030823!Q6</f>
        <v/>
      </c>
      <c r="I23" s="1947">
        <f>Export030823!Q7</f>
        <v/>
      </c>
      <c r="J23" s="648" t="n"/>
      <c r="K23" s="1948" t="n">
        <v>0</v>
      </c>
    </row>
    <row r="24" hidden="1" s="1439">
      <c r="C24" s="644" t="inlineStr">
        <is>
          <t>Market Conditions Adjusted</t>
        </is>
      </c>
      <c r="D24" s="749" t="n"/>
      <c r="E24" s="1949">
        <f>IF(LEFT(CELL("format",E23),1)="P",E17*(1+E23),IF(LEFT(CELL("format",E23),1)="C",E17+E23))</f>
        <v/>
      </c>
      <c r="F24" s="1949">
        <f>IF(LEFT(CELL("format",F23),1)="P",F17*(1+F23),IF(LEFT(CELL("format",F23),1)="C",F17+F23))</f>
        <v/>
      </c>
      <c r="G24" s="1949">
        <f>IF(LEFT(CELL("format",G23),1)="P",G17*(1+G23),IF(LEFT(CELL("format",G23),1)="C",G17+G23))</f>
        <v/>
      </c>
      <c r="H24" s="1949">
        <f>IF(LEFT(CELL("format",H23),1)="P",H17*(1+H23),IF(LEFT(CELL("format",H23),1)="C",H17+H23))</f>
        <v/>
      </c>
      <c r="I24" s="1949">
        <f>IF(LEFT(CELL("format",I23),1)="P",I17*(1+I23),IF(LEFT(CELL("format",I23),1)="C",I17+I23))</f>
        <v/>
      </c>
      <c r="J24" s="646" t="n"/>
      <c r="K24" s="1950">
        <f>IF(LEFT(CELL("format",K23),1)="P",K17*(1+K23),IF(LEFT(CELL("format",K23),1)="C",K17+K23))</f>
        <v/>
      </c>
    </row>
    <row r="25" ht="18.75" customHeight="1" s="1439">
      <c r="C25" s="649" t="inlineStr">
        <is>
          <t>Total Quantified Adjustment</t>
        </is>
      </c>
      <c r="D25" s="758" t="n"/>
      <c r="E25" s="1951">
        <f>SUM(E19:E23)</f>
        <v/>
      </c>
      <c r="F25" s="1951">
        <f>SUM(F19:F23)</f>
        <v/>
      </c>
      <c r="G25" s="1951">
        <f>SUM(G19:G23)</f>
        <v/>
      </c>
      <c r="H25" s="1951">
        <f>SUM(H19:H23)</f>
        <v/>
      </c>
      <c r="I25" s="1951">
        <f>SUM(I19:I23)</f>
        <v/>
      </c>
      <c r="J25" s="651" t="n"/>
      <c r="K25" s="650">
        <f>IFERROR(TEXT(K24-K17,"$#,##0.00")&amp;CHAR(10)&amp;" or "&amp;CHAR(10)&amp;TEXT((K24-K17)/K17,"0.00%"),0)</f>
        <v/>
      </c>
    </row>
    <row r="26">
      <c r="C26" s="652" t="inlineStr">
        <is>
          <t>Quantitatively Adjusted Price</t>
        </is>
      </c>
      <c r="D26" s="759" t="n"/>
      <c r="E26" s="1952">
        <f>E17+(E17*E25)</f>
        <v/>
      </c>
      <c r="F26" s="1952">
        <f>F17+(F17*F25)</f>
        <v/>
      </c>
      <c r="G26" s="1952">
        <f>G17+(G17*G25)</f>
        <v/>
      </c>
      <c r="H26" s="1952">
        <f>H17+(H17*H25)</f>
        <v/>
      </c>
      <c r="I26" s="1952">
        <f>I17+(I17*I25)</f>
        <v/>
      </c>
      <c r="J26" s="651" t="n"/>
      <c r="K26" s="1953">
        <f>K24</f>
        <v/>
      </c>
    </row>
    <row r="27">
      <c r="C27" s="802" t="inlineStr">
        <is>
          <t>Qualitative Adjustments</t>
        </is>
      </c>
      <c r="D27" s="803" t="n"/>
      <c r="E27" s="1954" t="n"/>
      <c r="F27" s="804" t="n"/>
      <c r="G27" s="804" t="n"/>
      <c r="H27" s="804" t="n"/>
      <c r="I27" s="804" t="n"/>
      <c r="J27" s="656" t="n"/>
      <c r="K27" s="1955">
        <f>SUM(K19:K25)+1</f>
        <v/>
      </c>
    </row>
    <row r="28">
      <c r="C28" s="762">
        <f>Export030823!R1</f>
        <v/>
      </c>
      <c r="D28" s="764">
        <f>Export030823!R2</f>
        <v/>
      </c>
      <c r="E28" s="1947">
        <f>Export030823!R3</f>
        <v/>
      </c>
      <c r="F28" s="1947">
        <f>Export030823!R4</f>
        <v/>
      </c>
      <c r="G28" s="1947">
        <f>Export030823!R5</f>
        <v/>
      </c>
      <c r="H28" s="1947">
        <f>Export030823!R6</f>
        <v/>
      </c>
      <c r="I28" s="1947">
        <f>Export030823!R7</f>
        <v/>
      </c>
      <c r="J28" s="658" t="inlineStr">
        <is>
          <t>Good</t>
        </is>
      </c>
      <c r="K28" s="1956" t="n">
        <v>0</v>
      </c>
    </row>
    <row r="29">
      <c r="C29" s="763">
        <f>Export030823!S1</f>
        <v/>
      </c>
      <c r="D29" s="765">
        <f>Export030823!S2</f>
        <v/>
      </c>
      <c r="E29" s="1947">
        <f>Export030823!S3</f>
        <v/>
      </c>
      <c r="F29" s="1947">
        <f>Export030823!S4</f>
        <v/>
      </c>
      <c r="G29" s="1947">
        <f>Export030823!S5</f>
        <v/>
      </c>
      <c r="H29" s="1947">
        <f>Export030823!S6</f>
        <v/>
      </c>
      <c r="I29" s="1947">
        <f>Export030823!S7</f>
        <v/>
      </c>
      <c r="J29" s="659">
        <f>J13</f>
        <v/>
      </c>
      <c r="K29" s="1956" t="n">
        <v>0</v>
      </c>
    </row>
    <row r="30">
      <c r="C30" s="763">
        <f>Export030823!T1</f>
        <v/>
      </c>
      <c r="D30" s="788">
        <f>Export030823!T2</f>
        <v/>
      </c>
      <c r="E30" s="1947">
        <f>Export030823!T3</f>
        <v/>
      </c>
      <c r="F30" s="1947">
        <f>Export030823!T4</f>
        <v/>
      </c>
      <c r="G30" s="1947">
        <f>Export030823!T5</f>
        <v/>
      </c>
      <c r="H30" s="1947">
        <f>Export030823!T6</f>
        <v/>
      </c>
      <c r="I30" s="1947">
        <f>Export030823!T7</f>
        <v/>
      </c>
      <c r="J30" s="658" t="inlineStr">
        <is>
          <t>2019 / Very Good</t>
        </is>
      </c>
      <c r="K30" s="1956" t="n">
        <v>0</v>
      </c>
    </row>
    <row r="31">
      <c r="C31" s="762">
        <f>Export030823!U1</f>
        <v/>
      </c>
      <c r="D31" s="764">
        <f>Export030823!U2</f>
        <v/>
      </c>
      <c r="E31" s="1947">
        <f>Export030823!U3</f>
        <v/>
      </c>
      <c r="F31" s="1947">
        <f>Export030823!U4</f>
        <v/>
      </c>
      <c r="G31" s="1947">
        <f>Export030823!U5</f>
        <v/>
      </c>
      <c r="H31" s="1947">
        <f>Export030823!U6</f>
        <v/>
      </c>
      <c r="I31" s="1947">
        <f>Export030823!U7</f>
        <v/>
      </c>
      <c r="J31" s="658" t="inlineStr">
        <is>
          <t>Good</t>
        </is>
      </c>
      <c r="K31" s="1956" t="n">
        <v>0</v>
      </c>
    </row>
    <row r="32">
      <c r="C32" s="763">
        <f>Export030823!V1</f>
        <v/>
      </c>
      <c r="D32" s="766">
        <f>Export030823!V2</f>
        <v/>
      </c>
      <c r="E32" s="1947">
        <f>Export030823!V3</f>
        <v/>
      </c>
      <c r="F32" s="1947">
        <f>Export030823!V4</f>
        <v/>
      </c>
      <c r="G32" s="1947">
        <f>Export030823!V5</f>
        <v/>
      </c>
      <c r="H32" s="1947">
        <f>Export030823!V6</f>
        <v/>
      </c>
      <c r="I32" s="1947">
        <f>Export030823!V7</f>
        <v/>
      </c>
      <c r="J32" s="660">
        <f>ROUND((J15/J13)*1000,2)&amp; ":1,000 SF"</f>
        <v/>
      </c>
      <c r="K32" s="1956" t="n">
        <v>0</v>
      </c>
    </row>
    <row r="33">
      <c r="C33" s="762">
        <f>Export030823!W1</f>
        <v/>
      </c>
      <c r="D33" s="764">
        <f>Export030823!W2</f>
        <v/>
      </c>
      <c r="E33" s="1947">
        <f>Export030823!W3</f>
        <v/>
      </c>
      <c r="F33" s="1947">
        <f>Export030823!W4</f>
        <v/>
      </c>
      <c r="G33" s="1947">
        <f>Export030823!W5</f>
        <v/>
      </c>
      <c r="H33" s="1947">
        <f>Export030823!W6</f>
        <v/>
      </c>
      <c r="I33" s="1947">
        <f>Export030823!W7</f>
        <v/>
      </c>
      <c r="J33" s="658" t="inlineStr">
        <is>
          <t>Good</t>
        </is>
      </c>
      <c r="K33" s="1956" t="n">
        <v>0</v>
      </c>
    </row>
    <row r="34">
      <c r="C34" s="763">
        <f>Export030823!X1</f>
        <v/>
      </c>
      <c r="D34" s="764">
        <f>Export030823!X2</f>
        <v/>
      </c>
      <c r="E34" s="1957">
        <f>Export030823!X3</f>
        <v/>
      </c>
      <c r="F34" s="1957">
        <f>Export030823!X4</f>
        <v/>
      </c>
      <c r="G34" s="1957">
        <f>Export030823!X5</f>
        <v/>
      </c>
      <c r="H34" s="1957">
        <f>Export030823!X6</f>
        <v/>
      </c>
      <c r="I34" s="1957">
        <f>Export030823!X7</f>
        <v/>
      </c>
      <c r="J34" s="662" t="inlineStr">
        <is>
          <t>Good</t>
        </is>
      </c>
      <c r="K34" s="1958" t="n">
        <v>0</v>
      </c>
    </row>
    <row r="35">
      <c r="C35" s="663" t="inlineStr">
        <is>
          <t>Total Non Quantified Adj.</t>
        </is>
      </c>
      <c r="D35" s="760" t="n"/>
      <c r="E35" s="1959">
        <f>SUM(E28,E29,E30,E31,E32,E33,E34)</f>
        <v/>
      </c>
      <c r="F35" s="1959">
        <f>SUM(F28,F29,F30,F31,F32,F33,F34)</f>
        <v/>
      </c>
      <c r="G35" s="1959">
        <f>SUM(G28,G29,G30,G31,G32,G33,G34)</f>
        <v/>
      </c>
      <c r="H35" s="1959">
        <f>SUM(H28,H29,H30,H31,H32,H33,H34)</f>
        <v/>
      </c>
      <c r="I35" s="1960">
        <f>SUM(I28,I29,I30,I31,I32,I33,I34)</f>
        <v/>
      </c>
      <c r="J35" s="636" t="n"/>
      <c r="K35" s="1961">
        <f>SUM(K28,K29,K30,K31,K32,K33,K34)</f>
        <v/>
      </c>
    </row>
    <row r="36">
      <c r="C36" s="665" t="inlineStr">
        <is>
          <t>Indication for Subject:</t>
        </is>
      </c>
      <c r="D36" s="761" t="n"/>
      <c r="E36" s="1962">
        <f>E26+(E26*E35)</f>
        <v/>
      </c>
      <c r="F36" s="1963">
        <f>F26+(F26*F35)</f>
        <v/>
      </c>
      <c r="G36" s="1964">
        <f>G26+(G26*G35)</f>
        <v/>
      </c>
      <c r="H36" s="1964">
        <f>H26+(H26*H35)</f>
        <v/>
      </c>
      <c r="I36" s="1964">
        <f>I26+(I26*I35)</f>
        <v/>
      </c>
      <c r="J36" s="668" t="n"/>
      <c r="K36" s="1965">
        <f>IF(LEFT(CELL("format",K35),1)="P",K26*(1+K35),IF(LEFT(CELL("format",K35),1)="C",K26+K35))</f>
        <v/>
      </c>
    </row>
    <row r="37" hidden="1" s="1439"/>
    <row r="39">
      <c r="C39" s="1545" t="inlineStr">
        <is>
          <t xml:space="preserve">SALES COMPARISON APPROACH VALUE CONCLUSION </t>
        </is>
      </c>
    </row>
    <row r="40">
      <c r="C40" s="1550" t="inlineStr">
        <is>
          <t>Indicated Value per SF</t>
        </is>
      </c>
      <c r="D40" s="1819" t="n">
        <v>120</v>
      </c>
    </row>
    <row r="41">
      <c r="C41" s="1550" t="inlineStr">
        <is>
          <t>Building Area (SF)</t>
        </is>
      </c>
      <c r="D41" s="1966">
        <f>'Property Info'!B4</f>
        <v/>
      </c>
    </row>
    <row r="42" hidden="1" s="1439">
      <c r="C42" s="899">
        <f>IF(D43=0,"HIDE THIS ROW IF NO DEFERRED MAINTENANCE", "Indicated Value")</f>
        <v/>
      </c>
      <c r="D42" s="1967">
        <f>D40*D41</f>
        <v/>
      </c>
    </row>
    <row r="43" hidden="1" s="1439">
      <c r="C43" s="901" t="inlineStr">
        <is>
          <t xml:space="preserve">Contract Price </t>
        </is>
      </c>
      <c r="D43" s="1968" t="n">
        <v>0</v>
      </c>
    </row>
    <row r="44" hidden="1" s="1439">
      <c r="C44" s="1969">
        <f>D42+D43</f>
        <v/>
      </c>
      <c r="D44" s="1458" t="n"/>
    </row>
    <row r="45">
      <c r="C45" s="903">
        <f>IF(SUM(D43:D43)=0,"Indicated Value","Indicated Value - Adjusted")</f>
        <v/>
      </c>
      <c r="D45" s="1970">
        <f>C44</f>
        <v/>
      </c>
    </row>
    <row r="46">
      <c r="C46" s="1825" t="n">
        <v>5000</v>
      </c>
      <c r="D46" s="1826">
        <f>ROUND((D45/C46),0)*C46</f>
        <v/>
      </c>
    </row>
    <row r="47">
      <c r="C47" s="1684" t="inlineStr">
        <is>
          <t>Per SF</t>
        </is>
      </c>
      <c r="D47" s="1827">
        <f>D46/D41</f>
        <v/>
      </c>
      <c r="F47" s="1971" t="n"/>
      <c r="G47" s="1692" t="n"/>
    </row>
    <row r="48" hidden="1" s="1439">
      <c r="F48" s="909" t="n"/>
      <c r="G48" s="909" t="n"/>
    </row>
    <row r="49" hidden="1" s="1439"/>
    <row r="51">
      <c r="C51" s="722" t="inlineStr">
        <is>
          <t>Assessor's Assigned Value</t>
        </is>
      </c>
      <c r="D51" s="1972">
        <f>'Property Info'!B20</f>
        <v/>
      </c>
      <c r="E51" s="1973">
        <f>D51/D29</f>
        <v/>
      </c>
    </row>
    <row r="52">
      <c r="C52" s="725" t="inlineStr">
        <is>
          <t>Petition Value</t>
        </is>
      </c>
      <c r="D52" s="1974">
        <f>'Property Info'!B21</f>
        <v/>
      </c>
      <c r="E52" s="1975">
        <f>'Basic Sales Grid'!D52/'Basic Sales Grid'!D29</f>
        <v/>
      </c>
      <c r="O52" s="1488" t="inlineStr">
        <is>
          <t>COMPARABLE SALE SEARCH</t>
        </is>
      </c>
    </row>
    <row r="53" ht="16.5" customHeight="1" s="1439">
      <c r="O53" s="910" t="inlineStr">
        <is>
          <t>SEARCH FOR COMPARABLE SALES</t>
        </is>
      </c>
      <c r="P53" s="910" t="n"/>
    </row>
    <row r="54">
      <c r="O54" s="1051" t="inlineStr">
        <is>
          <t>Property Type Searched</t>
        </is>
      </c>
      <c r="P54" s="1212" t="inlineStr">
        <is>
          <t>Industrial</t>
        </is>
      </c>
    </row>
    <row r="55">
      <c r="O55" s="1051" t="inlineStr">
        <is>
          <t>Search Radius</t>
        </is>
      </c>
      <c r="P55" s="1212" t="inlineStr">
        <is>
          <t>5-Miles</t>
        </is>
      </c>
    </row>
    <row r="56">
      <c r="O56" s="1051" t="inlineStr">
        <is>
          <t>SF Parameters</t>
        </is>
      </c>
      <c r="P56" s="1212" t="inlineStr">
        <is>
          <t>20,000 SF - 40,000 SF</t>
        </is>
      </c>
    </row>
    <row r="57">
      <c r="O57" s="1051" t="inlineStr">
        <is>
          <t>Property Rights Conveyed</t>
        </is>
      </c>
      <c r="P57" s="1212" t="inlineStr">
        <is>
          <t>Fee Simple</t>
        </is>
      </c>
    </row>
    <row r="58">
      <c r="O58" s="910" t="inlineStr">
        <is>
          <t>COMPARABLES UTILIZED</t>
        </is>
      </c>
      <c r="P58" s="910" t="n"/>
    </row>
    <row r="59">
      <c r="O59" s="1051" t="inlineStr">
        <is>
          <t>Sales</t>
        </is>
      </c>
      <c r="P59" s="1489" t="n">
        <v>4</v>
      </c>
    </row>
    <row r="60">
      <c r="O60" s="1052" t="inlineStr">
        <is>
          <t>Confirmations</t>
        </is>
      </c>
      <c r="P60" s="1334" t="inlineStr">
        <is>
          <t>All pertinent information verified.</t>
        </is>
      </c>
    </row>
    <row r="62" ht="13.5" customHeight="1" s="1439"/>
    <row r="63">
      <c r="R63" s="1488" t="inlineStr">
        <is>
          <t>RANKING OF THE SUBJECT PROPERTY</t>
        </is>
      </c>
    </row>
    <row r="64">
      <c r="R64" s="888" t="inlineStr">
        <is>
          <t>COMPARABLE</t>
        </is>
      </c>
      <c r="S64" s="888" t="inlineStr">
        <is>
          <t>VALUE PSF</t>
        </is>
      </c>
      <c r="T64" s="888" t="inlineStr">
        <is>
          <t>COMPARISON</t>
        </is>
      </c>
    </row>
    <row r="65">
      <c r="R65" s="1335" t="n">
        <v>4</v>
      </c>
      <c r="S65" s="1720">
        <f>H36</f>
        <v/>
      </c>
      <c r="T65" s="1335" t="inlineStr">
        <is>
          <t>Below</t>
        </is>
      </c>
    </row>
    <row r="66">
      <c r="R66" s="1335" t="n">
        <v>2</v>
      </c>
      <c r="S66" s="1720">
        <f>F36</f>
        <v/>
      </c>
      <c r="T66" s="1335" t="inlineStr">
        <is>
          <t>Below</t>
        </is>
      </c>
    </row>
    <row r="67">
      <c r="R67" s="1336" t="inlineStr">
        <is>
          <t>Subject</t>
        </is>
      </c>
      <c r="S67" s="1976" t="n">
        <v>120</v>
      </c>
      <c r="T67" s="1338" t="n"/>
    </row>
    <row r="68">
      <c r="R68" s="1335" t="n">
        <v>3</v>
      </c>
      <c r="S68" s="1720">
        <f>G36</f>
        <v/>
      </c>
      <c r="T68" s="1335" t="inlineStr">
        <is>
          <t>Above</t>
        </is>
      </c>
    </row>
    <row r="69">
      <c r="R69" s="1339" t="n">
        <v>1</v>
      </c>
      <c r="S69" s="1725">
        <f>E36</f>
        <v/>
      </c>
      <c r="T69" s="1339" t="inlineStr">
        <is>
          <t>Above</t>
        </is>
      </c>
    </row>
    <row r="70" hidden="1" s="1439">
      <c r="R70" s="911" t="n">
        <v>1</v>
      </c>
      <c r="S70" s="1977" t="n">
        <v>69.87</v>
      </c>
      <c r="T70" s="911" t="inlineStr">
        <is>
          <t>Inferior</t>
        </is>
      </c>
    </row>
  </sheetData>
  <mergeCells count="18">
    <mergeCell ref="J3:K3"/>
    <mergeCell ref="J4:K4"/>
    <mergeCell ref="J11:K11"/>
    <mergeCell ref="J12:K12"/>
    <mergeCell ref="J5:K5"/>
    <mergeCell ref="R63:T63"/>
    <mergeCell ref="J6:K6"/>
    <mergeCell ref="J16:K16"/>
    <mergeCell ref="J14:K14"/>
    <mergeCell ref="J15:K15"/>
    <mergeCell ref="J7:K7"/>
    <mergeCell ref="O52:P52"/>
    <mergeCell ref="C44:D44"/>
    <mergeCell ref="C2:I2"/>
    <mergeCell ref="J13:K13"/>
    <mergeCell ref="J8:K8"/>
    <mergeCell ref="C39:D39"/>
    <mergeCell ref="J9:K9"/>
  </mergeCells>
  <conditionalFormatting sqref="C42">
    <cfRule type="expression" priority="5" dxfId="0" stopIfTrue="1">
      <formula>SUM(D43:D43)=0</formula>
    </cfRule>
  </conditionalFormatting>
  <conditionalFormatting sqref="C43">
    <cfRule type="expression" priority="4" dxfId="2">
      <formula>D43=0</formula>
    </cfRule>
  </conditionalFormatting>
  <conditionalFormatting sqref="C44">
    <cfRule type="expression" priority="1" dxfId="0" stopIfTrue="1">
      <formula>SUM(D45:D45)=0</formula>
    </cfRule>
  </conditionalFormatting>
  <dataValidations count="2">
    <dataValidation sqref="J36" showDropDown="0" showInputMessage="1" showErrorMessage="1" allowBlank="1" type="list">
      <formula1>lstCondition</formula1>
    </dataValidation>
    <dataValidation sqref="D43" showDropDown="0" showInputMessage="1" showErrorMessage="1" allowBlank="1" promptTitle="Adjustment #2" prompt="Input adjustment to calculated value—default link to Deferred Maintenance entered in Cost Approach."/>
  </dataValidations>
  <pageMargins left="0.25" right="0.25" top="0.75" bottom="0.75" header="0.3" footer="0.3"/>
  <pageSetup orientation="landscape"/>
</worksheet>
</file>

<file path=xl/worksheets/sheet14.xml><?xml version="1.0" encoding="utf-8"?>
<worksheet xmlns="http://schemas.openxmlformats.org/spreadsheetml/2006/main">
  <sheetPr>
    <outlinePr summaryBelow="1" summaryRight="1"/>
    <pageSetUpPr/>
  </sheetPr>
  <dimension ref="C2:V68"/>
  <sheetViews>
    <sheetView showGridLines="0" topLeftCell="A46" zoomScale="120" zoomScaleNormal="120" workbookViewId="0">
      <selection activeCell="D61" sqref="D61"/>
    </sheetView>
  </sheetViews>
  <sheetFormatPr baseColWidth="8" defaultRowHeight="15"/>
  <cols>
    <col width="37.85546875" bestFit="1" customWidth="1" style="1439" min="3" max="3"/>
    <col width="26" bestFit="1" customWidth="1" style="1439" min="4" max="4"/>
    <col width="22.7109375" customWidth="1" style="1439" min="5" max="5"/>
    <col width="10.5703125" bestFit="1" customWidth="1" style="1439" min="6" max="6"/>
    <col width="22.7109375" customWidth="1" style="1439" min="7" max="7"/>
    <col width="9.140625" bestFit="1" customWidth="1" style="1439" min="8" max="8"/>
    <col width="22.7109375" customWidth="1" style="1439" min="9" max="9"/>
    <col width="9.140625" bestFit="1" customWidth="1" style="1439" min="10" max="10"/>
    <col width="23.85546875" customWidth="1" style="1439" min="11" max="11"/>
    <col width="9.140625" bestFit="1" customWidth="1" style="1439" min="12" max="12"/>
    <col width="22.7109375" customWidth="1" style="1439" min="13" max="13"/>
    <col width="9.140625" bestFit="1" customWidth="1" style="1439" min="14" max="14"/>
    <col hidden="1" width="20.7109375" customWidth="1" style="1439" min="15" max="15"/>
    <col hidden="1" width="8.85546875" customWidth="1" style="1439" min="16" max="16"/>
  </cols>
  <sheetData>
    <row r="2">
      <c r="C2" s="1567" t="inlineStr">
        <is>
          <t>COMPARABLE SALE ADJUSTMENT GRID</t>
        </is>
      </c>
    </row>
    <row r="3">
      <c r="C3" s="502" t="n"/>
      <c r="D3" s="502" t="inlineStr">
        <is>
          <t>Subject</t>
        </is>
      </c>
      <c r="E3" s="1587" t="n"/>
      <c r="G3" s="1543" t="n"/>
      <c r="I3" s="1543" t="n"/>
      <c r="K3" s="1587" t="n"/>
      <c r="M3" s="1543" t="n"/>
      <c r="O3" s="1589" t="n"/>
    </row>
    <row r="4">
      <c r="C4" s="503" t="inlineStr">
        <is>
          <t>Address</t>
        </is>
      </c>
      <c r="D4" s="505" t="inlineStr">
        <is>
          <t>5668 North Beeler Street</t>
        </is>
      </c>
      <c r="E4" s="1590" t="n"/>
      <c r="F4" s="1565" t="n"/>
      <c r="G4" s="1564" t="n"/>
      <c r="H4" s="1565" t="n"/>
      <c r="I4" s="1564" t="n"/>
      <c r="J4" s="1565" t="n"/>
      <c r="K4" s="1564" t="n"/>
      <c r="L4" s="1565" t="n"/>
      <c r="M4" s="1566" t="n"/>
      <c r="O4" s="1578" t="n"/>
    </row>
    <row r="5">
      <c r="C5" s="503" t="inlineStr">
        <is>
          <t>City, State</t>
        </is>
      </c>
      <c r="D5" s="504" t="inlineStr">
        <is>
          <t>Denver, CO</t>
        </is>
      </c>
      <c r="E5" s="1590" t="n"/>
      <c r="F5" s="1565" t="n"/>
      <c r="G5" s="1564" t="n"/>
      <c r="H5" s="1565" t="n"/>
      <c r="I5" s="1564" t="n"/>
      <c r="J5" s="1565" t="n"/>
      <c r="K5" s="1564" t="n"/>
      <c r="L5" s="1565" t="n"/>
      <c r="M5" s="1566" t="n"/>
      <c r="O5" s="1578" t="n"/>
    </row>
    <row r="6">
      <c r="C6" s="503" t="inlineStr">
        <is>
          <t>Parcel Number</t>
        </is>
      </c>
      <c r="D6" s="505" t="inlineStr">
        <is>
          <t>1103-40-003-000</t>
        </is>
      </c>
      <c r="E6" s="1579" t="n"/>
      <c r="F6" s="1565" t="n"/>
      <c r="G6" s="1564" t="n"/>
      <c r="H6" s="1565" t="n"/>
      <c r="I6" s="1564" t="n"/>
      <c r="J6" s="1565" t="n"/>
      <c r="K6" s="1564" t="n"/>
      <c r="L6" s="1565" t="n"/>
      <c r="M6" s="1538" t="n"/>
      <c r="O6" s="1578" t="n"/>
    </row>
    <row r="7">
      <c r="C7" s="503" t="inlineStr">
        <is>
          <t>Property Type</t>
        </is>
      </c>
      <c r="D7" s="505" t="inlineStr">
        <is>
          <t>Daycare Building</t>
        </is>
      </c>
      <c r="E7" s="1568" t="n"/>
      <c r="G7" s="1564" t="n"/>
      <c r="H7" s="1565" t="n"/>
      <c r="I7" s="1566" t="n"/>
      <c r="K7" s="1564" t="n"/>
      <c r="L7" s="1565" t="n"/>
      <c r="M7" s="1566" t="n"/>
      <c r="O7" s="1578" t="n"/>
    </row>
    <row r="8">
      <c r="C8" s="503" t="inlineStr">
        <is>
          <t>Sale Date</t>
        </is>
      </c>
      <c r="D8" s="506" t="inlineStr">
        <is>
          <t>N/A</t>
        </is>
      </c>
      <c r="E8" s="1933" t="n"/>
      <c r="G8" s="1978" t="n"/>
      <c r="H8" s="1565" t="n"/>
      <c r="I8" s="1979" t="n"/>
      <c r="K8" s="1978" t="n"/>
      <c r="L8" s="1565" t="n"/>
      <c r="M8" s="1979" t="n"/>
      <c r="O8" s="1980" t="n"/>
    </row>
    <row r="9">
      <c r="C9" s="503" t="inlineStr">
        <is>
          <t>Sale Price</t>
        </is>
      </c>
      <c r="D9" s="1981" t="n">
        <v>6555000</v>
      </c>
      <c r="E9" s="1938" t="n"/>
      <c r="F9" s="1565" t="n"/>
      <c r="G9" s="1982" t="n"/>
      <c r="H9" s="1565" t="n"/>
      <c r="I9" s="1982" t="n"/>
      <c r="J9" s="1565" t="n"/>
      <c r="K9" s="1982" t="n"/>
      <c r="L9" s="1565" t="n"/>
      <c r="M9" s="1983" t="n"/>
      <c r="O9" s="1984" t="n"/>
    </row>
    <row r="10">
      <c r="C10" s="503" t="inlineStr">
        <is>
          <t>Listing Price</t>
        </is>
      </c>
      <c r="D10" s="1981" t="n">
        <v>6555000</v>
      </c>
      <c r="E10" s="1937" t="n"/>
      <c r="F10" s="1936" t="n"/>
      <c r="G10" s="1982" t="n"/>
      <c r="H10" s="1565" t="n"/>
      <c r="I10" s="1982" t="n"/>
      <c r="J10" s="1565" t="n"/>
      <c r="K10" s="1982" t="n"/>
      <c r="L10" s="1565" t="n"/>
      <c r="M10" s="1983" t="n"/>
      <c r="O10" s="1984" t="n"/>
    </row>
    <row r="11">
      <c r="C11" s="503" t="inlineStr">
        <is>
          <t>Days On Market</t>
        </is>
      </c>
      <c r="D11" s="506" t="inlineStr">
        <is>
          <t>N/A</t>
        </is>
      </c>
      <c r="E11" s="1568" t="n"/>
      <c r="G11" s="1564" t="n"/>
      <c r="H11" s="1565" t="n"/>
      <c r="I11" s="1564" t="n"/>
      <c r="J11" s="1565" t="n"/>
      <c r="K11" s="1985" t="n"/>
      <c r="L11" s="1565" t="n"/>
      <c r="M11" s="508" t="n"/>
      <c r="N11" s="1578" t="n"/>
      <c r="O11" s="1578" t="n"/>
    </row>
    <row r="12" ht="38.25" customHeight="1" s="1439">
      <c r="C12" s="503" t="inlineStr">
        <is>
          <t>Data Source</t>
        </is>
      </c>
      <c r="D12" s="510" t="inlineStr">
        <is>
          <t>Assessor, Inspection, Buyer, Lease</t>
        </is>
      </c>
      <c r="E12" s="1588" t="n"/>
      <c r="G12" s="1582" t="n"/>
      <c r="H12" s="1565" t="n"/>
      <c r="I12" s="1580" t="n"/>
      <c r="K12" s="1582" t="n"/>
      <c r="L12" s="1565" t="n"/>
      <c r="M12" s="1580" t="n"/>
      <c r="O12" s="1583" t="n"/>
    </row>
    <row r="13">
      <c r="C13" s="503" t="inlineStr">
        <is>
          <t>Property Size (SF)</t>
        </is>
      </c>
      <c r="D13" s="511">
        <f>'Property Info'!B4</f>
        <v/>
      </c>
      <c r="E13" s="1577" t="n"/>
      <c r="F13" s="1565" t="n"/>
      <c r="G13" s="1574" t="n"/>
      <c r="H13" s="1565" t="n"/>
      <c r="I13" s="1574" t="n"/>
      <c r="J13" s="1565" t="n"/>
      <c r="K13" s="1574" t="n"/>
      <c r="L13" s="1565" t="n"/>
      <c r="M13" s="1573" t="n"/>
      <c r="O13" s="1563" t="n"/>
    </row>
    <row r="14">
      <c r="C14" s="503" t="inlineStr">
        <is>
          <t>Site Size (SF)</t>
        </is>
      </c>
      <c r="D14" s="511">
        <f>'Property Info'!B11</f>
        <v/>
      </c>
      <c r="E14" s="1595" t="n"/>
      <c r="G14" s="1574" t="n"/>
      <c r="H14" s="1565" t="n"/>
      <c r="I14" s="1573" t="n"/>
      <c r="K14" s="1574" t="n"/>
      <c r="L14" s="1565" t="n"/>
      <c r="M14" s="1573" t="n"/>
      <c r="O14" s="1563" t="n"/>
      <c r="V14" s="471" t="inlineStr">
        <is>
          <t>COMPARABLE SALE ADJUSTMENT GRID</t>
        </is>
      </c>
    </row>
    <row r="15">
      <c r="C15" s="503" t="inlineStr">
        <is>
          <t>Parking Spaces</t>
        </is>
      </c>
      <c r="D15" s="511" t="n">
        <v>26</v>
      </c>
      <c r="E15" s="1581" t="n"/>
      <c r="G15" s="1574" t="n"/>
      <c r="H15" s="1565" t="n"/>
      <c r="I15" s="1574" t="n"/>
      <c r="J15" s="1565" t="n"/>
      <c r="K15" s="1574" t="n"/>
      <c r="L15" s="1565" t="n"/>
      <c r="M15" s="1573" t="n"/>
      <c r="O15" s="1563" t="n"/>
    </row>
    <row r="16" ht="72" customHeight="1" s="1439">
      <c r="C16" s="503" t="inlineStr">
        <is>
          <t>Comments</t>
        </is>
      </c>
      <c r="D16" s="1986" t="inlineStr">
        <is>
          <t>Owner-user daycare facility</t>
        </is>
      </c>
      <c r="E16" s="1987" t="inlineStr">
        <is>
          <t>Single-tenant daycare facility 100% leased long-term to Prestige Preschool Academy, a national tenant.</t>
        </is>
      </c>
      <c r="F16" s="1585" t="n"/>
      <c r="G16" s="1988" t="inlineStr">
        <is>
          <t>Daycare Facility, leased to a franchise tenant at TOS.</t>
        </is>
      </c>
      <c r="H16" s="1585" t="n"/>
      <c r="I16" s="1988" t="inlineStr">
        <is>
          <t xml:space="preserve">Daycare facility, leased to a local tenant at TOS. </t>
        </is>
      </c>
      <c r="J16" s="1585" t="n"/>
      <c r="K16" s="1988" t="inlineStr">
        <is>
          <t xml:space="preserve">Daycare building, local franchise lease at TOS. </t>
        </is>
      </c>
      <c r="L16" s="1585" t="n"/>
      <c r="M16" s="1989" t="inlineStr">
        <is>
          <t xml:space="preserve">Daycare building, local franchise lease at TOS. </t>
        </is>
      </c>
      <c r="N16" s="1540" t="n"/>
      <c r="O16" s="1990" t="inlineStr">
        <is>
          <t>Daycare facility, leased to a franchise daycare service on a 15 year agreement. Two 5-year renewal options available.</t>
        </is>
      </c>
    </row>
    <row r="17" ht="12.6" customHeight="1" s="1439">
      <c r="C17" s="513" t="inlineStr">
        <is>
          <t>Unadjusted Price Per SF</t>
        </is>
      </c>
      <c r="D17" s="1777">
        <f>D9/D13</f>
        <v/>
      </c>
      <c r="E17" s="515" t="n"/>
      <c r="F17" s="1778">
        <f>E9/E13</f>
        <v/>
      </c>
      <c r="G17" s="515" t="n"/>
      <c r="H17" s="1778">
        <f>G9/G13</f>
        <v/>
      </c>
      <c r="I17" s="517" t="n"/>
      <c r="J17" s="1991">
        <f>I9/I13</f>
        <v/>
      </c>
      <c r="K17" s="515" t="n"/>
      <c r="L17" s="1992">
        <f>K9/K13</f>
        <v/>
      </c>
      <c r="M17" s="517" t="n"/>
      <c r="N17" s="1991">
        <f>M9/M13</f>
        <v/>
      </c>
      <c r="O17" s="609" t="n"/>
      <c r="P17" s="1993">
        <f>O9/O13</f>
        <v/>
      </c>
    </row>
    <row r="18">
      <c r="C18" s="520" t="inlineStr">
        <is>
          <t>Quantified Adjustments</t>
        </is>
      </c>
      <c r="D18" s="521" t="n"/>
      <c r="E18" s="522" t="n"/>
      <c r="F18" s="523" t="n"/>
      <c r="G18" s="522" t="n"/>
      <c r="H18" s="523" t="n"/>
      <c r="I18" s="524" t="n"/>
      <c r="J18" s="525" t="n"/>
      <c r="K18" s="522" t="n"/>
      <c r="L18" s="526" t="n"/>
      <c r="M18" s="524" t="n"/>
      <c r="N18" s="608" t="n"/>
      <c r="O18" s="525" t="n"/>
      <c r="P18" s="525" t="n"/>
    </row>
    <row r="19">
      <c r="C19" s="527" t="inlineStr">
        <is>
          <t>Property Rights Conveyed</t>
        </is>
      </c>
      <c r="D19" s="528" t="inlineStr">
        <is>
          <t>Leased Fee</t>
        </is>
      </c>
      <c r="E19" s="529" t="inlineStr">
        <is>
          <t>Leased Fee</t>
        </is>
      </c>
      <c r="F19" s="1994" t="n">
        <v>0</v>
      </c>
      <c r="G19" s="529" t="inlineStr">
        <is>
          <t>Leased Fee</t>
        </is>
      </c>
      <c r="H19" s="1994" t="n">
        <v>0</v>
      </c>
      <c r="I19" s="531" t="inlineStr">
        <is>
          <t>Leased Fee</t>
        </is>
      </c>
      <c r="J19" s="1995" t="n">
        <v>0</v>
      </c>
      <c r="K19" s="529" t="inlineStr">
        <is>
          <t>Leased Fee</t>
        </is>
      </c>
      <c r="L19" s="1996" t="n">
        <v>0</v>
      </c>
      <c r="M19" s="529" t="inlineStr">
        <is>
          <t>Leased Fee</t>
        </is>
      </c>
      <c r="N19" s="1995" t="n">
        <v>0</v>
      </c>
      <c r="O19" s="611" t="inlineStr">
        <is>
          <t>Leased Fee</t>
        </is>
      </c>
      <c r="P19" s="1997" t="n"/>
    </row>
    <row r="20">
      <c r="C20" s="534" t="inlineStr">
        <is>
          <t>Property Rights Conveyed Adjusted</t>
        </is>
      </c>
      <c r="D20" s="506" t="n"/>
      <c r="E20" s="531" t="n"/>
      <c r="F20" s="1998">
        <f>IF(LEFT(CELL("format",F19),1)="P",F17*(1+F19),IF(LEFT(CELL("format",F19),1)="C",F17+F19))</f>
        <v/>
      </c>
      <c r="G20" s="531" t="n"/>
      <c r="H20" s="1999">
        <f>IF(LEFT(CELL("format",H19),1)="P",H17*(1+H19),IF(LEFT(CELL("format",H19),1)="C",H17+H19))</f>
        <v/>
      </c>
      <c r="I20" s="531" t="n"/>
      <c r="J20" s="1999">
        <f>IF(LEFT(CELL("format",J19),1)="P",J17*(1+J19),IF(LEFT(CELL("format",J19),1)="C",J17+J19))</f>
        <v/>
      </c>
      <c r="K20" s="531" t="n"/>
      <c r="L20" s="2000">
        <f>IF(LEFT(CELL("format",L19),1)="P",L17*(1+L19),IF(LEFT(CELL("format",L19),1)="C",L17+L19))</f>
        <v/>
      </c>
      <c r="M20" s="531" t="n"/>
      <c r="N20" s="1999">
        <f>IF(LEFT(CELL("format",N19),1)="P",N17*(1+N19),IF(LEFT(CELL("format",N19),1)="C",N17+N19))</f>
        <v/>
      </c>
      <c r="O20" s="611" t="n"/>
      <c r="P20" s="1999">
        <f>IF(LEFT(CELL("format",P19),1)="P",P17*(1+P19),IF(LEFT(CELL("format",P19),1)="C",P17+P19))</f>
        <v/>
      </c>
    </row>
    <row r="21">
      <c r="C21" s="503" t="inlineStr">
        <is>
          <t>Financing</t>
        </is>
      </c>
      <c r="D21" s="506" t="inlineStr">
        <is>
          <t>N/A</t>
        </is>
      </c>
      <c r="E21" s="531" t="inlineStr">
        <is>
          <t>Market-Based</t>
        </is>
      </c>
      <c r="F21" s="1995" t="n">
        <v>0</v>
      </c>
      <c r="G21" s="531" t="inlineStr">
        <is>
          <t>Market-Based</t>
        </is>
      </c>
      <c r="H21" s="1995" t="n">
        <v>0</v>
      </c>
      <c r="I21" s="531" t="inlineStr">
        <is>
          <t>Market-Based</t>
        </is>
      </c>
      <c r="J21" s="2001" t="n">
        <v>0</v>
      </c>
      <c r="K21" s="531" t="inlineStr">
        <is>
          <t>Market-Based</t>
        </is>
      </c>
      <c r="L21" s="2002" t="n">
        <v>0</v>
      </c>
      <c r="M21" s="531" t="inlineStr">
        <is>
          <t>Market-Based</t>
        </is>
      </c>
      <c r="N21" s="2001" t="n">
        <v>0</v>
      </c>
      <c r="O21" s="613" t="inlineStr">
        <is>
          <t>N/A</t>
        </is>
      </c>
      <c r="P21" s="2001" t="n">
        <v>0</v>
      </c>
    </row>
    <row r="22">
      <c r="C22" s="534" t="inlineStr">
        <is>
          <t>Financing Adjusted</t>
        </is>
      </c>
      <c r="D22" s="506" t="n"/>
      <c r="E22" s="531" t="n"/>
      <c r="F22" s="1998">
        <f>IF(LEFT(CELL("format",F21),1)="P",F20*(1+F21),IF(LEFT(CELL("format",F21),1)="C",F20+F21))</f>
        <v/>
      </c>
      <c r="G22" s="531" t="n"/>
      <c r="H22" s="1998">
        <f>IF(LEFT(CELL("format",H21),1)="P",H20*(1+H21),IF(LEFT(CELL("format",H21),1)="C",H20+H21))</f>
        <v/>
      </c>
      <c r="I22" s="531" t="n"/>
      <c r="J22" s="1999">
        <f>IF(LEFT(CELL("format",J21),1)="P",J20*(1+J21),IF(LEFT(CELL("format",J21),1)="C",J20+J21))</f>
        <v/>
      </c>
      <c r="K22" s="531" t="n"/>
      <c r="L22" s="2003">
        <f>IF(LEFT(CELL("format",L21),1)="P",L20*(1+L21),IF(LEFT(CELL("format",L21),1)="C",L20+L21))</f>
        <v/>
      </c>
      <c r="M22" s="531" t="n"/>
      <c r="N22" s="1999">
        <f>IF(LEFT(CELL("format",N21),1)="P",N20*(1+N21),IF(LEFT(CELL("format",N21),1)="C",N20+N21))</f>
        <v/>
      </c>
      <c r="O22" s="611" t="n"/>
      <c r="P22" s="1999">
        <f>IF(LEFT(CELL("format",P21),1)="P",P20*(1+P21),IF(LEFT(CELL("format",P21),1)="C",P20+P21))</f>
        <v/>
      </c>
    </row>
    <row r="23">
      <c r="C23" s="503" t="inlineStr">
        <is>
          <t>Terms/Conditions of Sale</t>
        </is>
      </c>
      <c r="D23" s="506" t="inlineStr">
        <is>
          <t>N/A</t>
        </is>
      </c>
      <c r="E23" s="531" t="inlineStr">
        <is>
          <t>N/A</t>
        </is>
      </c>
      <c r="F23" s="1995" t="n">
        <v>0</v>
      </c>
      <c r="G23" s="531" t="inlineStr">
        <is>
          <t>None</t>
        </is>
      </c>
      <c r="H23" s="1995" t="n">
        <v>0</v>
      </c>
      <c r="I23" s="531" t="inlineStr">
        <is>
          <t>None</t>
        </is>
      </c>
      <c r="J23" s="2001" t="n">
        <v>0</v>
      </c>
      <c r="K23" s="531" t="inlineStr">
        <is>
          <t>None</t>
        </is>
      </c>
      <c r="L23" s="2002" t="n">
        <v>0</v>
      </c>
      <c r="M23" s="531" t="inlineStr">
        <is>
          <t>None</t>
        </is>
      </c>
      <c r="N23" s="2001" t="n">
        <v>0</v>
      </c>
      <c r="O23" s="613" t="inlineStr">
        <is>
          <t>N/A</t>
        </is>
      </c>
      <c r="P23" s="2001" t="n">
        <v>-0.1</v>
      </c>
    </row>
    <row r="24">
      <c r="C24" s="534" t="inlineStr">
        <is>
          <t>Terms/Conditions of Sale Adjusted</t>
        </is>
      </c>
      <c r="D24" s="506" t="n"/>
      <c r="E24" s="531" t="n"/>
      <c r="F24" s="1998">
        <f>IF(LEFT(CELL("format",F23),1)="P",F22*(1+F23),IF(LEFT(CELL("format",F23),1)="C",F22+F23))</f>
        <v/>
      </c>
      <c r="G24" s="531" t="n"/>
      <c r="H24" s="1998">
        <f>IF(LEFT(CELL("format",H23),1)="P",H22*(1+H23),IF(LEFT(CELL("format",H23),1)="C",H22+H23))</f>
        <v/>
      </c>
      <c r="I24" s="531" t="n"/>
      <c r="J24" s="1999">
        <f>IF(LEFT(CELL("format",J23),1)="P",J22*(1+J23),IF(LEFT(CELL("format",J23),1)="C",J22+J23))</f>
        <v/>
      </c>
      <c r="K24" s="531" t="n"/>
      <c r="L24" s="2003">
        <f>IF(LEFT(CELL("format",L23),1)="P",L22*(1+L23),IF(LEFT(CELL("format",L23),1)="C",L22+L23))</f>
        <v/>
      </c>
      <c r="M24" s="531" t="n"/>
      <c r="N24" s="1999">
        <f>IF(LEFT(CELL("format",N23),1)="P",N22*(1+N23),IF(LEFT(CELL("format",N23),1)="C",N22+N23))</f>
        <v/>
      </c>
      <c r="O24" s="611" t="n"/>
      <c r="P24" s="1999">
        <f>IF(LEFT(CELL("format",P23),1)="P",P22*(1+P23),IF(LEFT(CELL("format",P23),1)="C",P22+P23))</f>
        <v/>
      </c>
    </row>
    <row r="25">
      <c r="C25" s="503" t="inlineStr">
        <is>
          <t>Expenditures After Sale</t>
        </is>
      </c>
      <c r="D25" s="506" t="inlineStr">
        <is>
          <t>N/A</t>
        </is>
      </c>
      <c r="E25" s="531" t="inlineStr">
        <is>
          <t>N/A</t>
        </is>
      </c>
      <c r="F25" s="1995" t="n">
        <v>0</v>
      </c>
      <c r="G25" s="531" t="inlineStr">
        <is>
          <t>None</t>
        </is>
      </c>
      <c r="H25" s="1995" t="n">
        <v>0</v>
      </c>
      <c r="I25" s="531" t="inlineStr">
        <is>
          <t>None</t>
        </is>
      </c>
      <c r="J25" s="2001" t="n">
        <v>0</v>
      </c>
      <c r="K25" s="531" t="inlineStr">
        <is>
          <t>None</t>
        </is>
      </c>
      <c r="L25" s="2002" t="n">
        <v>0</v>
      </c>
      <c r="M25" s="531" t="inlineStr">
        <is>
          <t>None</t>
        </is>
      </c>
      <c r="N25" s="2001" t="n">
        <v>0</v>
      </c>
      <c r="O25" s="613" t="inlineStr">
        <is>
          <t>N/A</t>
        </is>
      </c>
      <c r="P25" s="2001" t="n">
        <v>0</v>
      </c>
    </row>
    <row r="26">
      <c r="C26" s="534" t="inlineStr">
        <is>
          <t>Expenditures After Sale Adjusted</t>
        </is>
      </c>
      <c r="D26" s="506" t="n"/>
      <c r="E26" s="531" t="n"/>
      <c r="F26" s="1998">
        <f>IF(LEFT(CELL("format",F25),1)="P",F24*(1+F25),IF(LEFT(CELL("format",F25),1)="C",F24+F25))</f>
        <v/>
      </c>
      <c r="G26" s="531" t="n"/>
      <c r="H26" s="1998">
        <f>IF(LEFT(CELL("format",H25),1)="P",H24*(1+H25),IF(LEFT(CELL("format",H25),1)="C",H24+H25))</f>
        <v/>
      </c>
      <c r="I26" s="531" t="n"/>
      <c r="J26" s="1999">
        <f>IF(LEFT(CELL("format",J25),1)="P",J24*(1+J25),IF(LEFT(CELL("format",J25),1)="C",J24+J25))</f>
        <v/>
      </c>
      <c r="K26" s="531" t="n"/>
      <c r="L26" s="2003">
        <f>IF(LEFT(CELL("format",L25),1)="P",L24*(1+L25),IF(LEFT(CELL("format",L25),1)="C",L24+L25))</f>
        <v/>
      </c>
      <c r="M26" s="531" t="n"/>
      <c r="N26" s="1999">
        <f>IF(LEFT(CELL("format",N25),1)="P",N24*(1+N25),IF(LEFT(CELL("format",N25),1)="C",N24+N25))</f>
        <v/>
      </c>
      <c r="O26" s="611" t="n"/>
      <c r="P26" s="1999">
        <f>IF(LEFT(CELL("format",P25),1)="P",P24*(1+P25),IF(LEFT(CELL("format",P25),1)="C",P24+P25))</f>
        <v/>
      </c>
    </row>
    <row r="27" ht="15" customHeight="1" s="1439">
      <c r="C27" s="503" t="inlineStr">
        <is>
          <t>Market Conditions</t>
        </is>
      </c>
      <c r="D27" s="506" t="inlineStr">
        <is>
          <t>N/A</t>
        </is>
      </c>
      <c r="E27" s="2004">
        <f>E8</f>
        <v/>
      </c>
      <c r="F27" s="1995" t="n">
        <v>0</v>
      </c>
      <c r="G27" s="2004">
        <f>G8</f>
        <v/>
      </c>
      <c r="H27" s="1995" t="n">
        <v>0</v>
      </c>
      <c r="I27" s="2004">
        <f>I8</f>
        <v/>
      </c>
      <c r="J27" s="2001" t="n">
        <v>0</v>
      </c>
      <c r="K27" s="2004">
        <f>K8</f>
        <v/>
      </c>
      <c r="L27" s="2002" t="n">
        <v>0</v>
      </c>
      <c r="M27" s="2004">
        <f>M8</f>
        <v/>
      </c>
      <c r="N27" s="2001" t="n">
        <v>0.03</v>
      </c>
      <c r="O27" s="2005">
        <f>O8</f>
        <v/>
      </c>
      <c r="P27" s="2001" t="n">
        <v>0</v>
      </c>
    </row>
    <row r="28">
      <c r="C28" s="534" t="inlineStr">
        <is>
          <t>Market Conditions Adjusted</t>
        </is>
      </c>
      <c r="D28" s="506" t="n"/>
      <c r="E28" s="531" t="n"/>
      <c r="F28" s="1998">
        <f>IF(LEFT(CELL("format",F27),1)="P",F26*(1+F27),IF(LEFT(CELL("format",F27),1)="C",F26+F27))</f>
        <v/>
      </c>
      <c r="G28" s="531" t="n"/>
      <c r="H28" s="1998">
        <f>IF(LEFT(CELL("format",H27),1)="P",H26*(1+H27),IF(LEFT(CELL("format",H27),1)="C",H26+H27))</f>
        <v/>
      </c>
      <c r="I28" s="531" t="n"/>
      <c r="J28" s="1999">
        <f>IF(LEFT(CELL("format",J27),1)="P",J26*(1+J27),IF(LEFT(CELL("format",J27),1)="C",J26+J27))</f>
        <v/>
      </c>
      <c r="K28" s="531" t="n"/>
      <c r="L28" s="2003">
        <f>IF(LEFT(CELL("format",L27),1)="P",L26*(1+L27),IF(LEFT(CELL("format",L27),1)="C",L26+L27))</f>
        <v/>
      </c>
      <c r="M28" s="531" t="n"/>
      <c r="N28" s="1999">
        <f>IF(LEFT(CELL("format",N27),1)="P",N26*(1+N27),IF(LEFT(CELL("format",N27),1)="C",N26+N27))</f>
        <v/>
      </c>
      <c r="O28" s="611" t="n"/>
      <c r="P28" s="1999">
        <f>IF(LEFT(CELL("format",P27),1)="P",P26*(1+P27),IF(LEFT(CELL("format",P27),1)="C",P26+P27))</f>
        <v/>
      </c>
    </row>
    <row r="29" ht="12.6" customHeight="1" s="1439">
      <c r="C29" s="542" t="inlineStr">
        <is>
          <t>Total Quantified Adjustment</t>
        </is>
      </c>
      <c r="D29" s="543" t="n"/>
      <c r="E29" s="544" t="n"/>
      <c r="F29" s="545">
        <f>IFERROR(TEXT(F28-F17,"$#,##0.00")&amp;CHAR(10)&amp;" or "&amp;CHAR(10)&amp;TEXT((F28-F17)/F17,"0.00%"),0)</f>
        <v/>
      </c>
      <c r="G29" s="544" t="n"/>
      <c r="H29" s="545">
        <f>IFERROR(TEXT(H28-H17,"$#,##0.00")&amp;CHAR(10)&amp;" or "&amp;CHAR(10)&amp;TEXT((H28-H17)/H17,"0.00%"),0)</f>
        <v/>
      </c>
      <c r="I29" s="517" t="n"/>
      <c r="J29" s="546">
        <f>IFERROR(TEXT(J28-J17,"$#,##0.00")&amp;CHAR(10)&amp;" or "&amp;CHAR(10)&amp;TEXT((J28-J17)/J17,"0.00%"),0)</f>
        <v/>
      </c>
      <c r="K29" s="544" t="n"/>
      <c r="L29" s="547">
        <f>IFERROR(TEXT(L28-L17,"$#,##0.00")&amp;CHAR(10)&amp;" or "&amp;CHAR(10)&amp;TEXT((L28-L17)/L17,"0.00%"),0)</f>
        <v/>
      </c>
      <c r="M29" s="517" t="n"/>
      <c r="N29" s="546">
        <f>IFERROR(TEXT(N28-N17,"$#,##0.00")&amp;CHAR(10)&amp;" or "&amp;CHAR(10)&amp;TEXT((N28-N17)/N17,"0.00%"),0)</f>
        <v/>
      </c>
      <c r="O29" s="609" t="n"/>
      <c r="P29" s="615">
        <f>IFERROR(TEXT(P28-P17,"$#,##0.00")&amp;CHAR(10)&amp;" or "&amp;CHAR(10)&amp;TEXT((P28-P17)/P17,"0.00%"),0)</f>
        <v/>
      </c>
    </row>
    <row r="30" ht="12.6" customHeight="1" s="1439">
      <c r="C30" s="548" t="inlineStr">
        <is>
          <t>Quantitatively Adjusted Price</t>
        </is>
      </c>
      <c r="D30" s="549" t="n"/>
      <c r="E30" s="544" t="n"/>
      <c r="F30" s="1797">
        <f>F28</f>
        <v/>
      </c>
      <c r="G30" s="544" t="n"/>
      <c r="H30" s="1797">
        <f>H28</f>
        <v/>
      </c>
      <c r="I30" s="517" t="n"/>
      <c r="J30" s="1796">
        <f>J28</f>
        <v/>
      </c>
      <c r="K30" s="544" t="n"/>
      <c r="L30" s="1795">
        <f>L28</f>
        <v/>
      </c>
      <c r="M30" s="517" t="n"/>
      <c r="N30" s="1796">
        <f>N28</f>
        <v/>
      </c>
      <c r="O30" s="609" t="n"/>
      <c r="P30" s="2006">
        <f>P28</f>
        <v/>
      </c>
    </row>
    <row r="31">
      <c r="C31" s="553" t="inlineStr">
        <is>
          <t>Qualitative Adjustments</t>
        </is>
      </c>
      <c r="D31" s="554" t="n"/>
      <c r="E31" s="555" t="n"/>
      <c r="F31" s="2007">
        <f>SUM(F19:F29)+1</f>
        <v/>
      </c>
      <c r="G31" s="555" t="n"/>
      <c r="H31" s="2007">
        <f>SUM(H19:H29)+1</f>
        <v/>
      </c>
      <c r="I31" s="555" t="n"/>
      <c r="J31" s="2007">
        <f>SUM(J19:J29)+1</f>
        <v/>
      </c>
      <c r="K31" s="555" t="n"/>
      <c r="L31" s="2008">
        <f>SUM(L19:L29)+1</f>
        <v/>
      </c>
      <c r="M31" s="555" t="n"/>
      <c r="N31" s="2007">
        <f>SUM(N19:N29)+1</f>
        <v/>
      </c>
      <c r="O31" s="617" t="n"/>
      <c r="P31" s="2007">
        <f>SUM(P19:P29)+1</f>
        <v/>
      </c>
    </row>
    <row r="32" ht="15.75" customHeight="1" s="1439">
      <c r="C32" s="558" t="inlineStr">
        <is>
          <t>Location</t>
        </is>
      </c>
      <c r="D32" s="559" t="inlineStr">
        <is>
          <t>Good</t>
        </is>
      </c>
      <c r="E32" s="560" t="inlineStr">
        <is>
          <t>Above-Average</t>
        </is>
      </c>
      <c r="F32" s="1800" t="n">
        <v>0.05</v>
      </c>
      <c r="G32" s="560" t="inlineStr">
        <is>
          <t>Average</t>
        </is>
      </c>
      <c r="H32" s="1800" t="n">
        <v>0.15</v>
      </c>
      <c r="I32" s="560" t="inlineStr">
        <is>
          <t>Average</t>
        </is>
      </c>
      <c r="J32" s="1800" t="n">
        <v>0.15</v>
      </c>
      <c r="K32" s="560" t="inlineStr">
        <is>
          <t>Good</t>
        </is>
      </c>
      <c r="L32" s="2009" t="n">
        <v>0.05</v>
      </c>
      <c r="M32" s="560" t="inlineStr">
        <is>
          <t>Good</t>
        </is>
      </c>
      <c r="N32" s="1800" t="n">
        <v>0.05</v>
      </c>
      <c r="O32" s="618" t="inlineStr">
        <is>
          <t>Good</t>
        </is>
      </c>
      <c r="P32" s="1800" t="n">
        <v>-0.05</v>
      </c>
    </row>
    <row r="33" hidden="1" ht="12.6" customHeight="1" s="1439">
      <c r="C33" s="563" t="inlineStr">
        <is>
          <t>Distance from Subject</t>
        </is>
      </c>
      <c r="D33" s="564" t="inlineStr">
        <is>
          <t>N/A</t>
        </is>
      </c>
      <c r="E33" s="564" t="inlineStr">
        <is>
          <t>32 miles</t>
        </is>
      </c>
      <c r="F33" s="2001" t="n"/>
      <c r="G33" s="564" t="inlineStr">
        <is>
          <t>16 miles</t>
        </is>
      </c>
      <c r="H33" s="2001" t="n"/>
      <c r="I33" s="564" t="inlineStr">
        <is>
          <t>1/4 mile</t>
        </is>
      </c>
      <c r="J33" s="2001" t="n"/>
      <c r="K33" s="564" t="inlineStr">
        <is>
          <t>1/4 mile</t>
        </is>
      </c>
      <c r="L33" s="2010" t="n"/>
      <c r="M33" s="564" t="inlineStr">
        <is>
          <t>1/4 mile</t>
        </is>
      </c>
      <c r="N33" s="2001" t="n"/>
      <c r="O33" s="619" t="inlineStr">
        <is>
          <t>24 miles</t>
        </is>
      </c>
      <c r="P33" s="2001" t="n"/>
    </row>
    <row r="34">
      <c r="C34" s="563" t="inlineStr">
        <is>
          <t>Surrounding Land Uses</t>
        </is>
      </c>
      <c r="D34" s="564" t="inlineStr">
        <is>
          <t>Retail, residential, office</t>
        </is>
      </c>
      <c r="E34" s="564" t="inlineStr">
        <is>
          <t>Residential, retail</t>
        </is>
      </c>
      <c r="F34" s="2001" t="n"/>
      <c r="G34" s="564" t="inlineStr">
        <is>
          <t>Retail, office residential</t>
        </is>
      </c>
      <c r="H34" s="2001" t="n"/>
      <c r="I34" s="564" t="inlineStr">
        <is>
          <t>Retail, Office</t>
        </is>
      </c>
      <c r="J34" s="2001" t="n"/>
      <c r="K34" s="564" t="inlineStr">
        <is>
          <t>Retail, residential</t>
        </is>
      </c>
      <c r="L34" s="2010" t="n"/>
      <c r="M34" s="564" t="inlineStr">
        <is>
          <t>Office, flex, residential</t>
        </is>
      </c>
      <c r="N34" s="2001" t="n"/>
      <c r="O34" s="619" t="inlineStr">
        <is>
          <t>Residential, retail</t>
        </is>
      </c>
      <c r="P34" s="2001" t="n"/>
    </row>
    <row r="35">
      <c r="C35" s="563" t="inlineStr">
        <is>
          <t>Quality/Condition of Surrounding Area</t>
        </is>
      </c>
      <c r="D35" s="566" t="inlineStr">
        <is>
          <t>Average to Good</t>
        </is>
      </c>
      <c r="E35" s="566" t="inlineStr">
        <is>
          <t>Average to Good</t>
        </is>
      </c>
      <c r="F35" s="2001" t="n"/>
      <c r="G35" s="566" t="inlineStr">
        <is>
          <t>Average to Good</t>
        </is>
      </c>
      <c r="H35" s="2001" t="n"/>
      <c r="I35" s="566" t="inlineStr">
        <is>
          <t>Average to Good</t>
        </is>
      </c>
      <c r="J35" s="2001" t="n"/>
      <c r="K35" s="566" t="inlineStr">
        <is>
          <t>Good to New</t>
        </is>
      </c>
      <c r="L35" s="2010" t="n"/>
      <c r="M35" s="566" t="inlineStr">
        <is>
          <t>Good to New</t>
        </is>
      </c>
      <c r="N35" s="2001" t="n"/>
      <c r="O35" s="620" t="inlineStr">
        <is>
          <t>Average to Very Good</t>
        </is>
      </c>
      <c r="P35" s="2001" t="n"/>
    </row>
    <row r="36" hidden="1" ht="15" customHeight="1" s="1439">
      <c r="C36" s="563" t="inlineStr">
        <is>
          <t>Access to Commercial Services/Amenities</t>
        </is>
      </c>
      <c r="D36" s="566" t="inlineStr">
        <is>
          <t>Good</t>
        </is>
      </c>
      <c r="E36" s="566" t="inlineStr">
        <is>
          <t>Average</t>
        </is>
      </c>
      <c r="F36" s="2001" t="n"/>
      <c r="G36" s="566" t="inlineStr">
        <is>
          <t>Good</t>
        </is>
      </c>
      <c r="H36" s="2001" t="n"/>
      <c r="I36" s="566" t="inlineStr">
        <is>
          <t>Good</t>
        </is>
      </c>
      <c r="J36" s="2001" t="n"/>
      <c r="K36" s="566" t="inlineStr">
        <is>
          <t>Good</t>
        </is>
      </c>
      <c r="L36" s="2010" t="n"/>
      <c r="M36" s="566" t="inlineStr">
        <is>
          <t>Average</t>
        </is>
      </c>
      <c r="N36" s="2001" t="n"/>
      <c r="O36" s="620" t="inlineStr">
        <is>
          <t>Good</t>
        </is>
      </c>
      <c r="P36" s="2001" t="n"/>
    </row>
    <row r="37" ht="45" customHeight="1" s="1439">
      <c r="C37" s="563" t="inlineStr">
        <is>
          <t>Visibility/Access</t>
        </is>
      </c>
      <c r="D37" s="567" t="inlineStr">
        <is>
          <t>Good: Primary thoroughfare</t>
        </is>
      </c>
      <c r="E37" s="567" t="inlineStr">
        <is>
          <t>Good: Primary thoroughfare</t>
        </is>
      </c>
      <c r="F37" s="2001" t="n"/>
      <c r="G37" s="567" t="inlineStr">
        <is>
          <t xml:space="preserve">Average: S. Lima St. </t>
        </is>
      </c>
      <c r="H37" s="2001" t="n"/>
      <c r="I37" s="567" t="inlineStr">
        <is>
          <t xml:space="preserve">Average: Oakridge Dr. &amp; Mcmurry Ave. </t>
        </is>
      </c>
      <c r="J37" s="2001" t="n"/>
      <c r="K37" s="567" t="inlineStr">
        <is>
          <t xml:space="preserve">Good: Indiana St. &amp; W 64th Ave. </t>
        </is>
      </c>
      <c r="L37" s="2010" t="n"/>
      <c r="M37" s="567" t="inlineStr">
        <is>
          <t xml:space="preserve">Average: Compark Blvd. </t>
        </is>
      </c>
      <c r="N37" s="2001" t="n"/>
      <c r="O37" s="621" t="inlineStr">
        <is>
          <t xml:space="preserve">Good - Access &amp; Visibility from E 56th Ave. </t>
        </is>
      </c>
      <c r="P37" s="2001" t="n"/>
    </row>
    <row r="38" ht="105" customHeight="1" s="1439">
      <c r="C38" s="568" t="inlineStr">
        <is>
          <t>Demographics</t>
        </is>
      </c>
      <c r="D38" s="569" t="inlineStr">
        <is>
          <t>Population 3-Mile Radius: 60,202
MHHI 3-Mile Radius: $69,785
Pop. Growth (5-Yrs.): 9.65%</t>
        </is>
      </c>
      <c r="E38" s="569" t="inlineStr">
        <is>
          <t>Population 3-Miles: 45,519
MHHI 3-Mile Radius: $115,596
Pop. Growth (5-Yrs.): 9.59%</t>
        </is>
      </c>
      <c r="F38" s="2001" t="n"/>
      <c r="G38" s="569" t="inlineStr">
        <is>
          <t>Population 3-Miles: 60,848
MHHI 5-Mile Radius: $94,646
Pop. Growth (5-Yrs.): 6.84%</t>
        </is>
      </c>
      <c r="H38" s="2001" t="n"/>
      <c r="I38" s="569" t="inlineStr">
        <is>
          <t>Population 3-Miles: 83,390
MHHI 3-Mile Radius: $73,915
Pop. Growth (5-Yrs.): 8.97%</t>
        </is>
      </c>
      <c r="J38" s="2001" t="n"/>
      <c r="K38" s="569" t="inlineStr">
        <is>
          <t>Population 3-Miles: 57,214
MHHI 3-Mile Radius: $107,760
Pop. Growth (5-Yrs.): 4.49%</t>
        </is>
      </c>
      <c r="L38" s="2010" t="n"/>
      <c r="M38" s="569" t="inlineStr">
        <is>
          <t>Population 3-Miles: 55,098
MHHI 3-Mile Radius: $99,667
Pop. Growth (5-Yrs.): 9.59%</t>
        </is>
      </c>
      <c r="N38" s="2001" t="n"/>
      <c r="O38" s="622" t="inlineStr">
        <is>
          <t>Population 5-Mile Radius: 219,743
MHHI 3-Mile Radius: $58,707
Population Growth (5 Yrs.):
8.19%</t>
        </is>
      </c>
      <c r="P38" s="2001" t="n"/>
    </row>
    <row r="39">
      <c r="C39" s="570" t="inlineStr">
        <is>
          <t>Property Size (SF)</t>
        </is>
      </c>
      <c r="D39" s="571">
        <f>'Property Info'!B4</f>
        <v/>
      </c>
      <c r="E39" s="571">
        <f>E13</f>
        <v/>
      </c>
      <c r="F39" s="1800" t="n">
        <v>0</v>
      </c>
      <c r="G39" s="571">
        <f>G13</f>
        <v/>
      </c>
      <c r="H39" s="1800" t="n">
        <v>0</v>
      </c>
      <c r="I39" s="571">
        <f>I13</f>
        <v/>
      </c>
      <c r="J39" s="1800" t="n">
        <v>0</v>
      </c>
      <c r="K39" s="571">
        <f>K13</f>
        <v/>
      </c>
      <c r="L39" s="2009" t="n">
        <v>0</v>
      </c>
      <c r="M39" s="571">
        <f>M13</f>
        <v/>
      </c>
      <c r="N39" s="1800" t="n">
        <v>-0.05</v>
      </c>
      <c r="O39" s="623">
        <f>O13</f>
        <v/>
      </c>
      <c r="P39" s="1800" t="n">
        <v>0</v>
      </c>
    </row>
    <row r="40" ht="39" customHeight="1" s="1439">
      <c r="C40" s="572" t="inlineStr">
        <is>
          <t>YOC / Condition</t>
        </is>
      </c>
      <c r="D40" s="559" t="inlineStr">
        <is>
          <t>2019/Good</t>
        </is>
      </c>
      <c r="E40" s="600" t="inlineStr">
        <is>
          <t>2018/Good</t>
        </is>
      </c>
      <c r="F40" s="1800" t="n">
        <v>0</v>
      </c>
      <c r="G40" s="560" t="inlineStr">
        <is>
          <t>2008/Above-Average</t>
        </is>
      </c>
      <c r="H40" s="1800" t="n">
        <v>0.05</v>
      </c>
      <c r="I40" s="600" t="inlineStr">
        <is>
          <t>2000 (Ren. 2019)/Good</t>
        </is>
      </c>
      <c r="J40" s="1800" t="n">
        <v>0</v>
      </c>
      <c r="K40" s="560" t="inlineStr">
        <is>
          <t>2019/New</t>
        </is>
      </c>
      <c r="L40" s="2009" t="n">
        <v>-0.05</v>
      </c>
      <c r="M40" s="560" t="inlineStr">
        <is>
          <t>2015/Good</t>
        </is>
      </c>
      <c r="N40" s="1800" t="n">
        <v>0</v>
      </c>
      <c r="O40" s="618" t="inlineStr">
        <is>
          <t>2019/New</t>
        </is>
      </c>
      <c r="P40" s="1800" t="n">
        <v>0</v>
      </c>
    </row>
    <row r="41" ht="16.5" customHeight="1" s="1439">
      <c r="C41" s="558" t="inlineStr">
        <is>
          <t>Quality</t>
        </is>
      </c>
      <c r="D41" s="559" t="inlineStr">
        <is>
          <t>Good</t>
        </is>
      </c>
      <c r="E41" s="560" t="inlineStr">
        <is>
          <t>Average</t>
        </is>
      </c>
      <c r="F41" s="1800" t="n">
        <v>0</v>
      </c>
      <c r="G41" s="560" t="inlineStr">
        <is>
          <t>Average</t>
        </is>
      </c>
      <c r="H41" s="1800" t="n">
        <v>0</v>
      </c>
      <c r="I41" s="560" t="inlineStr">
        <is>
          <t>Average</t>
        </is>
      </c>
      <c r="J41" s="1800" t="n">
        <v>0</v>
      </c>
      <c r="K41" s="560" t="inlineStr">
        <is>
          <t>Average</t>
        </is>
      </c>
      <c r="L41" s="2009" t="n">
        <v>0</v>
      </c>
      <c r="M41" s="560" t="inlineStr">
        <is>
          <t>Average</t>
        </is>
      </c>
      <c r="N41" s="1800" t="n">
        <v>0</v>
      </c>
      <c r="O41" s="618" t="inlineStr">
        <is>
          <t>Average</t>
        </is>
      </c>
      <c r="P41" s="1800" t="n">
        <v>0</v>
      </c>
    </row>
    <row r="42">
      <c r="C42" s="563" t="inlineStr">
        <is>
          <t>Frame</t>
        </is>
      </c>
      <c r="D42" s="564" t="inlineStr">
        <is>
          <t>Woodf-frame</t>
        </is>
      </c>
      <c r="E42" s="564" t="inlineStr">
        <is>
          <t>Concrete, Masonry</t>
        </is>
      </c>
      <c r="F42" s="2011" t="n"/>
      <c r="G42" s="564" t="inlineStr">
        <is>
          <t>Wood</t>
        </is>
      </c>
      <c r="H42" s="2011" t="n"/>
      <c r="I42" s="564" t="inlineStr">
        <is>
          <t>Wood-frame, masonry</t>
        </is>
      </c>
      <c r="J42" s="2011" t="n"/>
      <c r="K42" s="564" t="inlineStr">
        <is>
          <t>Wood-frame</t>
        </is>
      </c>
      <c r="L42" s="2012" t="n"/>
      <c r="M42" s="564" t="inlineStr">
        <is>
          <t>Wood-frame</t>
        </is>
      </c>
      <c r="N42" s="2011" t="n"/>
      <c r="O42" s="619" t="inlineStr">
        <is>
          <t>Wood</t>
        </is>
      </c>
      <c r="P42" s="2011" t="n"/>
    </row>
    <row r="43">
      <c r="C43" s="563" t="inlineStr">
        <is>
          <t>Exterior</t>
        </is>
      </c>
      <c r="D43" s="564" t="inlineStr">
        <is>
          <t>Stucco, brick</t>
        </is>
      </c>
      <c r="E43" s="564" t="inlineStr">
        <is>
          <t>Metal, painted concrete</t>
        </is>
      </c>
      <c r="F43" s="2011" t="n"/>
      <c r="G43" s="564" t="inlineStr">
        <is>
          <t>Wood</t>
        </is>
      </c>
      <c r="H43" s="2011" t="n"/>
      <c r="I43" s="564" t="inlineStr">
        <is>
          <t>Brick, wood siding</t>
        </is>
      </c>
      <c r="J43" s="2011" t="n"/>
      <c r="K43" s="564" t="inlineStr">
        <is>
          <t>Wood, brick</t>
        </is>
      </c>
      <c r="L43" s="2012" t="n"/>
      <c r="M43" s="564" t="inlineStr">
        <is>
          <t>Wood, brick</t>
        </is>
      </c>
      <c r="N43" s="2011" t="n"/>
      <c r="O43" s="619" t="inlineStr">
        <is>
          <t>Wood, stucco</t>
        </is>
      </c>
      <c r="P43" s="2011" t="n"/>
    </row>
    <row r="44">
      <c r="C44" s="563" t="inlineStr">
        <is>
          <t>Architectural Styling</t>
        </is>
      </c>
      <c r="D44" s="566" t="inlineStr">
        <is>
          <t>Daycare building</t>
        </is>
      </c>
      <c r="E44" s="566" t="inlineStr">
        <is>
          <t>Store Building</t>
        </is>
      </c>
      <c r="F44" s="2011" t="n"/>
      <c r="G44" s="566" t="inlineStr">
        <is>
          <t>Daycare building</t>
        </is>
      </c>
      <c r="H44" s="2011" t="n"/>
      <c r="I44" s="566" t="inlineStr">
        <is>
          <t>Daycare building</t>
        </is>
      </c>
      <c r="J44" s="2011" t="n"/>
      <c r="K44" s="566" t="inlineStr">
        <is>
          <t>Daycare/School Building</t>
        </is>
      </c>
      <c r="L44" s="2012" t="n"/>
      <c r="M44" s="566" t="inlineStr">
        <is>
          <t>Daycare/School Building</t>
        </is>
      </c>
      <c r="N44" s="2011" t="n"/>
      <c r="O44" s="624" t="inlineStr">
        <is>
          <t>Franchise daycare</t>
        </is>
      </c>
      <c r="P44" s="2011" t="n"/>
    </row>
    <row r="45" ht="45" customHeight="1" s="1439">
      <c r="C45" s="563" t="inlineStr">
        <is>
          <t>Typical Interior Finishes</t>
        </is>
      </c>
      <c r="D45" s="575" t="inlineStr">
        <is>
          <t>Good-quality daycare</t>
        </is>
      </c>
      <c r="E45" s="575" t="inlineStr">
        <is>
          <t>Average-quality school</t>
        </is>
      </c>
      <c r="F45" s="2011" t="n"/>
      <c r="G45" s="575" t="inlineStr">
        <is>
          <t>Average-quality daycare</t>
        </is>
      </c>
      <c r="H45" s="2011" t="n"/>
      <c r="I45" s="575" t="inlineStr">
        <is>
          <t>Average-quality daycare</t>
        </is>
      </c>
      <c r="J45" s="2011" t="n"/>
      <c r="K45" s="575" t="inlineStr">
        <is>
          <t>Average-quality daycare</t>
        </is>
      </c>
      <c r="L45" s="2012" t="n"/>
      <c r="M45" s="575" t="inlineStr">
        <is>
          <t>Average-quality daycare</t>
        </is>
      </c>
      <c r="N45" s="2011" t="n"/>
      <c r="O45" s="624" t="inlineStr">
        <is>
          <t>Average quality daycare/school finishes</t>
        </is>
      </c>
      <c r="P45" s="2011" t="n"/>
    </row>
    <row r="46" ht="19.5" customHeight="1" s="1439">
      <c r="C46" s="570" t="inlineStr">
        <is>
          <t>Parking Ratio (Per 1,000 SF)</t>
        </is>
      </c>
      <c r="D46" s="576">
        <f>(D15/D13)*1000</f>
        <v/>
      </c>
      <c r="E46" s="577">
        <f>(E15/E13)*1000</f>
        <v/>
      </c>
      <c r="F46" s="1800" t="n">
        <v>0</v>
      </c>
      <c r="G46" s="577">
        <f>(G15/G13)*1000</f>
        <v/>
      </c>
      <c r="H46" s="1800" t="n">
        <v>-0.05</v>
      </c>
      <c r="I46" s="577">
        <f>(I15/I13)*1000</f>
        <v/>
      </c>
      <c r="J46" s="1800" t="n">
        <v>-0.05</v>
      </c>
      <c r="K46" s="577">
        <f>(K15/K13)*1000</f>
        <v/>
      </c>
      <c r="L46" s="2009" t="n">
        <v>0</v>
      </c>
      <c r="M46" s="577">
        <f>(M15/M13)*1000</f>
        <v/>
      </c>
      <c r="N46" s="1800" t="n">
        <v>-0.05</v>
      </c>
      <c r="O46" s="625">
        <f>(O15/O13)*1000</f>
        <v/>
      </c>
      <c r="P46" s="1800" t="n">
        <v>0</v>
      </c>
    </row>
    <row r="47">
      <c r="C47" s="558" t="inlineStr">
        <is>
          <t>Tenancy / Occupancy</t>
        </is>
      </c>
      <c r="D47" s="559" t="inlineStr">
        <is>
          <t>Good</t>
        </is>
      </c>
      <c r="E47" s="560" t="inlineStr">
        <is>
          <t>Average</t>
        </is>
      </c>
      <c r="F47" s="1800" t="n">
        <v>0</v>
      </c>
      <c r="G47" s="560" t="inlineStr">
        <is>
          <t>Good</t>
        </is>
      </c>
      <c r="H47" s="1800" t="n">
        <v>-0.1</v>
      </c>
      <c r="I47" s="560" t="inlineStr">
        <is>
          <t>Average</t>
        </is>
      </c>
      <c r="J47" s="1800" t="n">
        <v>0</v>
      </c>
      <c r="K47" s="560" t="inlineStr">
        <is>
          <t>Above-Average</t>
        </is>
      </c>
      <c r="L47" s="2009" t="n">
        <v>-0.05</v>
      </c>
      <c r="M47" s="560" t="inlineStr">
        <is>
          <t>Above-Average</t>
        </is>
      </c>
      <c r="N47" s="1800" t="n">
        <v>-0.05</v>
      </c>
      <c r="O47" s="618" t="inlineStr">
        <is>
          <t>Good</t>
        </is>
      </c>
      <c r="P47" s="1800" t="n">
        <v>0</v>
      </c>
    </row>
    <row r="48">
      <c r="C48" s="563" t="inlineStr">
        <is>
          <t>Occupancy</t>
        </is>
      </c>
      <c r="D48" s="575" t="n">
        <v>1</v>
      </c>
      <c r="E48" s="566" t="n">
        <v>1</v>
      </c>
      <c r="F48" s="2011" t="n"/>
      <c r="G48" s="566" t="n">
        <v>1</v>
      </c>
      <c r="H48" s="2011" t="n"/>
      <c r="I48" s="566" t="n">
        <v>1</v>
      </c>
      <c r="J48" s="2011" t="n"/>
      <c r="K48" s="566" t="n">
        <v>1</v>
      </c>
      <c r="L48" s="2012" t="n"/>
      <c r="M48" s="566" t="n">
        <v>1</v>
      </c>
      <c r="N48" s="2011" t="n"/>
      <c r="O48" s="620" t="n">
        <v>1</v>
      </c>
      <c r="P48" s="2011" t="n"/>
    </row>
    <row r="49" ht="30" customHeight="1" s="1439">
      <c r="C49" s="563" t="inlineStr">
        <is>
          <t>Tenant Risk</t>
        </is>
      </c>
      <c r="D49" s="566" t="inlineStr">
        <is>
          <t>National Daycare Franchise</t>
        </is>
      </c>
      <c r="E49" s="566" t="inlineStr">
        <is>
          <t>Parker Performaing Arts</t>
        </is>
      </c>
      <c r="F49" s="2011" t="n"/>
      <c r="G49" s="566" t="inlineStr">
        <is>
          <t>Goddard School</t>
        </is>
      </c>
      <c r="H49" s="2011" t="n"/>
      <c r="I49" s="566" t="inlineStr">
        <is>
          <t>Local daycare tenant</t>
        </is>
      </c>
      <c r="J49" s="2011" t="n"/>
      <c r="K49" s="575" t="inlineStr">
        <is>
          <t>Learning Experence 
(Local Franchise)</t>
        </is>
      </c>
      <c r="L49" s="2012" t="n"/>
      <c r="M49" s="575" t="inlineStr">
        <is>
          <t>Learning Experence 
(Local Franchise)</t>
        </is>
      </c>
      <c r="N49" s="2011" t="n"/>
      <c r="O49" s="620" t="inlineStr">
        <is>
          <t>Low - Franchise Daycare</t>
        </is>
      </c>
      <c r="P49" s="2011" t="n"/>
    </row>
    <row r="50" ht="12.6" customHeight="1" s="1439">
      <c r="C50" s="563" t="inlineStr">
        <is>
          <t>Overall Cap Rate</t>
        </is>
      </c>
      <c r="D50" s="578" t="inlineStr">
        <is>
          <t>N/A</t>
        </is>
      </c>
      <c r="E50" s="579" t="inlineStr">
        <is>
          <t>N/A</t>
        </is>
      </c>
      <c r="F50" s="2011" t="n"/>
      <c r="G50" s="579" t="inlineStr">
        <is>
          <t>N/A</t>
        </is>
      </c>
      <c r="H50" s="2011" t="n"/>
      <c r="I50" s="579" t="inlineStr">
        <is>
          <t>N/A</t>
        </is>
      </c>
      <c r="J50" s="2011" t="n"/>
      <c r="K50" s="579" t="n">
        <v>0.07149999999999999</v>
      </c>
      <c r="L50" s="2012" t="n"/>
      <c r="M50" s="579" t="n">
        <v>0.0675</v>
      </c>
      <c r="N50" s="2011" t="n"/>
      <c r="O50" s="626" t="n">
        <v>0.0635</v>
      </c>
      <c r="P50" s="2011" t="n"/>
    </row>
    <row r="51" hidden="1" ht="12.6" customHeight="1" s="1439">
      <c r="C51" s="563" t="inlineStr">
        <is>
          <t>Years Remaining</t>
        </is>
      </c>
      <c r="D51" s="578" t="n">
        <v>15</v>
      </c>
      <c r="E51" s="2013" t="n">
        <v>15</v>
      </c>
      <c r="F51" s="2011" t="n"/>
      <c r="G51" s="2013" t="n">
        <v>6</v>
      </c>
      <c r="H51" s="2011" t="n"/>
      <c r="I51" s="2013" t="inlineStr">
        <is>
          <t>N/A</t>
        </is>
      </c>
      <c r="J51" s="2011" t="n"/>
      <c r="K51" s="2013" t="inlineStr">
        <is>
          <t>N/A</t>
        </is>
      </c>
      <c r="L51" s="2012" t="n"/>
      <c r="M51" s="2013" t="inlineStr">
        <is>
          <t>N/A</t>
        </is>
      </c>
      <c r="N51" s="2011" t="n"/>
      <c r="O51" s="2014" t="n">
        <v>15</v>
      </c>
      <c r="P51" s="2011" t="n"/>
    </row>
    <row r="52" hidden="1" ht="12.6" customHeight="1" s="1439">
      <c r="C52" s="563" t="inlineStr">
        <is>
          <t>Renewal Options</t>
        </is>
      </c>
      <c r="D52" s="578" t="n">
        <v>2</v>
      </c>
      <c r="E52" s="2013" t="n">
        <v>3</v>
      </c>
      <c r="F52" s="2011" t="n"/>
      <c r="G52" s="2013" t="n">
        <v>3</v>
      </c>
      <c r="H52" s="2011" t="n"/>
      <c r="I52" s="2013" t="inlineStr">
        <is>
          <t>N/A</t>
        </is>
      </c>
      <c r="J52" s="2011" t="n"/>
      <c r="K52" s="2013" t="inlineStr">
        <is>
          <t>N/A</t>
        </is>
      </c>
      <c r="L52" s="2012" t="n"/>
      <c r="M52" s="2013" t="inlineStr">
        <is>
          <t>N/A</t>
        </is>
      </c>
      <c r="N52" s="2011" t="n"/>
      <c r="O52" s="2014" t="n">
        <v>3</v>
      </c>
      <c r="P52" s="2011" t="n"/>
    </row>
    <row r="53">
      <c r="C53" s="570" t="inlineStr">
        <is>
          <t>Functional Utility</t>
        </is>
      </c>
      <c r="D53" s="559" t="inlineStr">
        <is>
          <t>Average</t>
        </is>
      </c>
      <c r="E53" s="581" t="inlineStr">
        <is>
          <t>Below-Average</t>
        </is>
      </c>
      <c r="F53" s="1807" t="n">
        <v>0</v>
      </c>
      <c r="G53" s="560" t="inlineStr">
        <is>
          <t>Average</t>
        </is>
      </c>
      <c r="H53" s="1807" t="n">
        <v>-0.05</v>
      </c>
      <c r="I53" s="560" t="inlineStr">
        <is>
          <t>Average</t>
        </is>
      </c>
      <c r="J53" s="1807" t="n">
        <v>-0.05</v>
      </c>
      <c r="K53" s="581" t="inlineStr">
        <is>
          <t>Average</t>
        </is>
      </c>
      <c r="L53" s="2015" t="n">
        <v>-0.05</v>
      </c>
      <c r="M53" s="560" t="inlineStr">
        <is>
          <t>Average</t>
        </is>
      </c>
      <c r="N53" s="1807" t="n">
        <v>-0.05</v>
      </c>
      <c r="O53" s="618" t="inlineStr">
        <is>
          <t>Good</t>
        </is>
      </c>
      <c r="P53" s="1807" t="n">
        <v>-0.1</v>
      </c>
    </row>
    <row r="54" ht="30" customHeight="1" s="1439">
      <c r="C54" s="563" t="inlineStr">
        <is>
          <t>Building Layout</t>
        </is>
      </c>
      <c r="D54" s="566" t="inlineStr">
        <is>
          <t>Single-level, good</t>
        </is>
      </c>
      <c r="E54" s="566" t="inlineStr">
        <is>
          <t>Two-stories, good</t>
        </is>
      </c>
      <c r="F54" s="2011" t="n"/>
      <c r="G54" s="566" t="inlineStr">
        <is>
          <t>Single-level, good</t>
        </is>
      </c>
      <c r="H54" s="2011" t="n"/>
      <c r="I54" s="575" t="inlineStr">
        <is>
          <t>Single-story
Residential Conversion</t>
        </is>
      </c>
      <c r="J54" s="2011" t="n"/>
      <c r="K54" s="575" t="inlineStr">
        <is>
          <t>Single-story
Residential Conversion</t>
        </is>
      </c>
      <c r="L54" s="2012" t="n"/>
      <c r="M54" s="575" t="inlineStr">
        <is>
          <t>Single-story
Residential Conversion</t>
        </is>
      </c>
      <c r="N54" s="2011" t="n"/>
      <c r="O54" s="620" t="inlineStr">
        <is>
          <t>Single-level, good</t>
        </is>
      </c>
      <c r="P54" s="2011" t="n"/>
    </row>
    <row r="55" ht="45" customHeight="1" s="1439">
      <c r="C55" s="563" t="inlineStr">
        <is>
          <t>Building Amenities</t>
        </is>
      </c>
      <c r="D55" s="584" t="inlineStr">
        <is>
          <t>Perimiter classrooms, office, laundry, kitchen</t>
        </is>
      </c>
      <c r="E55" s="584" t="inlineStr">
        <is>
          <t>Calssrooms, gym, offices, cafateria, auditorium.</t>
        </is>
      </c>
      <c r="F55" s="2011" t="n"/>
      <c r="G55" s="584" t="inlineStr">
        <is>
          <t>Perimiter classrooms, office, laundry</t>
        </is>
      </c>
      <c r="H55" s="2011" t="n"/>
      <c r="I55" s="584" t="inlineStr">
        <is>
          <t>Classrooms, office, kitchen</t>
        </is>
      </c>
      <c r="J55" s="2011" t="n"/>
      <c r="K55" s="584" t="inlineStr">
        <is>
          <t>Classrooms, office, kitchen</t>
        </is>
      </c>
      <c r="L55" s="2012" t="n"/>
      <c r="M55" s="584" t="inlineStr">
        <is>
          <t>Classrooms, office, kitchen</t>
        </is>
      </c>
      <c r="N55" s="2011" t="n"/>
      <c r="O55" s="624" t="inlineStr">
        <is>
          <t>Commercial kitchen, office, meeting room, teacher's lounge.</t>
        </is>
      </c>
      <c r="P55" s="2011" t="n"/>
    </row>
    <row r="56">
      <c r="C56" s="563" t="inlineStr">
        <is>
          <t>Above/Below Grade Space</t>
        </is>
      </c>
      <c r="D56" s="584" t="inlineStr">
        <is>
          <t>All above</t>
        </is>
      </c>
      <c r="E56" s="584" t="inlineStr">
        <is>
          <t>All above</t>
        </is>
      </c>
      <c r="F56" s="2011" t="n"/>
      <c r="G56" s="584" t="inlineStr">
        <is>
          <t>All above</t>
        </is>
      </c>
      <c r="H56" s="2011" t="n"/>
      <c r="I56" s="584" t="inlineStr">
        <is>
          <t>All above</t>
        </is>
      </c>
      <c r="J56" s="2011" t="n"/>
      <c r="K56" s="584" t="inlineStr">
        <is>
          <t>All above</t>
        </is>
      </c>
      <c r="L56" s="2012" t="n"/>
      <c r="M56" s="584" t="inlineStr">
        <is>
          <t>All above</t>
        </is>
      </c>
      <c r="N56" s="2011" t="n"/>
      <c r="O56" s="628" t="inlineStr">
        <is>
          <t>All above</t>
        </is>
      </c>
      <c r="P56" s="2011" t="n"/>
    </row>
    <row r="57" ht="30" customHeight="1" s="1439">
      <c r="C57" s="563" t="inlineStr">
        <is>
          <t>Site Improvements, Other</t>
        </is>
      </c>
      <c r="D57" s="584" t="inlineStr">
        <is>
          <t>Multiple playgrounds</t>
        </is>
      </c>
      <c r="E57" s="584" t="inlineStr">
        <is>
          <t>Multiple playgrounds</t>
        </is>
      </c>
      <c r="F57" s="2011" t="n"/>
      <c r="G57" s="584" t="inlineStr">
        <is>
          <t>Multiple playgrounds</t>
        </is>
      </c>
      <c r="H57" s="2011" t="n"/>
      <c r="I57" s="584" t="inlineStr">
        <is>
          <t>Multiple playgrounds</t>
        </is>
      </c>
      <c r="J57" s="2016" t="n"/>
      <c r="K57" s="584" t="inlineStr">
        <is>
          <t>Multiple playgrounds</t>
        </is>
      </c>
      <c r="L57" s="2012" t="n"/>
      <c r="M57" s="584" t="inlineStr">
        <is>
          <t>Multiple playgrounds</t>
        </is>
      </c>
      <c r="N57" s="2016" t="n"/>
      <c r="O57" s="628" t="inlineStr">
        <is>
          <t xml:space="preserve">Multiple playgrounds, large outdoor activity areas. </t>
        </is>
      </c>
      <c r="P57" s="2011" t="n"/>
    </row>
    <row r="58" ht="12.6" customHeight="1" s="1439">
      <c r="C58" s="586" t="inlineStr">
        <is>
          <t>Total Non Quantified Adj.</t>
        </is>
      </c>
      <c r="D58" s="587" t="n"/>
      <c r="E58" s="588" t="n"/>
      <c r="F58" s="2017">
        <f>SUM(F32:F41,F46:F47,F53)</f>
        <v/>
      </c>
      <c r="G58" s="588" t="n"/>
      <c r="H58" s="2017">
        <f>SUM(H32,H39,H40,H41,H46,H47,H53)</f>
        <v/>
      </c>
      <c r="I58" s="590" t="n"/>
      <c r="J58" s="2018">
        <f>SUM(J32,J39,J40,J41,J46,J47,J53)</f>
        <v/>
      </c>
      <c r="K58" s="592" t="n"/>
      <c r="L58" s="2019">
        <f>SUM(L32,L39,L40,L41,L46,L47,L53)</f>
        <v/>
      </c>
      <c r="M58" s="590" t="n"/>
      <c r="N58" s="2018">
        <f>SUM(N32,N39,N40,N41,N46,N47,N53)</f>
        <v/>
      </c>
      <c r="O58" s="570" t="n"/>
      <c r="P58" s="2020">
        <f>SUM(P32,P39,P40,P41,P46,P47,P53)</f>
        <v/>
      </c>
    </row>
    <row r="59" ht="12.6" customHeight="1" s="1439">
      <c r="C59" s="594" t="inlineStr">
        <is>
          <t>Indication for Subject:</t>
        </is>
      </c>
      <c r="D59" s="595" t="n"/>
      <c r="E59" s="596" t="n"/>
      <c r="F59" s="1818">
        <f>IF(LEFT(CELL("format",F58),1)="P",F30*(1+F58),IF(LEFT(CELL("format",F58),1)="C",F30+F58))</f>
        <v/>
      </c>
      <c r="G59" s="596" t="n"/>
      <c r="H59" s="1818">
        <f>IF(LEFT(CELL("format",H58),1)="P",H30*(1+H58),IF(LEFT(CELL("format",H58),1)="C",H30+H58))</f>
        <v/>
      </c>
      <c r="I59" s="596" t="n"/>
      <c r="J59" s="2021">
        <f>IF(LEFT(CELL("format",J58),1)="P",J30*(1+J58),IF(LEFT(CELL("format",J58),1)="C",J30+J58))</f>
        <v/>
      </c>
      <c r="K59" s="596" t="n"/>
      <c r="L59" s="2022">
        <f>IF(LEFT(CELL("format",L58),1)="P",L30*(1+L58),IF(LEFT(CELL("format",L58),1)="C",L30+L58))</f>
        <v/>
      </c>
      <c r="M59" s="596" t="n"/>
      <c r="N59" s="2021">
        <f>IF(LEFT(CELL("format",N58),1)="P",N30*(1+N58),IF(LEFT(CELL("format",N58),1)="C",N30+N58))</f>
        <v/>
      </c>
      <c r="O59" s="630" t="n"/>
      <c r="P59" s="2023">
        <f>IF(LEFT(CELL("format",P58),1)="P",P30*(1+P58),IF(LEFT(CELL("format",P58),1)="C",P30+P58))</f>
        <v/>
      </c>
    </row>
    <row r="60">
      <c r="E60" s="358">
        <f>(E39-$D$39)/$D$39</f>
        <v/>
      </c>
      <c r="G60" s="358">
        <f>(G39-$D$39)/$D$39</f>
        <v/>
      </c>
      <c r="I60" s="358">
        <f>(I39-$D$39)/$D$39</f>
        <v/>
      </c>
      <c r="K60" s="358">
        <f>(K39-$D$39)/$D$39</f>
        <v/>
      </c>
      <c r="M60" s="358">
        <f>(M39-$D$39)/$D$39</f>
        <v/>
      </c>
    </row>
    <row r="61">
      <c r="E61" s="2024" t="n">
        <v>195</v>
      </c>
    </row>
    <row r="62">
      <c r="D62" t="inlineStr">
        <is>
          <t>Rounded Value</t>
        </is>
      </c>
      <c r="E62" s="2025">
        <f>MROUND(E61*D39,5000)</f>
        <v/>
      </c>
      <c r="F62" s="1971" t="n"/>
    </row>
    <row r="63">
      <c r="D63" t="inlineStr">
        <is>
          <t>Value PSF</t>
        </is>
      </c>
      <c r="E63" s="2024">
        <f>E62/D39</f>
        <v/>
      </c>
    </row>
    <row r="64">
      <c r="D64" t="inlineStr">
        <is>
          <t>Income</t>
        </is>
      </c>
      <c r="E64" s="2026">
        <f>'IA Values'!H13</f>
        <v/>
      </c>
    </row>
    <row r="67">
      <c r="E67" t="n">
        <v>262.27</v>
      </c>
    </row>
    <row r="68">
      <c r="E68" t="n">
        <v>247.3</v>
      </c>
      <c r="F68" s="2027">
        <f>(E67-E68)/E68</f>
        <v/>
      </c>
    </row>
  </sheetData>
  <mergeCells count="83">
    <mergeCell ref="O7:P7"/>
    <mergeCell ref="O6:P6"/>
    <mergeCell ref="O15:P15"/>
    <mergeCell ref="E8:F8"/>
    <mergeCell ref="I16:J16"/>
    <mergeCell ref="M10:N10"/>
    <mergeCell ref="M16:N16"/>
    <mergeCell ref="O16:P16"/>
    <mergeCell ref="M8:N8"/>
    <mergeCell ref="O8:P8"/>
    <mergeCell ref="O11:P11"/>
    <mergeCell ref="I13:J13"/>
    <mergeCell ref="K13:L13"/>
    <mergeCell ref="E3:F3"/>
    <mergeCell ref="E12:F12"/>
    <mergeCell ref="O3:P3"/>
    <mergeCell ref="G12:H12"/>
    <mergeCell ref="I6:J6"/>
    <mergeCell ref="I15:J15"/>
    <mergeCell ref="K15:L15"/>
    <mergeCell ref="E5:F5"/>
    <mergeCell ref="E14:F14"/>
    <mergeCell ref="E4:F4"/>
    <mergeCell ref="G7:H7"/>
    <mergeCell ref="I7:J7"/>
    <mergeCell ref="M13:N13"/>
    <mergeCell ref="M7:N7"/>
    <mergeCell ref="I8:J8"/>
    <mergeCell ref="E16:F16"/>
    <mergeCell ref="G16:H16"/>
    <mergeCell ref="I10:J10"/>
    <mergeCell ref="K10:L10"/>
    <mergeCell ref="K6:L6"/>
    <mergeCell ref="G9:H9"/>
    <mergeCell ref="I9:J9"/>
    <mergeCell ref="K3:L3"/>
    <mergeCell ref="K16:L16"/>
    <mergeCell ref="G11:H11"/>
    <mergeCell ref="K9:L9"/>
    <mergeCell ref="I11:J11"/>
    <mergeCell ref="K5:L5"/>
    <mergeCell ref="M9:N9"/>
    <mergeCell ref="M5:N5"/>
    <mergeCell ref="O9:P9"/>
    <mergeCell ref="K11:L11"/>
    <mergeCell ref="O5:P5"/>
    <mergeCell ref="E13:F13"/>
    <mergeCell ref="G13:H13"/>
    <mergeCell ref="O4:P4"/>
    <mergeCell ref="E6:F6"/>
    <mergeCell ref="M15:N15"/>
    <mergeCell ref="M12:N12"/>
    <mergeCell ref="K8:L8"/>
    <mergeCell ref="E15:F15"/>
    <mergeCell ref="G15:H15"/>
    <mergeCell ref="C2:P2"/>
    <mergeCell ref="K7:L7"/>
    <mergeCell ref="E7:F7"/>
    <mergeCell ref="O10:P10"/>
    <mergeCell ref="G8:H8"/>
    <mergeCell ref="G10:H10"/>
    <mergeCell ref="G6:H6"/>
    <mergeCell ref="E9:F9"/>
    <mergeCell ref="G3:H3"/>
    <mergeCell ref="I3:J3"/>
    <mergeCell ref="I12:J12"/>
    <mergeCell ref="K12:L12"/>
    <mergeCell ref="M6:N6"/>
    <mergeCell ref="E11:F11"/>
    <mergeCell ref="G5:H5"/>
    <mergeCell ref="I5:J5"/>
    <mergeCell ref="G14:H14"/>
    <mergeCell ref="M3:N3"/>
    <mergeCell ref="I14:J14"/>
    <mergeCell ref="K14:L14"/>
    <mergeCell ref="O12:P12"/>
    <mergeCell ref="G4:H4"/>
    <mergeCell ref="I4:J4"/>
    <mergeCell ref="M14:N14"/>
    <mergeCell ref="O14:P14"/>
    <mergeCell ref="K4:L4"/>
    <mergeCell ref="M4:N4"/>
    <mergeCell ref="O13:P13"/>
  </mergeCells>
  <dataValidations count="1">
    <dataValidation sqref="E59 G59 I59 K59 M59 O59" showDropDown="0" showInputMessage="1" showErrorMessage="1" allowBlank="1" type="list">
      <formula1>lstCondition</formula1>
    </dataValidation>
  </dataValidations>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B2:K53"/>
  <sheetViews>
    <sheetView showGridLines="0" workbookViewId="0">
      <selection activeCell="E31" sqref="E31"/>
    </sheetView>
  </sheetViews>
  <sheetFormatPr baseColWidth="8" defaultRowHeight="15"/>
  <cols>
    <col width="3.42578125" customWidth="1" style="1439" min="1" max="1"/>
    <col width="45.42578125" bestFit="1" customWidth="1" style="1439" min="2" max="2"/>
    <col width="53" customWidth="1" style="1439" min="3" max="3"/>
    <col width="14" customWidth="1" style="1439" min="4" max="4"/>
    <col width="11.5703125" bestFit="1" customWidth="1" style="1439" min="6" max="6"/>
    <col width="9.7109375" bestFit="1" customWidth="1" style="1439" min="7" max="7"/>
    <col width="12.5703125" bestFit="1" customWidth="1" style="1439" min="8" max="8"/>
    <col width="11.5703125" bestFit="1" customWidth="1" style="1439" min="9" max="9"/>
  </cols>
  <sheetData>
    <row r="2" ht="15.75" customHeight="1" s="1439">
      <c r="B2" s="1597" t="inlineStr">
        <is>
          <t xml:space="preserve">LEASE ABSTRACT </t>
        </is>
      </c>
    </row>
    <row r="3" ht="12.75" customHeight="1" s="1439">
      <c r="B3" s="1043" t="inlineStr">
        <is>
          <t>Lessor</t>
        </is>
      </c>
      <c r="C3" s="1351" t="inlineStr">
        <is>
          <t>Yafa Realty Investments, LLC</t>
        </is>
      </c>
      <c r="G3" s="1355" t="inlineStr">
        <is>
          <t>Annual Rent Calc. Table</t>
        </is>
      </c>
      <c r="H3" s="1356" t="n"/>
    </row>
    <row r="4" ht="12.75" customHeight="1" s="1439">
      <c r="B4" s="1043" t="inlineStr">
        <is>
          <t>Lessee</t>
        </is>
      </c>
      <c r="C4" s="1352" t="inlineStr">
        <is>
          <t xml:space="preserve">Walker Component Group, Inc. </t>
        </is>
      </c>
      <c r="G4" s="725" t="inlineStr">
        <is>
          <t>Month</t>
        </is>
      </c>
      <c r="H4" s="1357" t="inlineStr">
        <is>
          <t>Monthly Rent</t>
        </is>
      </c>
    </row>
    <row r="5" ht="12.75" customHeight="1" s="1439">
      <c r="B5" s="1043" t="inlineStr">
        <is>
          <t>Building Size (SF)</t>
        </is>
      </c>
      <c r="C5" s="1353" t="n">
        <v>33750</v>
      </c>
      <c r="G5" s="1358" t="inlineStr">
        <is>
          <t>January</t>
        </is>
      </c>
      <c r="H5" s="2028" t="n">
        <v>16120</v>
      </c>
    </row>
    <row r="6" ht="12.75" customHeight="1" s="1439">
      <c r="B6" s="1043" t="inlineStr">
        <is>
          <t>Lease Sign Date</t>
        </is>
      </c>
      <c r="C6" s="1354" t="n">
        <v>42689</v>
      </c>
      <c r="G6" s="1358" t="inlineStr">
        <is>
          <t>February</t>
        </is>
      </c>
      <c r="H6" s="2028" t="n">
        <v>16120</v>
      </c>
    </row>
    <row r="7" ht="12.75" customHeight="1" s="1439">
      <c r="B7" s="1043" t="inlineStr">
        <is>
          <t>Lease Commencement Date</t>
        </is>
      </c>
      <c r="C7" s="1354" t="n">
        <v>42689</v>
      </c>
      <c r="G7" s="1358" t="inlineStr">
        <is>
          <t>March</t>
        </is>
      </c>
      <c r="H7" s="2028" t="n">
        <v>16120</v>
      </c>
      <c r="K7" s="358" t="n"/>
    </row>
    <row r="8" ht="12.75" customHeight="1" s="1439">
      <c r="B8" s="1043" t="inlineStr">
        <is>
          <t>Lease Expiration Date</t>
        </is>
      </c>
      <c r="C8" s="1354" t="n">
        <v>46752</v>
      </c>
      <c r="G8" s="1358" t="inlineStr">
        <is>
          <t>April</t>
        </is>
      </c>
      <c r="H8" s="2028" t="n">
        <v>16120</v>
      </c>
    </row>
    <row r="9">
      <c r="B9" s="1043" t="inlineStr">
        <is>
          <t>Base Lease Term (Months)</t>
        </is>
      </c>
      <c r="C9" s="1044">
        <f>+(C8-C7)/365*12</f>
        <v/>
      </c>
      <c r="G9" s="1358" t="inlineStr">
        <is>
          <t>May</t>
        </is>
      </c>
      <c r="H9" s="2028" t="n">
        <v>16120</v>
      </c>
      <c r="K9" s="358" t="n"/>
    </row>
    <row r="10" ht="20.25" customHeight="1" s="1439">
      <c r="B10" s="1043" t="inlineStr">
        <is>
          <t>12 Months Contract Rental Income (Jan-Dec 2020)</t>
        </is>
      </c>
      <c r="C10" s="2029">
        <f>H17</f>
        <v/>
      </c>
      <c r="G10" s="1358" t="inlineStr">
        <is>
          <t>June</t>
        </is>
      </c>
      <c r="H10" s="2028" t="n">
        <v>16120</v>
      </c>
    </row>
    <row r="11" ht="12.75" customHeight="1" s="1439">
      <c r="B11" s="1043" t="inlineStr">
        <is>
          <t>12 Months Contract Rental Income (Jan-Dec 2020)</t>
        </is>
      </c>
      <c r="C11" s="2030">
        <f>C10/C5</f>
        <v/>
      </c>
      <c r="G11" s="1358" t="inlineStr">
        <is>
          <t>July</t>
        </is>
      </c>
      <c r="H11" s="2028" t="n">
        <v>16120</v>
      </c>
    </row>
    <row r="12" ht="12.75" customHeight="1" s="1439">
      <c r="B12" s="1043" t="inlineStr">
        <is>
          <t>Base Rents</t>
        </is>
      </c>
      <c r="C12" s="1043" t="n"/>
      <c r="D12" t="inlineStr">
        <is>
          <t>Annual Rent (Lease)</t>
        </is>
      </c>
      <c r="G12" s="1358" t="inlineStr">
        <is>
          <t>August</t>
        </is>
      </c>
      <c r="H12" s="2028" t="n">
        <v>20230</v>
      </c>
    </row>
    <row r="13">
      <c r="B13" s="1047" t="inlineStr">
        <is>
          <t>Year 1 (11/16-10/17)</t>
        </is>
      </c>
      <c r="C13" s="2030">
        <f>D13/$C$5</f>
        <v/>
      </c>
      <c r="D13" s="1690" t="n">
        <v>194062.5</v>
      </c>
      <c r="G13" s="1358" t="inlineStr">
        <is>
          <t>September</t>
        </is>
      </c>
      <c r="H13" s="2028" t="n">
        <v>20230</v>
      </c>
    </row>
    <row r="14">
      <c r="B14" s="1047" t="inlineStr">
        <is>
          <t>Year 2 (11/17-10/18)</t>
        </is>
      </c>
      <c r="C14" s="2030">
        <f>D14/$C$5</f>
        <v/>
      </c>
      <c r="D14" s="1690" t="n">
        <v>194062.5</v>
      </c>
      <c r="G14" s="1358" t="inlineStr">
        <is>
          <t>October</t>
        </is>
      </c>
      <c r="H14" s="2028" t="n">
        <v>20230</v>
      </c>
    </row>
    <row r="15">
      <c r="B15" s="1047" t="inlineStr">
        <is>
          <t>Year 3 (11/18-10/19)</t>
        </is>
      </c>
      <c r="C15" s="2030">
        <f>D15/$C$5</f>
        <v/>
      </c>
      <c r="D15" s="1690" t="n">
        <v>202500</v>
      </c>
      <c r="G15" s="1358" t="inlineStr">
        <is>
          <t>November</t>
        </is>
      </c>
      <c r="H15" s="2028" t="n">
        <v>20230</v>
      </c>
    </row>
    <row r="16">
      <c r="B16" s="1047" t="inlineStr">
        <is>
          <t>Year 4 (11/19-10/20)</t>
        </is>
      </c>
      <c r="C16" s="2030">
        <f>D16/$C$5</f>
        <v/>
      </c>
      <c r="D16" s="1690" t="n">
        <v>202500</v>
      </c>
      <c r="G16" s="1360" t="inlineStr">
        <is>
          <t>December</t>
        </is>
      </c>
      <c r="H16" s="2031" t="n">
        <v>20230</v>
      </c>
    </row>
    <row r="17">
      <c r="B17" s="1047" t="inlineStr">
        <is>
          <t>Year 5 (11/20-10/21)</t>
        </is>
      </c>
      <c r="C17" s="2030">
        <f>D17/$C$5</f>
        <v/>
      </c>
      <c r="D17" s="1690" t="n">
        <v>210937.5</v>
      </c>
      <c r="G17" s="1362" t="inlineStr">
        <is>
          <t>Total</t>
        </is>
      </c>
      <c r="H17" s="2032">
        <f>SUM(H5:H16)</f>
        <v/>
      </c>
    </row>
    <row r="18">
      <c r="B18" s="1047" t="inlineStr">
        <is>
          <t>Frist Renewal Period</t>
        </is>
      </c>
      <c r="C18" s="2030" t="n"/>
      <c r="D18" s="1690" t="n"/>
      <c r="G18" s="1364" t="inlineStr">
        <is>
          <t>PSF</t>
        </is>
      </c>
      <c r="H18" s="2033">
        <f>H17/FE!C14</f>
        <v/>
      </c>
      <c r="I18" s="2025" t="n"/>
    </row>
    <row r="19">
      <c r="B19" s="1047" t="inlineStr">
        <is>
          <t>Year 6</t>
        </is>
      </c>
      <c r="C19" s="2030">
        <f>D19/$C$5</f>
        <v/>
      </c>
      <c r="D19" s="1690" t="n">
        <v>210937.5</v>
      </c>
      <c r="H19" s="2025" t="n"/>
      <c r="I19" s="2025" t="n"/>
    </row>
    <row r="20">
      <c r="B20" s="1047" t="inlineStr">
        <is>
          <t>Year 7</t>
        </is>
      </c>
      <c r="C20" s="2030">
        <f>D20/$C$5</f>
        <v/>
      </c>
      <c r="D20" s="1690" t="n">
        <v>219375</v>
      </c>
      <c r="H20" s="2025" t="n"/>
      <c r="I20" s="2025" t="n"/>
    </row>
    <row r="21">
      <c r="B21" s="1047" t="inlineStr">
        <is>
          <t>Year 8</t>
        </is>
      </c>
      <c r="C21" s="2030">
        <f>D21/$C$5</f>
        <v/>
      </c>
      <c r="D21" s="1690" t="n">
        <v>226125</v>
      </c>
      <c r="H21" s="2025" t="n"/>
      <c r="I21" s="2025" t="n"/>
    </row>
    <row r="22">
      <c r="B22" s="1047" t="inlineStr">
        <is>
          <t>Year 9</t>
        </is>
      </c>
      <c r="C22" s="2030">
        <f>D22/$C$5</f>
        <v/>
      </c>
      <c r="D22" s="1690" t="n">
        <v>232875</v>
      </c>
      <c r="H22" s="2025" t="n"/>
      <c r="I22" s="2025" t="n"/>
    </row>
    <row r="23">
      <c r="B23" s="1047" t="inlineStr">
        <is>
          <t>Year 10</t>
        </is>
      </c>
      <c r="C23" s="2030">
        <f>D23/$C$5</f>
        <v/>
      </c>
      <c r="D23" s="1690" t="n">
        <v>239625</v>
      </c>
      <c r="H23" s="2025" t="n"/>
      <c r="I23" s="2025" t="n"/>
    </row>
    <row r="24">
      <c r="B24" s="1047" t="inlineStr">
        <is>
          <t>Year 11</t>
        </is>
      </c>
      <c r="C24" s="2030">
        <f>D24/$C$5</f>
        <v/>
      </c>
      <c r="D24" s="1690" t="n">
        <v>242988</v>
      </c>
      <c r="H24" s="2025" t="n"/>
      <c r="I24" s="2025" t="n"/>
    </row>
    <row r="25" hidden="1" ht="12" customHeight="1" s="1439">
      <c r="B25" s="1047" t="n"/>
      <c r="C25" s="2030" t="n"/>
      <c r="H25" s="2025" t="n"/>
      <c r="I25" s="2025" t="n"/>
    </row>
    <row r="26" hidden="1" ht="12" customHeight="1" s="1439">
      <c r="B26" s="1047" t="n"/>
      <c r="C26" s="2030" t="n"/>
      <c r="H26" s="2025" t="n"/>
      <c r="I26" s="2025" t="n"/>
    </row>
    <row r="27" hidden="1" ht="12" customHeight="1" s="1439">
      <c r="B27" s="1047" t="n"/>
      <c r="C27" s="2030" t="n"/>
      <c r="H27" s="2025" t="n"/>
      <c r="I27" s="2025" t="n"/>
    </row>
    <row r="28" hidden="1" ht="12" customHeight="1" s="1439">
      <c r="B28" s="1047" t="n"/>
      <c r="C28" s="2030" t="n"/>
      <c r="H28" s="2025" t="n"/>
      <c r="I28" s="2025" t="n"/>
    </row>
    <row r="29" ht="15" customHeight="1" s="1439">
      <c r="B29" s="1048" t="inlineStr">
        <is>
          <t>Expense Structure</t>
        </is>
      </c>
      <c r="C29" s="1366" t="inlineStr">
        <is>
          <t>NNN</t>
        </is>
      </c>
      <c r="H29" s="2025" t="n"/>
      <c r="I29" s="2025" t="n"/>
      <c r="J29" s="2027" t="n"/>
    </row>
    <row r="30" ht="15" customHeight="1" s="1439">
      <c r="B30" s="1043" t="inlineStr">
        <is>
          <t>Landlord Expense Responsibilities</t>
        </is>
      </c>
      <c r="C30" s="1351" t="inlineStr">
        <is>
          <t>Roof replacement/repair, structural damage</t>
        </is>
      </c>
      <c r="H30" s="2025" t="n"/>
      <c r="I30" s="2025" t="n"/>
      <c r="J30" s="2027" t="n"/>
    </row>
    <row r="31" ht="52.5" customHeight="1" s="1439">
      <c r="B31" s="1049" t="inlineStr">
        <is>
          <t>Tenant Expense Responsibilities</t>
        </is>
      </c>
      <c r="C31" s="1367" t="inlineStr">
        <is>
          <t xml:space="preserve">Tenant is responsible for all expenses directly, including taxes, insurance, CAM/repairs &amp; maintenance, utilities and other expenses.  </t>
        </is>
      </c>
      <c r="H31" s="2025" t="n"/>
      <c r="I31" s="2024" t="n"/>
      <c r="J31" s="1971" t="n"/>
    </row>
    <row r="32" ht="37.5" customHeight="1" s="1439">
      <c r="B32" s="1043" t="inlineStr">
        <is>
          <t>Comments</t>
        </is>
      </c>
      <c r="C32" s="1351" t="inlineStr">
        <is>
          <t xml:space="preserve">Initial 5-year term with two 5-year renewal options. First renewal option started as of the valuation date. </t>
        </is>
      </c>
    </row>
    <row r="33">
      <c r="B33" s="1043" t="inlineStr">
        <is>
          <t>Purchase Options</t>
        </is>
      </c>
      <c r="C33" s="1351" t="inlineStr">
        <is>
          <t>None</t>
        </is>
      </c>
    </row>
    <row r="34">
      <c r="B34" s="1043" t="inlineStr">
        <is>
          <t>Termination Clause</t>
        </is>
      </c>
      <c r="C34" s="1351" t="inlineStr">
        <is>
          <t>None</t>
        </is>
      </c>
    </row>
    <row r="35">
      <c r="B35" s="1043" t="inlineStr">
        <is>
          <t>Guarantor</t>
        </is>
      </c>
      <c r="C35" s="1351" t="inlineStr">
        <is>
          <t>None</t>
        </is>
      </c>
    </row>
    <row r="36">
      <c r="B36" s="1043" t="inlineStr">
        <is>
          <t>Other</t>
        </is>
      </c>
      <c r="C36" s="1351" t="inlineStr">
        <is>
          <t xml:space="preserve">Triple net agreement, sale-leaseback. </t>
        </is>
      </c>
    </row>
    <row r="37" ht="24" customHeight="1" s="1439">
      <c r="B37" s="1050" t="inlineStr">
        <is>
          <t>Source</t>
        </is>
      </c>
      <c r="C37" s="1368" t="inlineStr">
        <is>
          <t>Lease Agreement, owner, inspection, assessor data</t>
        </is>
      </c>
    </row>
    <row r="41">
      <c r="C41" s="2034" t="n"/>
    </row>
    <row r="42">
      <c r="C42" s="2034" t="n"/>
    </row>
    <row r="43">
      <c r="C43" s="2034" t="n"/>
    </row>
    <row r="44">
      <c r="C44" s="2034" t="n"/>
    </row>
    <row r="45">
      <c r="C45" s="2034" t="n"/>
    </row>
    <row r="46">
      <c r="C46" s="2034" t="n"/>
    </row>
    <row r="47">
      <c r="C47" s="2034" t="n"/>
    </row>
    <row r="48">
      <c r="C48" s="2034" t="n"/>
    </row>
    <row r="49">
      <c r="C49" s="2034" t="n"/>
    </row>
    <row r="50">
      <c r="C50" s="2034" t="n"/>
    </row>
    <row r="51">
      <c r="C51" s="2034" t="n"/>
    </row>
    <row r="52">
      <c r="C52" s="2034" t="n"/>
    </row>
    <row r="53">
      <c r="C53" s="2034" t="n"/>
    </row>
  </sheetData>
  <mergeCells count="1">
    <mergeCell ref="B2:C2"/>
  </mergeCells>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2:DZ41"/>
  <sheetViews>
    <sheetView showGridLines="0" topLeftCell="A9" workbookViewId="0">
      <selection activeCell="S29" sqref="S29:T29"/>
    </sheetView>
  </sheetViews>
  <sheetFormatPr baseColWidth="8" defaultRowHeight="15"/>
  <cols>
    <col width="10.7109375" customWidth="1" style="1439" min="1" max="1"/>
    <col width="13.28515625" customWidth="1" style="1439" min="2" max="2"/>
    <col width="12.5703125" customWidth="1" style="1439" min="3" max="3"/>
    <col width="9.85546875" customWidth="1" style="1439" min="4" max="4"/>
    <col width="20.7109375" customWidth="1" style="1439" min="5" max="5"/>
    <col width="7.42578125" customWidth="1" style="1439" min="6" max="6"/>
    <col width="20.7109375" customWidth="1" style="1439" min="7" max="7"/>
    <col width="7.42578125" customWidth="1" style="1439" min="8" max="8"/>
    <col width="20.7109375" customWidth="1" style="1439" min="9" max="9"/>
    <col width="7.5703125" customWidth="1" style="1439" min="10" max="10"/>
    <col width="20.7109375" customWidth="1" style="1439" min="11" max="11"/>
    <col width="8" customWidth="1" style="1439" min="12" max="12"/>
    <col hidden="1" width="21" customWidth="1" style="1439" min="13" max="13"/>
    <col hidden="1" width="10.28515625" customWidth="1" style="1439" min="14" max="14"/>
  </cols>
  <sheetData>
    <row r="2" ht="15.75" customFormat="1" customHeight="1" s="4">
      <c r="A2" s="1611" t="inlineStr">
        <is>
          <t>COMPARABLE LEASE ADJUSTMENT GRID</t>
        </is>
      </c>
      <c r="B2" s="1468" t="n"/>
      <c r="C2" s="1468" t="n"/>
      <c r="D2" s="1468" t="n"/>
      <c r="E2" s="1468" t="n"/>
      <c r="F2" s="1468" t="n"/>
      <c r="G2" s="1468" t="n"/>
      <c r="H2" s="1468" t="n"/>
      <c r="I2" s="1468" t="n"/>
      <c r="J2" s="1468" t="n"/>
      <c r="K2" s="1468" t="n"/>
      <c r="L2" s="1468" t="n"/>
      <c r="M2" s="1468" t="n"/>
      <c r="N2" s="1612" t="n"/>
    </row>
    <row r="3" ht="15" customHeight="1" s="1439">
      <c r="A3" s="1623" t="inlineStr">
        <is>
          <t>Characteristics</t>
        </is>
      </c>
      <c r="C3" s="1618" t="inlineStr">
        <is>
          <t>Subject</t>
        </is>
      </c>
      <c r="E3" s="1618" t="inlineStr">
        <is>
          <t>Lease 1</t>
        </is>
      </c>
      <c r="G3" s="1618" t="inlineStr">
        <is>
          <t>Lease 2</t>
        </is>
      </c>
      <c r="I3" s="1618" t="inlineStr">
        <is>
          <t>Lease 3</t>
        </is>
      </c>
      <c r="K3" s="1618" t="inlineStr">
        <is>
          <t>Lease 4</t>
        </is>
      </c>
      <c r="M3" s="1620" t="inlineStr">
        <is>
          <t>Rent 5</t>
        </is>
      </c>
      <c r="N3" s="1565" t="n"/>
    </row>
    <row r="4" ht="15" customHeight="1" s="1439">
      <c r="A4" s="1605" t="inlineStr">
        <is>
          <t>Address</t>
        </is>
      </c>
      <c r="B4" s="1565" t="n"/>
      <c r="C4" s="1603">
        <f>'Property Info'!B16</f>
        <v/>
      </c>
      <c r="D4" s="1565" t="n"/>
      <c r="E4" s="1603" t="inlineStr">
        <is>
          <t>5676 N Pecos Street</t>
        </is>
      </c>
      <c r="F4" s="1565" t="n"/>
      <c r="G4" s="1603" t="inlineStr">
        <is>
          <t>5100 Fox Street</t>
        </is>
      </c>
      <c r="H4" s="1565" t="n"/>
      <c r="I4" s="1603" t="inlineStr">
        <is>
          <t>5151 Bannock Street</t>
        </is>
      </c>
      <c r="J4" s="1565" t="n"/>
      <c r="K4" s="1603" t="inlineStr">
        <is>
          <t>4715 Colorado Blvd.</t>
        </is>
      </c>
      <c r="L4" s="1565" t="n"/>
      <c r="M4" s="1619" t="inlineStr">
        <is>
          <t>5882 South Youngfield Court</t>
        </is>
      </c>
      <c r="N4" s="1565" t="n"/>
    </row>
    <row r="5" ht="12.75" customHeight="1" s="1439">
      <c r="A5" s="1601" t="inlineStr">
        <is>
          <t>City</t>
        </is>
      </c>
      <c r="B5" s="1565" t="n"/>
      <c r="C5" s="1603">
        <f>'Property Info'!B17</f>
        <v/>
      </c>
      <c r="D5" s="1565" t="n"/>
      <c r="E5" s="1603" t="inlineStr">
        <is>
          <t>Denver, CO</t>
        </is>
      </c>
      <c r="F5" s="1565" t="n"/>
      <c r="G5" s="1603" t="inlineStr">
        <is>
          <t>Denver, CO</t>
        </is>
      </c>
      <c r="H5" s="1565" t="n"/>
      <c r="I5" s="1603" t="inlineStr">
        <is>
          <t>Denver, CO</t>
        </is>
      </c>
      <c r="J5" s="1565" t="n"/>
      <c r="K5" s="1603" t="inlineStr">
        <is>
          <t>Denver, CO</t>
        </is>
      </c>
      <c r="L5" s="1565" t="n"/>
      <c r="M5" s="1619" t="inlineStr">
        <is>
          <t>Littleton, CO</t>
        </is>
      </c>
      <c r="N5" s="1565" t="n"/>
    </row>
    <row r="6" hidden="1" ht="12.75" customHeight="1" s="1439">
      <c r="A6" s="1605" t="inlineStr">
        <is>
          <t>Distance from Subject</t>
        </is>
      </c>
      <c r="B6" s="1565" t="n"/>
      <c r="C6" s="1603" t="inlineStr">
        <is>
          <t>N/A</t>
        </is>
      </c>
      <c r="D6" s="1565" t="n"/>
      <c r="E6" s="1603" t="inlineStr">
        <is>
          <t>1 mile</t>
        </is>
      </c>
      <c r="F6" s="1565" t="n"/>
      <c r="G6" s="1603" t="inlineStr">
        <is>
          <t>1 mile</t>
        </is>
      </c>
      <c r="H6" s="1565" t="n"/>
      <c r="I6" s="1603" t="inlineStr">
        <is>
          <t>1 mile</t>
        </is>
      </c>
      <c r="J6" s="1565" t="n"/>
      <c r="K6" s="1603" t="inlineStr">
        <is>
          <t>1/4 mile</t>
        </is>
      </c>
      <c r="L6" s="1565" t="n"/>
      <c r="M6" s="1619" t="inlineStr">
        <is>
          <t>1 mile</t>
        </is>
      </c>
      <c r="N6" s="1565" t="n"/>
    </row>
    <row r="7" hidden="1" ht="40.5" customHeight="1" s="1439">
      <c r="A7" s="797" t="inlineStr">
        <is>
          <t>Data Source</t>
        </is>
      </c>
      <c r="B7" s="790" t="n"/>
      <c r="C7" s="1603">
        <f>'Detailed Sales Grid'!D12</f>
        <v/>
      </c>
      <c r="D7" s="1565" t="n"/>
      <c r="E7" s="1603" t="inlineStr">
        <is>
          <t>CoStar, Assessor, OM</t>
        </is>
      </c>
      <c r="F7" s="1565" t="n"/>
      <c r="G7" s="1603" t="inlineStr">
        <is>
          <t>CoStar, Assessor, OM</t>
        </is>
      </c>
      <c r="H7" s="1565" t="n"/>
      <c r="I7" s="1603" t="inlineStr">
        <is>
          <t>CoStar, Assessor, OM</t>
        </is>
      </c>
      <c r="J7" s="1565" t="n"/>
      <c r="K7" s="1603" t="inlineStr">
        <is>
          <t>CoStar, Broker, Listing</t>
        </is>
      </c>
      <c r="L7" s="1565" t="n"/>
      <c r="M7" s="1619" t="inlineStr">
        <is>
          <t>CoStar, Assessor</t>
        </is>
      </c>
      <c r="N7" s="1565" t="n"/>
    </row>
    <row r="8" hidden="1" ht="12.75" customHeight="1" s="1439">
      <c r="A8" s="1601" t="inlineStr">
        <is>
          <t>Proximity to Subject</t>
        </is>
      </c>
      <c r="B8" s="1565" t="n"/>
      <c r="C8" s="1603" t="inlineStr">
        <is>
          <t>N/A</t>
        </is>
      </c>
      <c r="D8" s="1565" t="n"/>
      <c r="E8" s="1603" t="inlineStr">
        <is>
          <t>1.5 miles</t>
        </is>
      </c>
      <c r="F8" s="1565" t="n"/>
      <c r="G8" s="1603" t="inlineStr">
        <is>
          <t>1.5 miles</t>
        </is>
      </c>
      <c r="H8" s="1565" t="n"/>
      <c r="I8" s="1603" t="inlineStr">
        <is>
          <t>1.5 miles</t>
        </is>
      </c>
      <c r="J8" s="1565" t="n"/>
      <c r="K8" s="1603" t="inlineStr">
        <is>
          <t>5.0 miles</t>
        </is>
      </c>
      <c r="L8" s="1565" t="n"/>
      <c r="M8" s="1603" t="inlineStr">
        <is>
          <t>3.0 miles</t>
        </is>
      </c>
      <c r="N8" s="1565" t="n"/>
    </row>
    <row r="9" ht="12.75" customHeight="1" s="1439">
      <c r="A9" s="1605" t="inlineStr">
        <is>
          <t xml:space="preserve">Building Size </t>
        </is>
      </c>
      <c r="B9" s="1565" t="n"/>
      <c r="C9" s="1602">
        <f>'Property Info'!B4</f>
        <v/>
      </c>
      <c r="D9" s="1565" t="n"/>
      <c r="E9" s="1602" t="n">
        <v>29050</v>
      </c>
      <c r="F9" s="1565" t="n"/>
      <c r="G9" s="1602" t="n">
        <v>40811</v>
      </c>
      <c r="H9" s="1565" t="n"/>
      <c r="I9" s="1602" t="n">
        <v>20000</v>
      </c>
      <c r="J9" s="1565" t="n"/>
      <c r="K9" s="1602" t="n">
        <v>37044</v>
      </c>
      <c r="L9" s="1565" t="n"/>
      <c r="M9" s="1627" t="n">
        <v>7786</v>
      </c>
      <c r="N9" s="1565" t="n"/>
    </row>
    <row r="10" hidden="1" ht="12.75" customHeight="1" s="1439">
      <c r="A10" s="1605" t="inlineStr">
        <is>
          <t>Vacancy</t>
        </is>
      </c>
      <c r="B10" s="1565" t="n"/>
      <c r="C10" s="789" t="n">
        <v>0</v>
      </c>
      <c r="D10" s="490">
        <f>C10/C9</f>
        <v/>
      </c>
      <c r="E10" s="791" t="n">
        <v>0</v>
      </c>
      <c r="F10" s="491" t="n">
        <v>0</v>
      </c>
      <c r="G10" s="791" t="n">
        <v>0</v>
      </c>
      <c r="H10" s="491" t="n">
        <v>0</v>
      </c>
      <c r="I10" s="791" t="n">
        <v>0</v>
      </c>
      <c r="J10" s="491" t="n">
        <v>0</v>
      </c>
      <c r="K10" s="791" t="n">
        <v>0</v>
      </c>
      <c r="L10" s="491" t="n">
        <v>0</v>
      </c>
      <c r="M10" s="791" t="n">
        <v>0</v>
      </c>
      <c r="N10" s="491" t="n">
        <v>0</v>
      </c>
    </row>
    <row r="11" hidden="1" ht="15" customHeight="1" s="1439">
      <c r="A11" s="1632" t="inlineStr">
        <is>
          <t>Parking Ratio</t>
        </is>
      </c>
      <c r="B11" s="1565" t="n"/>
      <c r="C11" s="791" t="n">
        <v>27</v>
      </c>
      <c r="D11" s="492">
        <f>ROUND((C11/C9)*1000,2)&amp;":1,000SF"</f>
        <v/>
      </c>
      <c r="E11" s="791" t="n">
        <v>19</v>
      </c>
      <c r="F11" s="492">
        <f>ROUND((E11/E9)*1000,2)&amp;":1,000SF"</f>
        <v/>
      </c>
      <c r="G11" s="791" t="n">
        <v>19</v>
      </c>
      <c r="H11" s="492">
        <f>ROUND((G11/G9)*1000,2)&amp;":1,000SF"</f>
        <v/>
      </c>
      <c r="I11" s="791" t="n">
        <v>19</v>
      </c>
      <c r="J11" s="492">
        <f>ROUND((I11/I9)*1000,2)&amp;":1,000SF"</f>
        <v/>
      </c>
      <c r="K11" s="791" t="n">
        <v>19</v>
      </c>
      <c r="L11" s="492">
        <f>ROUND((K11/K9)*1000,2)&amp;":1,000SF"</f>
        <v/>
      </c>
      <c r="M11" s="791" t="n">
        <v>19</v>
      </c>
      <c r="N11" s="491">
        <f>ROUND((M11/M9)*1000,2)&amp;":1,000SF"</f>
        <v/>
      </c>
    </row>
    <row r="12" ht="12.75" customHeight="1" s="1439">
      <c r="A12" s="1613" t="inlineStr">
        <is>
          <t>Representative Lease</t>
        </is>
      </c>
      <c r="C12" s="1624" t="n"/>
      <c r="E12" s="1624" t="n"/>
      <c r="F12" s="1624" t="n"/>
      <c r="G12" s="1624" t="n"/>
      <c r="H12" s="1624" t="n"/>
      <c r="I12" s="1624" t="n"/>
      <c r="J12" s="1624" t="n"/>
      <c r="K12" s="1624" t="n"/>
      <c r="L12" s="1624" t="n"/>
      <c r="M12" s="792" t="n"/>
      <c r="N12" s="798" t="n"/>
    </row>
    <row r="13" ht="12.75" customHeight="1" s="1439">
      <c r="A13" s="2035" t="inlineStr">
        <is>
          <t>Actual or Asking Lease Rate</t>
        </is>
      </c>
      <c r="B13" s="1565" t="n"/>
      <c r="C13" s="2036" t="inlineStr">
        <is>
          <t>N/A</t>
        </is>
      </c>
      <c r="D13" s="1565" t="n"/>
      <c r="E13" s="2037" t="inlineStr">
        <is>
          <t>Actual</t>
        </is>
      </c>
      <c r="F13" s="1565" t="n"/>
      <c r="G13" s="2037" t="inlineStr">
        <is>
          <t>Actual</t>
        </is>
      </c>
      <c r="H13" s="1565" t="n"/>
      <c r="I13" s="2037" t="inlineStr">
        <is>
          <t>Actual</t>
        </is>
      </c>
      <c r="J13" s="1565" t="n"/>
      <c r="K13" s="2037" t="inlineStr">
        <is>
          <t>Actual</t>
        </is>
      </c>
      <c r="L13" s="1565" t="n"/>
      <c r="M13" s="2038" t="inlineStr">
        <is>
          <t>Actual</t>
        </is>
      </c>
      <c r="N13" s="1565" t="n"/>
    </row>
    <row r="14" ht="33.75" customHeight="1" s="1439">
      <c r="A14" s="2035" t="inlineStr">
        <is>
          <t>Tenant</t>
        </is>
      </c>
      <c r="B14" s="1565" t="n"/>
      <c r="C14" s="2036">
        <f>LA!C4</f>
        <v/>
      </c>
      <c r="D14" s="1565" t="n"/>
      <c r="E14" s="2037" t="inlineStr">
        <is>
          <t>Four Star Drywall</t>
        </is>
      </c>
      <c r="F14" s="1565" t="n"/>
      <c r="G14" s="2037" t="inlineStr">
        <is>
          <t>Marcone Supply</t>
        </is>
      </c>
      <c r="H14" s="1565" t="n"/>
      <c r="I14" s="2037" t="inlineStr">
        <is>
          <t>Local Industrial User</t>
        </is>
      </c>
      <c r="J14" s="1565" t="n"/>
      <c r="K14" s="2037" t="inlineStr">
        <is>
          <t>Brow 1, LLC</t>
        </is>
      </c>
      <c r="L14" s="1565" t="n"/>
      <c r="M14" s="2038" t="inlineStr">
        <is>
          <t>Maypoint Learning Center</t>
        </is>
      </c>
      <c r="N14" s="1565" t="n"/>
    </row>
    <row r="15">
      <c r="A15" s="2035" t="inlineStr">
        <is>
          <t>SF Area Leased</t>
        </is>
      </c>
      <c r="B15" s="1565" t="n"/>
      <c r="C15" s="1626">
        <f>'Property Info'!B4</f>
        <v/>
      </c>
      <c r="D15" s="1565" t="n"/>
      <c r="E15" s="1602">
        <f>E9</f>
        <v/>
      </c>
      <c r="F15" s="1565" t="n"/>
      <c r="G15" s="1602" t="n">
        <v>22248</v>
      </c>
      <c r="H15" s="1565" t="n"/>
      <c r="I15" s="1602" t="n">
        <v>20000</v>
      </c>
      <c r="J15" s="1565" t="n"/>
      <c r="K15" s="1602" t="n">
        <v>37044</v>
      </c>
      <c r="L15" s="1565" t="n"/>
      <c r="M15" s="1627">
        <f>M9</f>
        <v/>
      </c>
      <c r="N15" s="1565" t="n"/>
    </row>
    <row r="16">
      <c r="A16" s="2035" t="inlineStr">
        <is>
          <t>Commencement</t>
        </is>
      </c>
      <c r="B16" s="1565" t="n"/>
      <c r="C16" s="2039" t="n">
        <v>44515</v>
      </c>
      <c r="D16" s="1565" t="n"/>
      <c r="E16" s="2039" t="n">
        <v>43781</v>
      </c>
      <c r="F16" s="1565" t="n"/>
      <c r="G16" s="2039" t="n">
        <v>43731</v>
      </c>
      <c r="H16" s="1565" t="n"/>
      <c r="I16" s="2039" t="n">
        <v>43617</v>
      </c>
      <c r="J16" s="1565" t="n"/>
      <c r="K16" s="2039" t="n">
        <v>43601</v>
      </c>
      <c r="L16" s="1565" t="n"/>
      <c r="M16" s="2040" t="n">
        <v>43490</v>
      </c>
      <c r="N16" s="1565" t="n"/>
    </row>
    <row r="17">
      <c r="A17" s="2035" t="inlineStr">
        <is>
          <t>Term</t>
        </is>
      </c>
      <c r="B17" s="1565" t="n"/>
      <c r="C17" s="2036" t="inlineStr">
        <is>
          <t>6 Years</t>
        </is>
      </c>
      <c r="D17" s="1565" t="n"/>
      <c r="E17" s="2037" t="inlineStr">
        <is>
          <t>3 Years</t>
        </is>
      </c>
      <c r="F17" s="1565" t="n"/>
      <c r="G17" s="2037" t="inlineStr">
        <is>
          <t>5 Years</t>
        </is>
      </c>
      <c r="H17" s="1565" t="n"/>
      <c r="I17" s="2037" t="inlineStr">
        <is>
          <t>3 Years</t>
        </is>
      </c>
      <c r="J17" s="1565" t="n"/>
      <c r="K17" s="2037" t="inlineStr">
        <is>
          <t>3 Years</t>
        </is>
      </c>
      <c r="L17" s="1565" t="n"/>
      <c r="M17" s="2038" t="inlineStr">
        <is>
          <t>5 Years</t>
        </is>
      </c>
      <c r="N17" s="1565" t="n"/>
    </row>
    <row r="18">
      <c r="A18" s="2035" t="inlineStr">
        <is>
          <t>TI Allowance</t>
        </is>
      </c>
      <c r="B18" s="1565" t="n"/>
      <c r="C18" s="2036" t="inlineStr">
        <is>
          <t>N/A</t>
        </is>
      </c>
      <c r="D18" s="1565" t="n"/>
      <c r="E18" s="2037" t="inlineStr">
        <is>
          <t>N/R</t>
        </is>
      </c>
      <c r="F18" s="1565" t="n"/>
      <c r="G18" s="2037" t="inlineStr">
        <is>
          <t>N/R</t>
        </is>
      </c>
      <c r="H18" s="1565" t="n"/>
      <c r="I18" s="2037" t="inlineStr">
        <is>
          <t>N/R</t>
        </is>
      </c>
      <c r="J18" s="1565" t="n"/>
      <c r="K18" s="2037" t="inlineStr">
        <is>
          <t>N/R</t>
        </is>
      </c>
      <c r="L18" s="1565" t="n"/>
      <c r="M18" s="2038" t="inlineStr">
        <is>
          <t>N/R</t>
        </is>
      </c>
      <c r="N18" s="1565" t="n"/>
    </row>
    <row r="19">
      <c r="A19" s="2035" t="inlineStr">
        <is>
          <t>Lease Rate Expense Structure</t>
        </is>
      </c>
      <c r="B19" s="1565" t="n"/>
      <c r="C19" s="2036" t="inlineStr">
        <is>
          <t>NNN</t>
        </is>
      </c>
      <c r="D19" s="1565" t="n"/>
      <c r="E19" s="2037" t="inlineStr">
        <is>
          <t>NNN</t>
        </is>
      </c>
      <c r="F19" s="1565" t="n"/>
      <c r="G19" s="2037" t="inlineStr">
        <is>
          <t>NNN</t>
        </is>
      </c>
      <c r="H19" s="1565" t="n"/>
      <c r="I19" s="2037" t="inlineStr">
        <is>
          <t>NNN</t>
        </is>
      </c>
      <c r="J19" s="1565" t="n"/>
      <c r="K19" s="2037" t="inlineStr">
        <is>
          <t>NNN</t>
        </is>
      </c>
      <c r="L19" s="1565" t="n"/>
      <c r="M19" s="2038" t="inlineStr">
        <is>
          <t>NNN</t>
        </is>
      </c>
      <c r="N19" s="1565" t="n"/>
    </row>
    <row r="20">
      <c r="A20" s="2035" t="inlineStr">
        <is>
          <t>Base Annual Rent</t>
        </is>
      </c>
      <c r="B20" s="1565" t="n"/>
      <c r="C20" s="2037">
        <f>LA!C11</f>
        <v/>
      </c>
      <c r="D20" s="1565" t="n"/>
      <c r="E20" s="2037" t="n">
        <v>11</v>
      </c>
      <c r="F20" s="1565" t="n"/>
      <c r="G20" s="2037" t="n">
        <v>7.95</v>
      </c>
      <c r="H20" s="1565" t="n"/>
      <c r="I20" s="2037" t="n">
        <v>12</v>
      </c>
      <c r="J20" s="1565" t="n"/>
      <c r="K20" s="2037" t="n">
        <v>9.5</v>
      </c>
      <c r="L20" s="1565" t="n"/>
      <c r="M20" s="2038" t="n">
        <v>22</v>
      </c>
      <c r="N20" s="1565" t="n"/>
    </row>
    <row r="21">
      <c r="A21" s="2041" t="inlineStr">
        <is>
          <t>Expense Adjustments</t>
        </is>
      </c>
      <c r="B21" s="1610" t="n"/>
      <c r="C21" s="2037" t="inlineStr">
        <is>
          <t>N/A</t>
        </is>
      </c>
      <c r="D21" s="1565" t="n"/>
      <c r="E21" s="2037" t="n">
        <v>0</v>
      </c>
      <c r="F21" s="1565" t="n"/>
      <c r="G21" s="2037" t="n">
        <v>0</v>
      </c>
      <c r="H21" s="1565" t="n"/>
      <c r="I21" s="2037" t="n">
        <v>0</v>
      </c>
      <c r="J21" s="1565" t="n"/>
      <c r="K21" s="2042" t="n">
        <v>0</v>
      </c>
      <c r="L21" s="1610" t="n"/>
      <c r="M21" s="2043" t="n">
        <v>0</v>
      </c>
      <c r="N21" s="1610" t="n"/>
    </row>
    <row r="22" ht="15" customFormat="1" customHeight="1" s="5">
      <c r="A22" s="2044" t="inlineStr">
        <is>
          <t>Adjusted Rent (NNN)</t>
        </is>
      </c>
      <c r="B22" s="1600" t="n"/>
      <c r="C22" s="2045">
        <f>C20</f>
        <v/>
      </c>
      <c r="D22" s="1600" t="n"/>
      <c r="E22" s="2045">
        <f>E20+E21</f>
        <v/>
      </c>
      <c r="F22" s="1600" t="n"/>
      <c r="G22" s="2045">
        <f>G20+G21</f>
        <v/>
      </c>
      <c r="H22" s="1600" t="n"/>
      <c r="I22" s="2045">
        <f>I20+I21</f>
        <v/>
      </c>
      <c r="J22" s="1600" t="n"/>
      <c r="K22" s="2045">
        <f>K20+K21</f>
        <v/>
      </c>
      <c r="L22" s="1600" t="n"/>
      <c r="M22" s="2045">
        <f>M20+M21</f>
        <v/>
      </c>
      <c r="N22" s="1600" t="n"/>
    </row>
    <row r="23" customFormat="1" s="1614">
      <c r="A23" s="1613" t="inlineStr">
        <is>
          <t>Adjustments</t>
        </is>
      </c>
      <c r="C23" s="1615" t="inlineStr">
        <is>
          <t>Description</t>
        </is>
      </c>
      <c r="D23" s="1468" t="n"/>
      <c r="E23" s="1615" t="inlineStr">
        <is>
          <t>Description</t>
        </is>
      </c>
      <c r="F23" s="1615" t="inlineStr">
        <is>
          <t>Adj.</t>
        </is>
      </c>
      <c r="G23" s="1615" t="inlineStr">
        <is>
          <t>Description</t>
        </is>
      </c>
      <c r="H23" s="1615" t="inlineStr">
        <is>
          <t>Adj.</t>
        </is>
      </c>
      <c r="I23" s="1615" t="inlineStr">
        <is>
          <t>Description</t>
        </is>
      </c>
      <c r="J23" s="1615" t="inlineStr">
        <is>
          <t>Adj.</t>
        </is>
      </c>
      <c r="K23" s="1615" t="inlineStr">
        <is>
          <t>Description</t>
        </is>
      </c>
      <c r="L23" s="1615" t="inlineStr">
        <is>
          <t>Adj.</t>
        </is>
      </c>
      <c r="M23" s="793" t="inlineStr">
        <is>
          <t>Description</t>
        </is>
      </c>
      <c r="N23" s="799" t="inlineStr">
        <is>
          <t>Adj.</t>
        </is>
      </c>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n"/>
      <c r="CS23" s="11" t="n"/>
      <c r="CT23" s="11" t="n"/>
      <c r="CU23" s="11" t="n"/>
      <c r="CV23" s="11" t="n"/>
      <c r="CW23" s="11" t="n"/>
      <c r="CX23" s="11" t="n"/>
      <c r="CY23" s="11" t="n"/>
      <c r="CZ23" s="11" t="n"/>
      <c r="DA23" s="11" t="n"/>
      <c r="DB23" s="11" t="n"/>
      <c r="DC23" s="11" t="n"/>
      <c r="DD23" s="11" t="n"/>
      <c r="DE23" s="11" t="n"/>
      <c r="DF23" s="11" t="n"/>
      <c r="DG23" s="11" t="n"/>
      <c r="DH23" s="11" t="n"/>
      <c r="DI23" s="11" t="n"/>
      <c r="DJ23" s="11" t="n"/>
      <c r="DK23" s="11" t="n"/>
      <c r="DL23" s="11" t="n"/>
      <c r="DM23" s="11" t="n"/>
      <c r="DN23" s="11" t="n"/>
      <c r="DO23" s="11" t="n"/>
      <c r="DP23" s="11" t="n"/>
      <c r="DQ23" s="11" t="n"/>
      <c r="DR23" s="11" t="n"/>
      <c r="DS23" s="11" t="n"/>
      <c r="DT23" s="11" t="n"/>
      <c r="DU23" s="11" t="n"/>
      <c r="DV23" s="11" t="n"/>
      <c r="DW23" s="11" t="n"/>
      <c r="DX23" s="11" t="n"/>
      <c r="DY23" s="11" t="n"/>
      <c r="DZ23" s="11" t="n"/>
    </row>
    <row r="24">
      <c r="A24" s="1601" t="inlineStr">
        <is>
          <t>Market Trends</t>
        </is>
      </c>
      <c r="B24" s="1565" t="n"/>
      <c r="C24" s="1602" t="inlineStr">
        <is>
          <t>N/A</t>
        </is>
      </c>
      <c r="D24" s="1565" t="n"/>
      <c r="E24" s="2046">
        <f>E16</f>
        <v/>
      </c>
      <c r="F24" s="1345" t="n">
        <v>0</v>
      </c>
      <c r="G24" s="2046">
        <f>G16</f>
        <v/>
      </c>
      <c r="H24" s="1345" t="n">
        <v>0</v>
      </c>
      <c r="I24" s="2046">
        <f>I16</f>
        <v/>
      </c>
      <c r="J24" s="1345" t="n">
        <v>0</v>
      </c>
      <c r="K24" s="2046">
        <f>K16</f>
        <v/>
      </c>
      <c r="L24" s="1350" t="n">
        <v>0</v>
      </c>
      <c r="M24" s="2047">
        <f>M16</f>
        <v/>
      </c>
      <c r="N24" s="800" t="n">
        <v>0.1</v>
      </c>
    </row>
    <row r="25" ht="30" customHeight="1" s="1439">
      <c r="A25" s="1605" t="inlineStr">
        <is>
          <t>Economics/Tenancy</t>
        </is>
      </c>
      <c r="B25" s="1565" t="n"/>
      <c r="C25" s="1602" t="inlineStr">
        <is>
          <t>Industrial, Average Credit Risk</t>
        </is>
      </c>
      <c r="D25" s="1565" t="n"/>
      <c r="E25" s="2046" t="inlineStr">
        <is>
          <t>Industrial, Average Credit Risk</t>
        </is>
      </c>
      <c r="F25" s="1345" t="n">
        <v>0</v>
      </c>
      <c r="G25" s="2046" t="inlineStr">
        <is>
          <t>Industrial, Average Credit Risk</t>
        </is>
      </c>
      <c r="H25" s="1345" t="n">
        <v>0</v>
      </c>
      <c r="I25" s="2046" t="inlineStr">
        <is>
          <t>Industrial, Average Credit Risk</t>
        </is>
      </c>
      <c r="J25" s="1345" t="n">
        <v>0</v>
      </c>
      <c r="K25" s="2046" t="inlineStr">
        <is>
          <t>Industrial, Average Credit Risk</t>
        </is>
      </c>
      <c r="L25" s="1350" t="n">
        <v>0</v>
      </c>
      <c r="M25" s="2047" t="inlineStr">
        <is>
          <t>Local Tenant - Good Quality</t>
        </is>
      </c>
      <c r="N25" s="800" t="n">
        <v>0.1</v>
      </c>
    </row>
    <row r="26">
      <c r="A26" s="1601" t="inlineStr">
        <is>
          <t>Location</t>
        </is>
      </c>
      <c r="B26" s="1565" t="n"/>
      <c r="C26" s="1602">
        <f>Export030823!R2</f>
        <v/>
      </c>
      <c r="D26" s="1565" t="n"/>
      <c r="E26" s="1346" t="inlineStr">
        <is>
          <t>Average</t>
        </is>
      </c>
      <c r="F26" s="1345" t="n">
        <v>0</v>
      </c>
      <c r="G26" s="1346" t="inlineStr">
        <is>
          <t>Average</t>
        </is>
      </c>
      <c r="H26" s="1345" t="n">
        <v>0</v>
      </c>
      <c r="I26" s="1346" t="inlineStr">
        <is>
          <t>Average</t>
        </is>
      </c>
      <c r="J26" s="1345" t="n">
        <v>0</v>
      </c>
      <c r="K26" s="1346" t="inlineStr">
        <is>
          <t>Average</t>
        </is>
      </c>
      <c r="L26" s="1350" t="n">
        <v>0</v>
      </c>
      <c r="M26" s="494" t="n"/>
      <c r="N26" s="800" t="n">
        <v>0</v>
      </c>
    </row>
    <row r="27" ht="30" customHeight="1" s="1439">
      <c r="A27" s="1601" t="inlineStr">
        <is>
          <t>Age/Condition</t>
        </is>
      </c>
      <c r="B27" s="1565" t="n"/>
      <c r="C27" s="1621">
        <f>Export030823!T2</f>
        <v/>
      </c>
      <c r="D27" s="1565" t="n"/>
      <c r="E27" s="1346" t="inlineStr">
        <is>
          <t>1972/Average</t>
        </is>
      </c>
      <c r="F27" s="1345" t="n">
        <v>0</v>
      </c>
      <c r="G27" s="1346" t="inlineStr">
        <is>
          <t>1971/Fair</t>
        </is>
      </c>
      <c r="H27" s="1345" t="n">
        <v>0.1</v>
      </c>
      <c r="I27" s="1346" t="inlineStr">
        <is>
          <t>1922 (Ren.)/
Above-Average</t>
        </is>
      </c>
      <c r="J27" s="1345" t="n">
        <v>-0.05</v>
      </c>
      <c r="K27" s="1346" t="inlineStr">
        <is>
          <t>1954/Average</t>
        </is>
      </c>
      <c r="L27" s="1350" t="n">
        <v>0</v>
      </c>
      <c r="M27" s="494" t="inlineStr">
        <is>
          <t>2014 (Ren.)/Above-Average</t>
        </is>
      </c>
      <c r="N27" s="800" t="n">
        <v>0.1</v>
      </c>
    </row>
    <row r="28">
      <c r="A28" s="1601" t="inlineStr">
        <is>
          <t>Size (SF)</t>
        </is>
      </c>
      <c r="B28" s="1565" t="n"/>
      <c r="C28" s="1602">
        <f>C15</f>
        <v/>
      </c>
      <c r="D28" s="1565" t="n"/>
      <c r="E28" s="1346">
        <f>E15</f>
        <v/>
      </c>
      <c r="F28" s="1345" t="n">
        <v>0</v>
      </c>
      <c r="G28" s="1346">
        <f>G15</f>
        <v/>
      </c>
      <c r="H28" s="1345" t="n">
        <v>-0.05</v>
      </c>
      <c r="I28" s="1346">
        <f>I15</f>
        <v/>
      </c>
      <c r="J28" s="1345" t="n">
        <v>-0.05</v>
      </c>
      <c r="K28" s="1346">
        <f>K15</f>
        <v/>
      </c>
      <c r="L28" s="1350" t="n">
        <v>0</v>
      </c>
      <c r="M28" s="494">
        <f>M15</f>
        <v/>
      </c>
      <c r="N28" s="800" t="n">
        <v>-0.05</v>
      </c>
    </row>
    <row r="29" ht="24" customHeight="1" s="1439">
      <c r="A29" s="1601" t="inlineStr">
        <is>
          <t>Quality</t>
        </is>
      </c>
      <c r="B29" s="1565" t="n"/>
      <c r="C29" s="1621">
        <f>Export030823!U2</f>
        <v/>
      </c>
      <c r="D29" s="1565" t="n"/>
      <c r="E29" s="1347" t="inlineStr">
        <is>
          <t>Average</t>
        </is>
      </c>
      <c r="F29" s="1345" t="n">
        <v>0</v>
      </c>
      <c r="G29" s="1347" t="inlineStr">
        <is>
          <t>Average</t>
        </is>
      </c>
      <c r="H29" s="1345" t="n">
        <v>0</v>
      </c>
      <c r="I29" s="1347" t="inlineStr">
        <is>
          <t>Average</t>
        </is>
      </c>
      <c r="J29" s="1345" t="n">
        <v>0</v>
      </c>
      <c r="K29" s="1347" t="inlineStr">
        <is>
          <t>Average</t>
        </is>
      </c>
      <c r="L29" s="1350" t="n">
        <v>0</v>
      </c>
      <c r="M29" s="495" t="inlineStr">
        <is>
          <t>Good</t>
        </is>
      </c>
      <c r="N29" s="800" t="n">
        <v>0</v>
      </c>
    </row>
    <row r="30" customFormat="1" s="12">
      <c r="A30" s="1601" t="inlineStr">
        <is>
          <t>Land-To-Building Ratio</t>
        </is>
      </c>
      <c r="B30" s="1565" t="n"/>
      <c r="C30" s="1631">
        <f>Export030823!V2</f>
        <v/>
      </c>
      <c r="D30" s="1565" t="n"/>
      <c r="E30" s="1348">
        <f>75359/E9</f>
        <v/>
      </c>
      <c r="F30" s="1345" t="n">
        <v>0</v>
      </c>
      <c r="G30" s="1348">
        <f>143748/G9</f>
        <v/>
      </c>
      <c r="H30" s="1345" t="n">
        <v>0</v>
      </c>
      <c r="I30" s="1348">
        <f>87120/I9</f>
        <v/>
      </c>
      <c r="J30" s="1345" t="n">
        <v>0</v>
      </c>
      <c r="K30" s="1348">
        <f>91912/K9</f>
        <v/>
      </c>
      <c r="L30" s="1350" t="n">
        <v>0</v>
      </c>
      <c r="M30" s="496" t="n">
        <v>5.52</v>
      </c>
      <c r="N30" s="800" t="n">
        <v>-0.05</v>
      </c>
    </row>
    <row r="31" ht="35.25" customFormat="1" customHeight="1" s="12">
      <c r="A31" s="1609" t="inlineStr">
        <is>
          <t>Functional Utility</t>
        </is>
      </c>
      <c r="B31" s="1610" t="n"/>
      <c r="C31" s="1622">
        <f>Export030823!X2</f>
        <v/>
      </c>
      <c r="D31" s="1565" t="n"/>
      <c r="E31" s="1349" t="inlineStr">
        <is>
          <t>Good: I-3 Zoning</t>
        </is>
      </c>
      <c r="F31" s="1345" t="n">
        <v>-0.1</v>
      </c>
      <c r="G31" s="1349" t="inlineStr">
        <is>
          <t>Average</t>
        </is>
      </c>
      <c r="H31" s="1345" t="n">
        <v>0</v>
      </c>
      <c r="I31" s="1349" t="inlineStr">
        <is>
          <t>Above-Average: I-B Zoning</t>
        </is>
      </c>
      <c r="J31" s="1345" t="n">
        <v>-0.05</v>
      </c>
      <c r="K31" s="1349" t="inlineStr">
        <is>
          <t>Average</t>
        </is>
      </c>
      <c r="L31" s="1350" t="n">
        <v>0</v>
      </c>
      <c r="M31" s="497" t="inlineStr">
        <is>
          <t>Average</t>
        </is>
      </c>
      <c r="N31" s="800" t="n">
        <v>0</v>
      </c>
    </row>
    <row r="32" ht="12.75" customHeight="1" s="1439">
      <c r="A32" s="1598" t="inlineStr">
        <is>
          <t>Subtotal Net Adjustments</t>
        </is>
      </c>
      <c r="B32" s="1599" t="n"/>
      <c r="C32" s="1599" t="n"/>
      <c r="D32" s="1600" t="n"/>
      <c r="E32" s="2048" t="n"/>
      <c r="F32" s="499">
        <f>SUM(F24:F31)</f>
        <v/>
      </c>
      <c r="G32" s="2048" t="n"/>
      <c r="H32" s="499">
        <f>SUM(H24:H31)</f>
        <v/>
      </c>
      <c r="I32" s="2048" t="n"/>
      <c r="J32" s="499">
        <f>SUM(J24:J31)</f>
        <v/>
      </c>
      <c r="K32" s="2048" t="n"/>
      <c r="L32" s="499">
        <f>SUM(L24:L31)</f>
        <v/>
      </c>
      <c r="M32" s="2048" t="n"/>
      <c r="N32" s="499">
        <f>SUM(N24:N31)</f>
        <v/>
      </c>
    </row>
    <row r="33">
      <c r="A33" s="1598" t="inlineStr">
        <is>
          <t>Adjusted Lease Rate Per Square Foot</t>
        </is>
      </c>
      <c r="B33" s="1599" t="n"/>
      <c r="C33" s="1599" t="n"/>
      <c r="D33" s="1600" t="n"/>
      <c r="E33" s="2048" t="n"/>
      <c r="F33" s="2049">
        <f>+E22*(1+F32)</f>
        <v/>
      </c>
      <c r="G33" s="2048" t="n"/>
      <c r="H33" s="2049">
        <f>+G22*(1+H32)</f>
        <v/>
      </c>
      <c r="I33" s="2048" t="n"/>
      <c r="J33" s="2049">
        <f>+I22*(1+J32)</f>
        <v/>
      </c>
      <c r="K33" s="2048" t="n"/>
      <c r="L33" s="2049">
        <f>+K22*(1+L32)</f>
        <v/>
      </c>
      <c r="M33" s="2048" t="n"/>
      <c r="N33" s="2049">
        <f>+M22*(1+N32)</f>
        <v/>
      </c>
    </row>
    <row r="34">
      <c r="A34" s="6" t="n"/>
      <c r="B34" s="7" t="n"/>
      <c r="C34" s="7" t="n"/>
      <c r="D34" s="7" t="n"/>
      <c r="E34" s="2050" t="n"/>
      <c r="F34" s="2051" t="n"/>
      <c r="G34" s="2051" t="n"/>
      <c r="H34" s="2051" t="n"/>
      <c r="I34" s="2051" t="n"/>
      <c r="J34" s="2051" t="n"/>
      <c r="K34" s="2050" t="n"/>
      <c r="L34" s="2051" t="n"/>
      <c r="M34" s="2050" t="n"/>
      <c r="N34" s="2051" t="n"/>
    </row>
    <row r="35" hidden="1" ht="15" customHeight="1" s="1439">
      <c r="A35" s="6" t="n"/>
      <c r="B35" s="7" t="n"/>
      <c r="C35" s="7" t="n"/>
      <c r="D35" s="7" t="n"/>
      <c r="E35" s="2050" t="n"/>
      <c r="F35" s="2051" t="n"/>
      <c r="G35" s="2051" t="n"/>
      <c r="H35" s="2051" t="n"/>
      <c r="I35" s="2051" t="n"/>
      <c r="J35" s="2051" t="n"/>
      <c r="K35" s="2050" t="n"/>
      <c r="L35" s="2051" t="n"/>
      <c r="M35" s="2050" t="n"/>
      <c r="N35" s="2051" t="n"/>
    </row>
    <row r="36" hidden="1" s="1439">
      <c r="F36" s="2052">
        <f>F33</f>
        <v/>
      </c>
    </row>
    <row r="37" hidden="1" s="1439">
      <c r="F37" s="2052">
        <f>H33</f>
        <v/>
      </c>
    </row>
    <row r="38" hidden="1" s="1439">
      <c r="F38" s="2052">
        <f>J33</f>
        <v/>
      </c>
    </row>
    <row r="39" hidden="1" s="1439">
      <c r="F39" s="2052">
        <f>L33</f>
        <v/>
      </c>
    </row>
    <row r="40" hidden="1" s="1439"/>
    <row r="41">
      <c r="E41" s="358">
        <f>(E28-$C$28)/$C$28</f>
        <v/>
      </c>
      <c r="G41" s="358">
        <f>(G28-$C$28)/$C$28</f>
        <v/>
      </c>
      <c r="I41" s="358">
        <f>(I28-$C$28)/$C$28</f>
        <v/>
      </c>
      <c r="K41" s="358">
        <f>(K28-$C$28)/$C$28</f>
        <v/>
      </c>
    </row>
  </sheetData>
  <mergeCells count="143">
    <mergeCell ref="G21:H21"/>
    <mergeCell ref="C6:D6"/>
    <mergeCell ref="A15:B15"/>
    <mergeCell ref="C15:D15"/>
    <mergeCell ref="E8:F8"/>
    <mergeCell ref="I16:J16"/>
    <mergeCell ref="G18:H18"/>
    <mergeCell ref="A27:B27"/>
    <mergeCell ref="I18:J18"/>
    <mergeCell ref="M16:N16"/>
    <mergeCell ref="C27:D27"/>
    <mergeCell ref="M18:N18"/>
    <mergeCell ref="A17:B17"/>
    <mergeCell ref="C17:D17"/>
    <mergeCell ref="M8:N8"/>
    <mergeCell ref="A22:B22"/>
    <mergeCell ref="M17:N17"/>
    <mergeCell ref="G20:H20"/>
    <mergeCell ref="I20:J20"/>
    <mergeCell ref="A19:B19"/>
    <mergeCell ref="C19:D19"/>
    <mergeCell ref="A28:B28"/>
    <mergeCell ref="C28:D28"/>
    <mergeCell ref="M19:N19"/>
    <mergeCell ref="E22:F22"/>
    <mergeCell ref="A33:D33"/>
    <mergeCell ref="G22:H22"/>
    <mergeCell ref="A9:B9"/>
    <mergeCell ref="K13:L13"/>
    <mergeCell ref="C3:D3"/>
    <mergeCell ref="I13:J13"/>
    <mergeCell ref="E3:F3"/>
    <mergeCell ref="A30:B30"/>
    <mergeCell ref="C30:D30"/>
    <mergeCell ref="I6:J6"/>
    <mergeCell ref="I15:J15"/>
    <mergeCell ref="A11:B11"/>
    <mergeCell ref="K15:L15"/>
    <mergeCell ref="C5:D5"/>
    <mergeCell ref="E5:F5"/>
    <mergeCell ref="C14:D14"/>
    <mergeCell ref="E14:F14"/>
    <mergeCell ref="C4:D4"/>
    <mergeCell ref="K21:L21"/>
    <mergeCell ref="E4:F4"/>
    <mergeCell ref="G7:H7"/>
    <mergeCell ref="I7:J7"/>
    <mergeCell ref="M13:N13"/>
    <mergeCell ref="M7:N7"/>
    <mergeCell ref="A26:B26"/>
    <mergeCell ref="M21:N21"/>
    <mergeCell ref="I8:J8"/>
    <mergeCell ref="A8:B8"/>
    <mergeCell ref="I17:J17"/>
    <mergeCell ref="C8:D8"/>
    <mergeCell ref="K17:L17"/>
    <mergeCell ref="E16:F16"/>
    <mergeCell ref="G16:H16"/>
    <mergeCell ref="A10:B10"/>
    <mergeCell ref="I19:J19"/>
    <mergeCell ref="K19:L19"/>
    <mergeCell ref="C18:D18"/>
    <mergeCell ref="K6:L6"/>
    <mergeCell ref="G9:H9"/>
    <mergeCell ref="E18:F18"/>
    <mergeCell ref="I9:J9"/>
    <mergeCell ref="K3:L3"/>
    <mergeCell ref="K16:L16"/>
    <mergeCell ref="K9:L9"/>
    <mergeCell ref="K5:L5"/>
    <mergeCell ref="M9:N9"/>
    <mergeCell ref="M5:N5"/>
    <mergeCell ref="C20:D20"/>
    <mergeCell ref="E20:F20"/>
    <mergeCell ref="C29:D29"/>
    <mergeCell ref="E13:F13"/>
    <mergeCell ref="C22:D22"/>
    <mergeCell ref="G13:H13"/>
    <mergeCell ref="C31:D31"/>
    <mergeCell ref="A3:B3"/>
    <mergeCell ref="A12:B12"/>
    <mergeCell ref="I21:J21"/>
    <mergeCell ref="C12:D12"/>
    <mergeCell ref="A21:B21"/>
    <mergeCell ref="E6:F6"/>
    <mergeCell ref="M15:N15"/>
    <mergeCell ref="C21:D21"/>
    <mergeCell ref="E15:F15"/>
    <mergeCell ref="K8:L8"/>
    <mergeCell ref="G15:H15"/>
    <mergeCell ref="A2:N2"/>
    <mergeCell ref="A5:B5"/>
    <mergeCell ref="A14:B14"/>
    <mergeCell ref="A23:B23"/>
    <mergeCell ref="C23:D23"/>
    <mergeCell ref="A4:B4"/>
    <mergeCell ref="K7:L7"/>
    <mergeCell ref="C7:D7"/>
    <mergeCell ref="E7:F7"/>
    <mergeCell ref="K18:L18"/>
    <mergeCell ref="A32:D32"/>
    <mergeCell ref="A24:B24"/>
    <mergeCell ref="C24:D24"/>
    <mergeCell ref="G8:H8"/>
    <mergeCell ref="E17:F17"/>
    <mergeCell ref="C26:D26"/>
    <mergeCell ref="A6:B6"/>
    <mergeCell ref="G17:H17"/>
    <mergeCell ref="A16:B16"/>
    <mergeCell ref="K20:L20"/>
    <mergeCell ref="C16:D16"/>
    <mergeCell ref="M20:N20"/>
    <mergeCell ref="A25:B25"/>
    <mergeCell ref="C25:D25"/>
    <mergeCell ref="E19:F19"/>
    <mergeCell ref="G19:H19"/>
    <mergeCell ref="I22:J22"/>
    <mergeCell ref="G6:H6"/>
    <mergeCell ref="C9:D9"/>
    <mergeCell ref="K22:L22"/>
    <mergeCell ref="E9:F9"/>
    <mergeCell ref="A18:B18"/>
    <mergeCell ref="M22:N22"/>
    <mergeCell ref="G3:H3"/>
    <mergeCell ref="I3:J3"/>
    <mergeCell ref="M6:N6"/>
    <mergeCell ref="G5:H5"/>
    <mergeCell ref="I5:J5"/>
    <mergeCell ref="G14:H14"/>
    <mergeCell ref="M3:N3"/>
    <mergeCell ref="I14:J14"/>
    <mergeCell ref="K14:L14"/>
    <mergeCell ref="G4:H4"/>
    <mergeCell ref="A20:B20"/>
    <mergeCell ref="I4:J4"/>
    <mergeCell ref="A29:B29"/>
    <mergeCell ref="M14:N14"/>
    <mergeCell ref="A13:B13"/>
    <mergeCell ref="C13:D13"/>
    <mergeCell ref="K4:L4"/>
    <mergeCell ref="A31:B31"/>
    <mergeCell ref="M4:N4"/>
    <mergeCell ref="E21:F21"/>
  </mergeCells>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C3:R27"/>
  <sheetViews>
    <sheetView showGridLines="0" workbookViewId="0">
      <selection activeCell="J16" sqref="J16"/>
    </sheetView>
  </sheetViews>
  <sheetFormatPr baseColWidth="8" defaultRowHeight="15"/>
  <cols>
    <col width="5.7109375" customWidth="1" style="1439" min="3" max="3"/>
    <col width="8.7109375" customWidth="1" style="1439" min="4" max="4"/>
    <col width="28.7109375" customWidth="1" style="1439" min="5" max="5"/>
    <col width="9.42578125" bestFit="1" customWidth="1" style="1439" min="8" max="8"/>
    <col width="11.5703125" bestFit="1" customWidth="1" style="1439" min="15" max="15"/>
    <col width="11.140625" customWidth="1" style="1439" min="16" max="16"/>
    <col width="11.42578125" customWidth="1" style="1439" min="17" max="17"/>
    <col hidden="1" width="13" customWidth="1" style="1439" min="18" max="18"/>
  </cols>
  <sheetData>
    <row r="3">
      <c r="C3" s="1552" t="inlineStr">
        <is>
          <t xml:space="preserve"> SUMMARY OF IMPROVED SALES</t>
        </is>
      </c>
    </row>
    <row r="4" ht="39" customHeight="1" s="1439">
      <c r="C4" s="1640" t="inlineStr">
        <is>
          <t>No.</t>
        </is>
      </c>
      <c r="D4" s="1640" t="inlineStr">
        <is>
          <t>Type</t>
        </is>
      </c>
      <c r="E4" s="69" t="inlineStr">
        <is>
          <t>Property Type / Location</t>
        </is>
      </c>
      <c r="F4" s="182" t="inlineStr">
        <is>
          <t>Date of
Sale</t>
        </is>
      </c>
      <c r="G4" s="182" t="inlineStr">
        <is>
          <t>Property Rights</t>
        </is>
      </c>
      <c r="H4" s="182" t="inlineStr">
        <is>
          <t>Year
Built</t>
        </is>
      </c>
      <c r="I4" s="182" t="inlineStr">
        <is>
          <t>Bldg. Size 
(SF)</t>
        </is>
      </c>
      <c r="J4" s="182" t="inlineStr">
        <is>
          <t>Site Size
(SF)
(Acres)</t>
        </is>
      </c>
      <c r="K4" s="182" t="inlineStr">
        <is>
          <t>Building Footprint</t>
        </is>
      </c>
      <c r="L4" s="191" t="inlineStr">
        <is>
          <t>Coverage Ratio</t>
        </is>
      </c>
      <c r="M4" s="182" t="inlineStr">
        <is>
          <t>Percent Office</t>
        </is>
      </c>
      <c r="N4" s="182" t="inlineStr">
        <is>
          <t>Clear
Heights (ft.)</t>
        </is>
      </c>
      <c r="O4" s="192" t="inlineStr">
        <is>
          <t>Occupancy</t>
        </is>
      </c>
      <c r="P4" s="182" t="inlineStr">
        <is>
          <t>Sale Price</t>
        </is>
      </c>
      <c r="Q4" s="182" t="inlineStr">
        <is>
          <t>Price PSF</t>
        </is>
      </c>
      <c r="R4" s="193" t="inlineStr">
        <is>
          <t>Overall Rate</t>
        </is>
      </c>
    </row>
    <row r="5" ht="12" customHeight="1" s="1439">
      <c r="C5" s="309">
        <f>ROW()-4</f>
        <v/>
      </c>
      <c r="D5" s="309" t="inlineStr">
        <is>
          <t>Sale</t>
        </is>
      </c>
      <c r="E5" s="310" t="inlineStr">
        <is>
          <t xml:space="preserve">Industrial </t>
        </is>
      </c>
      <c r="F5" s="2053" t="n">
        <v>42705</v>
      </c>
      <c r="G5" s="2054" t="inlineStr">
        <is>
          <t>Fee Simple</t>
        </is>
      </c>
      <c r="H5" s="1634" t="n">
        <v>2007</v>
      </c>
      <c r="I5" s="313" t="n">
        <v>25540</v>
      </c>
      <c r="J5" s="314" t="n">
        <v>214163</v>
      </c>
      <c r="K5" s="1638" t="n">
        <v>25540</v>
      </c>
      <c r="L5" s="315">
        <f>K5/J5</f>
        <v/>
      </c>
      <c r="M5" s="316" t="n">
        <v>0.14</v>
      </c>
      <c r="N5" s="317" t="inlineStr">
        <is>
          <t>20'</t>
        </is>
      </c>
      <c r="O5" s="318" t="inlineStr">
        <is>
          <t>Vacant at TOS</t>
        </is>
      </c>
      <c r="P5" s="2055" t="n">
        <v>1800000</v>
      </c>
      <c r="Q5" s="2056">
        <f>P5/I5</f>
        <v/>
      </c>
      <c r="R5" s="295" t="inlineStr">
        <is>
          <t>N/A</t>
        </is>
      </c>
    </row>
    <row r="6" ht="12" customHeight="1" s="1439">
      <c r="C6" s="309" t="n"/>
      <c r="D6" s="309" t="n"/>
      <c r="E6" s="310" t="inlineStr">
        <is>
          <t>61 Chimuza Road</t>
        </is>
      </c>
      <c r="F6" s="2057" t="n"/>
      <c r="G6" s="2054" t="n"/>
      <c r="I6" s="322" t="n"/>
      <c r="J6" s="323">
        <f>J5/43560</f>
        <v/>
      </c>
      <c r="L6" s="315" t="n"/>
      <c r="M6" s="316" t="n"/>
      <c r="N6" s="317" t="n"/>
      <c r="O6" s="318" t="n"/>
      <c r="P6" s="2058" t="n"/>
      <c r="Q6" s="2056" t="n"/>
      <c r="R6" s="295" t="n"/>
    </row>
    <row r="7" ht="12" customHeight="1" s="1439">
      <c r="C7" s="309" t="n"/>
      <c r="D7" s="309" t="n"/>
      <c r="E7" s="310" t="inlineStr">
        <is>
          <t>Rock Springs, Wyoming</t>
        </is>
      </c>
      <c r="F7" s="2053" t="n"/>
      <c r="G7" s="2059" t="n"/>
      <c r="H7" s="1634" t="n"/>
      <c r="I7" s="313" t="n"/>
      <c r="J7" s="323" t="n"/>
      <c r="K7" s="1638" t="n"/>
      <c r="L7" s="315" t="n"/>
      <c r="M7" s="316" t="n"/>
      <c r="N7" s="317" t="n"/>
      <c r="O7" s="318" t="n"/>
      <c r="P7" s="2058" t="n"/>
      <c r="Q7" s="2056" t="n"/>
      <c r="R7" s="295" t="n"/>
    </row>
    <row r="8" ht="12" customHeight="1" s="1439">
      <c r="C8" s="309" t="n"/>
      <c r="D8" s="309" t="n"/>
      <c r="E8" s="310" t="n"/>
      <c r="F8" s="2060" t="n"/>
      <c r="G8" s="2061" t="n"/>
      <c r="H8" s="330" t="inlineStr">
        <is>
          <t> </t>
        </is>
      </c>
      <c r="I8" s="314" t="inlineStr">
        <is>
          <t> </t>
        </is>
      </c>
      <c r="J8" s="331" t="n"/>
      <c r="K8" s="332" t="inlineStr">
        <is>
          <t> </t>
        </is>
      </c>
      <c r="L8" s="333" t="n"/>
      <c r="M8" s="334" t="n"/>
      <c r="N8" s="335" t="n"/>
      <c r="O8" s="336" t="inlineStr">
        <is>
          <t> </t>
        </is>
      </c>
      <c r="P8" s="2058" t="n"/>
      <c r="Q8" s="2056" t="n"/>
      <c r="R8" s="295" t="inlineStr">
        <is>
          <t> </t>
        </is>
      </c>
    </row>
    <row r="9" ht="12" customHeight="1" s="1439">
      <c r="C9" s="309" t="n">
        <v>2</v>
      </c>
      <c r="D9" s="309" t="inlineStr">
        <is>
          <t>Sale</t>
        </is>
      </c>
      <c r="E9" s="310" t="inlineStr">
        <is>
          <t xml:space="preserve">Industrial </t>
        </is>
      </c>
      <c r="F9" s="2053" t="n">
        <v>42583</v>
      </c>
      <c r="G9" s="2059" t="inlineStr">
        <is>
          <t>Fee Simple</t>
        </is>
      </c>
      <c r="H9" s="1634" t="n">
        <v>2005</v>
      </c>
      <c r="I9" s="313" t="n">
        <v>13100</v>
      </c>
      <c r="J9" s="314" t="n">
        <v>138956</v>
      </c>
      <c r="K9" s="1638" t="n">
        <v>13100</v>
      </c>
      <c r="L9" s="315">
        <f>K9/J9</f>
        <v/>
      </c>
      <c r="M9" s="316" t="n">
        <v>0.21</v>
      </c>
      <c r="N9" s="317" t="inlineStr">
        <is>
          <t>20'</t>
        </is>
      </c>
      <c r="O9" s="318" t="inlineStr">
        <is>
          <t>Vacant at TOS</t>
        </is>
      </c>
      <c r="P9" s="2055" t="n">
        <v>1350000</v>
      </c>
      <c r="Q9" s="2056">
        <f>P9/I9</f>
        <v/>
      </c>
      <c r="R9" s="295" t="inlineStr">
        <is>
          <t>N/A</t>
        </is>
      </c>
    </row>
    <row r="10" ht="12" customHeight="1" s="1439">
      <c r="C10" s="309" t="n"/>
      <c r="D10" s="309" t="n"/>
      <c r="E10" s="310" t="inlineStr">
        <is>
          <t>1751 Blairtown Road</t>
        </is>
      </c>
      <c r="F10" s="2053" t="n"/>
      <c r="G10" s="2059" t="n"/>
      <c r="H10" s="1634" t="n"/>
      <c r="I10" s="313" t="n"/>
      <c r="J10" s="323">
        <f>J9/43560</f>
        <v/>
      </c>
      <c r="K10" s="1638" t="n"/>
      <c r="L10" s="315" t="n"/>
      <c r="M10" s="316" t="n"/>
      <c r="N10" s="317" t="n"/>
      <c r="O10" s="318" t="n"/>
      <c r="P10" s="2055" t="n"/>
      <c r="Q10" s="2056" t="n"/>
      <c r="R10" s="295" t="n"/>
    </row>
    <row r="11" ht="12" customHeight="1" s="1439">
      <c r="C11" s="309" t="n"/>
      <c r="D11" s="309" t="n"/>
      <c r="E11" s="310" t="inlineStr">
        <is>
          <t>Rock Springs, Wyoming</t>
        </is>
      </c>
      <c r="F11" s="2053" t="n"/>
      <c r="G11" s="2059" t="n"/>
      <c r="H11" s="1634" t="n"/>
      <c r="I11" s="313" t="n"/>
      <c r="J11" s="323" t="n"/>
      <c r="K11" s="1638" t="n"/>
      <c r="L11" s="315" t="n"/>
      <c r="M11" s="316" t="n"/>
      <c r="N11" s="317" t="n"/>
      <c r="O11" s="318" t="n"/>
      <c r="P11" s="2055" t="n"/>
      <c r="Q11" s="2056" t="n"/>
      <c r="R11" s="295" t="n"/>
    </row>
    <row r="12" ht="12" customHeight="1" s="1439">
      <c r="C12" s="309" t="n"/>
      <c r="D12" s="309" t="n"/>
      <c r="E12" s="310" t="n"/>
      <c r="F12" s="2060" t="n"/>
      <c r="G12" s="2060" t="n"/>
      <c r="H12" s="330" t="inlineStr">
        <is>
          <t> </t>
        </is>
      </c>
      <c r="I12" s="332" t="inlineStr">
        <is>
          <t> </t>
        </is>
      </c>
      <c r="J12" s="314" t="n"/>
      <c r="K12" s="332" t="inlineStr">
        <is>
          <t> </t>
        </is>
      </c>
      <c r="L12" s="333" t="n"/>
      <c r="M12" s="337" t="n"/>
      <c r="N12" s="337" t="n"/>
      <c r="O12" s="336" t="inlineStr">
        <is>
          <t> </t>
        </is>
      </c>
      <c r="P12" s="2062" t="n"/>
      <c r="Q12" s="2056" t="n"/>
      <c r="R12" s="295" t="inlineStr">
        <is>
          <t> </t>
        </is>
      </c>
    </row>
    <row r="13" ht="12" customHeight="1" s="1439">
      <c r="C13" s="309" t="n">
        <v>3</v>
      </c>
      <c r="D13" s="309" t="inlineStr">
        <is>
          <t>Sale</t>
        </is>
      </c>
      <c r="E13" s="310" t="inlineStr">
        <is>
          <t xml:space="preserve">Industrial </t>
        </is>
      </c>
      <c r="F13" s="2053" t="n">
        <v>42461</v>
      </c>
      <c r="G13" s="2059" t="inlineStr">
        <is>
          <t>Fee Simple</t>
        </is>
      </c>
      <c r="H13" s="1634" t="n">
        <v>1981</v>
      </c>
      <c r="I13" s="313" t="n">
        <v>8000</v>
      </c>
      <c r="J13" s="314" t="n">
        <v>50006</v>
      </c>
      <c r="K13" s="1638" t="n">
        <v>8000</v>
      </c>
      <c r="L13" s="315">
        <f>K13/J13</f>
        <v/>
      </c>
      <c r="M13" s="316" t="n">
        <v>0.1</v>
      </c>
      <c r="N13" s="317" t="inlineStr">
        <is>
          <t>16'</t>
        </is>
      </c>
      <c r="O13" s="318" t="inlineStr">
        <is>
          <t>Vacant at TOS</t>
        </is>
      </c>
      <c r="P13" s="2055" t="n">
        <v>530000</v>
      </c>
      <c r="Q13" s="2056">
        <f>P13/I13</f>
        <v/>
      </c>
      <c r="R13" s="295" t="n">
        <v>0.074</v>
      </c>
    </row>
    <row r="14" ht="12" customHeight="1" s="1439">
      <c r="C14" s="309" t="n"/>
      <c r="D14" s="309" t="n"/>
      <c r="E14" s="310" t="inlineStr">
        <is>
          <t>6 Bowker Road</t>
        </is>
      </c>
      <c r="F14" s="2053" t="n"/>
      <c r="G14" s="2059" t="n"/>
      <c r="H14" s="1634" t="n"/>
      <c r="I14" s="313" t="n"/>
      <c r="J14" s="323">
        <f>J13/43560</f>
        <v/>
      </c>
      <c r="K14" s="1638" t="n"/>
      <c r="L14" s="315" t="n"/>
      <c r="M14" s="316" t="n"/>
      <c r="N14" s="317" t="n"/>
      <c r="O14" s="318" t="n"/>
      <c r="P14" s="2055" t="n"/>
      <c r="Q14" s="2056" t="n"/>
      <c r="R14" s="295" t="n"/>
    </row>
    <row r="15" ht="12" customHeight="1" s="1439">
      <c r="C15" s="309" t="n"/>
      <c r="D15" s="309" t="n"/>
      <c r="E15" s="310" t="inlineStr">
        <is>
          <t>Rock Springs, Wyoming</t>
        </is>
      </c>
      <c r="F15" s="2053" t="n"/>
      <c r="G15" s="2059" t="n"/>
      <c r="H15" s="1634" t="n"/>
      <c r="I15" s="313" t="n"/>
      <c r="J15" s="323" t="n"/>
      <c r="K15" s="1638" t="n"/>
      <c r="L15" s="315" t="n"/>
      <c r="M15" s="316" t="n"/>
      <c r="N15" s="317" t="n"/>
      <c r="O15" s="318" t="n"/>
      <c r="P15" s="2055" t="n"/>
      <c r="Q15" s="2056" t="n"/>
      <c r="R15" s="295" t="n"/>
    </row>
    <row r="16" ht="12" customHeight="1" s="1439">
      <c r="C16" s="309" t="n"/>
      <c r="D16" s="309" t="n"/>
      <c r="E16" s="310" t="n"/>
      <c r="F16" s="2060" t="n"/>
      <c r="G16" s="2060" t="n"/>
      <c r="H16" s="330" t="inlineStr">
        <is>
          <t> </t>
        </is>
      </c>
      <c r="I16" s="332" t="inlineStr">
        <is>
          <t> </t>
        </is>
      </c>
      <c r="J16" s="314" t="n"/>
      <c r="K16" s="332" t="inlineStr">
        <is>
          <t> </t>
        </is>
      </c>
      <c r="L16" s="333" t="n"/>
      <c r="M16" s="337" t="n"/>
      <c r="N16" s="337" t="n"/>
      <c r="O16" s="336" t="inlineStr">
        <is>
          <t> </t>
        </is>
      </c>
      <c r="P16" s="2062" t="n"/>
      <c r="Q16" s="2056" t="n"/>
      <c r="R16" s="295" t="inlineStr">
        <is>
          <t> </t>
        </is>
      </c>
    </row>
    <row r="17" ht="12" customHeight="1" s="1439">
      <c r="C17" s="309" t="n">
        <v>4</v>
      </c>
      <c r="D17" s="309" t="inlineStr">
        <is>
          <t>Sale</t>
        </is>
      </c>
      <c r="E17" s="310" t="inlineStr">
        <is>
          <t>Industrial</t>
        </is>
      </c>
      <c r="F17" s="2053" t="n">
        <v>42430</v>
      </c>
      <c r="G17" s="2059" t="inlineStr">
        <is>
          <t>Fee Simple</t>
        </is>
      </c>
      <c r="H17" s="1634" t="n">
        <v>1979</v>
      </c>
      <c r="I17" s="313" t="n">
        <v>5300</v>
      </c>
      <c r="J17" s="314" t="n">
        <v>87555</v>
      </c>
      <c r="K17" s="1638" t="n">
        <v>5300</v>
      </c>
      <c r="L17" s="315">
        <f>K17/J17</f>
        <v/>
      </c>
      <c r="M17" s="316" t="n">
        <v>0.15</v>
      </c>
      <c r="N17" s="317" t="inlineStr">
        <is>
          <t>16'</t>
        </is>
      </c>
      <c r="O17" s="318" t="inlineStr">
        <is>
          <t>Vacant at TOS</t>
        </is>
      </c>
      <c r="P17" s="2055" t="n">
        <v>417000</v>
      </c>
      <c r="Q17" s="2056">
        <f>P17/I17</f>
        <v/>
      </c>
      <c r="R17" s="295" t="n">
        <v>0.065</v>
      </c>
    </row>
    <row r="18" ht="12" customHeight="1" s="1439">
      <c r="C18" s="309" t="n"/>
      <c r="D18" s="309" t="n"/>
      <c r="E18" s="310" t="inlineStr">
        <is>
          <t>1931 Yellowstone Road</t>
        </is>
      </c>
      <c r="F18" s="2053" t="n"/>
      <c r="G18" s="2059" t="n"/>
      <c r="H18" s="1634" t="n"/>
      <c r="I18" s="313" t="n"/>
      <c r="J18" s="323">
        <f>J17/43560</f>
        <v/>
      </c>
      <c r="K18" s="1638" t="n"/>
      <c r="L18" s="315" t="n"/>
      <c r="M18" s="316" t="n"/>
      <c r="N18" s="317" t="n"/>
      <c r="O18" s="318" t="n"/>
      <c r="P18" s="2055" t="n"/>
      <c r="Q18" s="2056" t="n"/>
      <c r="R18" s="295" t="n"/>
    </row>
    <row r="19" ht="12" customHeight="1" s="1439">
      <c r="C19" s="309" t="n"/>
      <c r="D19" s="309" t="n"/>
      <c r="E19" s="310" t="inlineStr">
        <is>
          <t>Rock Springs, Wyoming</t>
        </is>
      </c>
      <c r="F19" s="2053" t="n"/>
      <c r="G19" s="2059" t="n"/>
      <c r="H19" s="1634" t="n"/>
      <c r="I19" s="313" t="n"/>
      <c r="J19" s="323" t="n"/>
      <c r="K19" s="1638" t="n"/>
      <c r="L19" s="315" t="n"/>
      <c r="M19" s="316" t="n"/>
      <c r="N19" s="317" t="n"/>
      <c r="O19" s="318" t="n"/>
      <c r="P19" s="2055" t="n"/>
      <c r="Q19" s="2056" t="n"/>
      <c r="R19" s="295" t="n"/>
    </row>
    <row r="20" ht="12" customHeight="1" s="1439">
      <c r="C20" s="309" t="n"/>
      <c r="D20" s="309" t="n"/>
      <c r="E20" s="310" t="n"/>
      <c r="F20" s="2053" t="n"/>
      <c r="G20" s="2059" t="n"/>
      <c r="H20" s="1634" t="n"/>
      <c r="I20" s="313" t="n"/>
      <c r="J20" s="323" t="n"/>
      <c r="K20" s="1638" t="n"/>
      <c r="L20" s="315" t="n"/>
      <c r="M20" s="316" t="n"/>
      <c r="N20" s="317" t="n"/>
      <c r="O20" s="318" t="n"/>
      <c r="P20" s="2055" t="n"/>
      <c r="Q20" s="2056" t="n"/>
      <c r="R20" s="295" t="n"/>
    </row>
    <row r="21" ht="12" customHeight="1" s="1439">
      <c r="C21" s="309" t="n">
        <v>5</v>
      </c>
      <c r="D21" s="309" t="inlineStr">
        <is>
          <t>Sale</t>
        </is>
      </c>
      <c r="E21" s="310" t="inlineStr">
        <is>
          <t xml:space="preserve">Industrial </t>
        </is>
      </c>
      <c r="F21" s="2053" t="n">
        <v>42401</v>
      </c>
      <c r="G21" s="2059" t="inlineStr">
        <is>
          <t>Fee Simple</t>
        </is>
      </c>
      <c r="H21" s="1634" t="n">
        <v>1978</v>
      </c>
      <c r="I21" s="313" t="n">
        <v>7500</v>
      </c>
      <c r="J21" s="314" t="n">
        <v>29620</v>
      </c>
      <c r="K21" s="1638" t="n">
        <v>7500</v>
      </c>
      <c r="L21" s="315">
        <f>K21/J21</f>
        <v/>
      </c>
      <c r="M21" s="316" t="n">
        <v>0.15</v>
      </c>
      <c r="N21" s="317" t="inlineStr">
        <is>
          <t>18'</t>
        </is>
      </c>
      <c r="O21" s="318" t="inlineStr">
        <is>
          <t>Vacant at TOS</t>
        </is>
      </c>
      <c r="P21" s="2055" t="n">
        <v>400000</v>
      </c>
      <c r="Q21" s="2056">
        <f>P21/I21</f>
        <v/>
      </c>
      <c r="R21" s="295" t="n">
        <v>0.055</v>
      </c>
    </row>
    <row r="22" ht="12" customHeight="1" s="1439">
      <c r="C22" s="309" t="n"/>
      <c r="D22" s="309" t="n"/>
      <c r="E22" s="310" t="inlineStr">
        <is>
          <t>60 Signal Road</t>
        </is>
      </c>
      <c r="F22" s="2053" t="n"/>
      <c r="G22" s="2059" t="n"/>
      <c r="H22" s="1634" t="n"/>
      <c r="I22" s="313" t="n"/>
      <c r="J22" s="323">
        <f>J21/43560</f>
        <v/>
      </c>
      <c r="K22" s="1638" t="n"/>
      <c r="L22" s="315" t="n"/>
      <c r="M22" s="316" t="n"/>
      <c r="N22" s="317" t="n"/>
      <c r="O22" s="318" t="n"/>
      <c r="P22" s="2055" t="n"/>
      <c r="Q22" s="2056" t="n"/>
      <c r="R22" s="295" t="n"/>
    </row>
    <row r="23" ht="12" customHeight="1" s="1439">
      <c r="C23" s="309" t="n"/>
      <c r="D23" s="309" t="n"/>
      <c r="E23" s="310" t="inlineStr">
        <is>
          <t>Rock Springs, Wyoming</t>
        </is>
      </c>
      <c r="F23" s="2053" t="n"/>
      <c r="G23" s="2059" t="n"/>
      <c r="H23" s="1634" t="n"/>
      <c r="I23" s="313" t="n"/>
      <c r="J23" s="323" t="n"/>
      <c r="K23" s="1638" t="n"/>
      <c r="L23" s="315" t="n"/>
      <c r="M23" s="316" t="n"/>
      <c r="N23" s="317" t="n"/>
      <c r="O23" s="318" t="n"/>
      <c r="P23" s="2055" t="n"/>
      <c r="Q23" s="2056" t="n"/>
      <c r="R23" s="295" t="n"/>
    </row>
    <row r="24" ht="12" customHeight="1" s="1439">
      <c r="C24" s="309" t="n"/>
      <c r="D24" s="309" t="n"/>
      <c r="E24" s="310" t="n"/>
      <c r="F24" s="2053" t="n"/>
      <c r="G24" s="2059" t="n"/>
      <c r="H24" s="1634" t="n"/>
      <c r="I24" s="313" t="n"/>
      <c r="J24" s="323" t="n"/>
      <c r="K24" s="1638" t="n"/>
      <c r="L24" s="315" t="n"/>
      <c r="M24" s="316" t="n"/>
      <c r="N24" s="317" t="n"/>
      <c r="O24" s="318" t="n"/>
      <c r="P24" s="2055" t="n"/>
      <c r="Q24" s="2056" t="n"/>
      <c r="R24" s="295" t="n"/>
    </row>
    <row r="25" ht="12.75" customHeight="1" s="1439">
      <c r="C25" s="194" t="inlineStr">
        <is>
          <t>Subj.</t>
        </is>
      </c>
      <c r="D25" s="194" t="n"/>
      <c r="E25" s="284">
        <f>'Property Info'!B15</f>
        <v/>
      </c>
      <c r="F25" s="2063" t="n"/>
      <c r="G25" s="194" t="n"/>
      <c r="H25" s="1636">
        <f>'Property Info'!B8</f>
        <v/>
      </c>
      <c r="I25" s="1635">
        <f>'Property Info'!B4</f>
        <v/>
      </c>
      <c r="J25" s="286">
        <f>'Property Info'!B11</f>
        <v/>
      </c>
      <c r="K25" s="1637">
        <f>'Property Info'!B5</f>
        <v/>
      </c>
      <c r="L25" s="287">
        <f>'Property Info'!B13</f>
        <v/>
      </c>
      <c r="M25" s="288">
        <f>'Property Info'!B14</f>
        <v/>
      </c>
      <c r="N25" s="289" t="inlineStr"/>
      <c r="O25" s="288">
        <f>'Property Info'!B19</f>
        <v/>
      </c>
      <c r="P25" s="2064" t="n"/>
      <c r="Q25" s="2065" t="n"/>
      <c r="R25" s="197" t="n"/>
    </row>
    <row r="26" ht="12.75" customHeight="1" s="1439">
      <c r="C26" s="198" t="n"/>
      <c r="D26" s="198" t="n"/>
      <c r="E26" s="290">
        <f>'Property Info'!B16</f>
        <v/>
      </c>
      <c r="F26" s="291" t="n"/>
      <c r="G26" s="291" t="n"/>
      <c r="J26" s="292">
        <f>'Property Info'!B12</f>
        <v/>
      </c>
      <c r="L26" s="291" t="n"/>
      <c r="M26" s="291" t="n"/>
      <c r="N26" s="291" t="n"/>
      <c r="O26" s="291" t="n"/>
      <c r="P26" s="198" t="n"/>
      <c r="Q26" s="198" t="n"/>
      <c r="R26" s="198" t="n"/>
    </row>
    <row r="27" ht="12.75" customHeight="1" s="1439">
      <c r="C27" s="199" t="n"/>
      <c r="D27" s="199" t="n"/>
      <c r="E27" s="293">
        <f>'Property Info'!B17</f>
        <v/>
      </c>
      <c r="F27" s="294" t="n"/>
      <c r="G27" s="294" t="n"/>
      <c r="H27" s="1458" t="n"/>
      <c r="I27" s="1458" t="n"/>
      <c r="J27" s="294" t="n"/>
      <c r="K27" s="1458" t="n"/>
      <c r="L27" s="294" t="n"/>
      <c r="M27" s="294" t="n"/>
      <c r="N27" s="294" t="n"/>
      <c r="O27" s="294" t="n"/>
      <c r="P27" s="199" t="n"/>
      <c r="Q27" s="199" t="n"/>
      <c r="R27" s="199" t="n"/>
    </row>
  </sheetData>
  <mergeCells count="6">
    <mergeCell ref="H5:H6"/>
    <mergeCell ref="I25:I27"/>
    <mergeCell ref="H25:H27"/>
    <mergeCell ref="C3:R3"/>
    <mergeCell ref="K25:K27"/>
    <mergeCell ref="K5:K6"/>
  </mergeCells>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C2:AA35"/>
  <sheetViews>
    <sheetView showGridLines="0" workbookViewId="0">
      <selection activeCell="AC33" sqref="AC33"/>
    </sheetView>
  </sheetViews>
  <sheetFormatPr baseColWidth="8" defaultRowHeight="15"/>
  <cols>
    <col width="30" customWidth="1" style="1439" min="3" max="3"/>
    <col hidden="1" width="13" customWidth="1" style="1439" min="4" max="12"/>
    <col hidden="1" width="13" customWidth="1" style="1439" min="19" max="24"/>
    <col hidden="1" width="9.140625" customWidth="1" style="1439" min="27" max="27"/>
  </cols>
  <sheetData>
    <row r="2">
      <c r="C2" s="1639" t="inlineStr">
        <is>
          <t>HISTORICAL OPERATING ANALYSIS</t>
        </is>
      </c>
    </row>
    <row r="3">
      <c r="C3" s="1383" t="n"/>
      <c r="D3" s="1384" t="n"/>
      <c r="E3" s="1384" t="n"/>
      <c r="F3" s="1384" t="n"/>
      <c r="G3" s="1384" t="n"/>
      <c r="H3" s="1384" t="n"/>
      <c r="I3" s="1384" t="n"/>
      <c r="J3" s="1385" t="n"/>
      <c r="K3" s="1385" t="n"/>
      <c r="L3" s="1384" t="n"/>
      <c r="M3" s="1385" t="n"/>
      <c r="N3" s="1385" t="n"/>
      <c r="O3" s="1384" t="n"/>
      <c r="P3" s="2066" t="n"/>
      <c r="Q3" s="1385" t="n"/>
      <c r="R3" s="1387" t="n"/>
      <c r="S3" s="17" t="n"/>
      <c r="T3" s="17" t="n"/>
      <c r="U3" s="16" t="n"/>
      <c r="V3" s="17" t="n"/>
      <c r="W3" s="18" t="n"/>
      <c r="X3" s="19" t="n"/>
      <c r="AA3" s="67">
        <f>LA!C5</f>
        <v/>
      </c>
    </row>
    <row r="4">
      <c r="C4" s="1388" t="n"/>
      <c r="D4" s="1389" t="n">
        <v>2013</v>
      </c>
      <c r="E4" s="1389" t="n"/>
      <c r="F4" s="1390" t="n"/>
      <c r="G4" s="1389" t="n">
        <v>2014</v>
      </c>
      <c r="H4" s="1389" t="n"/>
      <c r="I4" s="1390" t="n"/>
      <c r="J4" s="1389" t="n">
        <v>2015</v>
      </c>
      <c r="K4" s="1389" t="n"/>
      <c r="L4" s="1391" t="n"/>
      <c r="M4" s="1389" t="n">
        <v>2016</v>
      </c>
      <c r="N4" s="1389" t="n"/>
      <c r="O4" s="1391" t="n"/>
      <c r="P4" s="1389" t="n">
        <v>2017</v>
      </c>
      <c r="Q4" s="1389" t="n"/>
      <c r="R4" s="1391" t="n"/>
      <c r="S4" s="17" t="inlineStr">
        <is>
          <t>Budget</t>
        </is>
      </c>
      <c r="T4" s="17" t="n"/>
      <c r="U4" s="20" t="n"/>
      <c r="V4" s="17" t="inlineStr">
        <is>
          <t>BBG Projection*</t>
        </is>
      </c>
      <c r="W4" s="17" t="n"/>
      <c r="X4" s="21" t="n"/>
    </row>
    <row r="5">
      <c r="C5" s="1388" t="n"/>
      <c r="D5" s="1391" t="inlineStr">
        <is>
          <t>Total</t>
        </is>
      </c>
      <c r="E5" s="1391" t="inlineStr">
        <is>
          <t>per SF</t>
        </is>
      </c>
      <c r="F5" s="1391" t="n"/>
      <c r="G5" s="1391" t="inlineStr">
        <is>
          <t>Total</t>
        </is>
      </c>
      <c r="H5" s="1391" t="inlineStr">
        <is>
          <t>per SF</t>
        </is>
      </c>
      <c r="I5" s="1391" t="n"/>
      <c r="J5" s="1391" t="inlineStr">
        <is>
          <t>Total</t>
        </is>
      </c>
      <c r="K5" s="1391" t="inlineStr">
        <is>
          <t>per SF</t>
        </is>
      </c>
      <c r="L5" s="1391" t="n"/>
      <c r="M5" s="1391" t="inlineStr">
        <is>
          <t>Total</t>
        </is>
      </c>
      <c r="N5" s="1391" t="inlineStr">
        <is>
          <t>per SF</t>
        </is>
      </c>
      <c r="O5" s="1391" t="n"/>
      <c r="P5" s="1391" t="inlineStr">
        <is>
          <t>Total</t>
        </is>
      </c>
      <c r="Q5" s="1391" t="inlineStr">
        <is>
          <t>per SF</t>
        </is>
      </c>
      <c r="R5" s="1391" t="n"/>
      <c r="S5" s="20" t="inlineStr">
        <is>
          <t>Total</t>
        </is>
      </c>
      <c r="T5" s="20" t="inlineStr">
        <is>
          <t>per SF</t>
        </is>
      </c>
      <c r="U5" s="20" t="n"/>
      <c r="V5" s="20" t="inlineStr">
        <is>
          <t>Total</t>
        </is>
      </c>
      <c r="W5" s="20" t="inlineStr">
        <is>
          <t>per SF</t>
        </is>
      </c>
      <c r="X5" s="1640" t="n"/>
    </row>
    <row r="6">
      <c r="C6" s="24" t="inlineStr">
        <is>
          <t>Rental Income</t>
        </is>
      </c>
      <c r="D6" s="2067">
        <f>SUMIF(Category,$B6,AMTY1)</f>
        <v/>
      </c>
      <c r="E6" s="2068">
        <f>D6/NRA</f>
        <v/>
      </c>
      <c r="F6" s="27" t="n"/>
      <c r="G6" s="2067">
        <f>SUMIF(Category,$B6,AMTY2)</f>
        <v/>
      </c>
      <c r="H6" s="1880">
        <f>G6/NRA</f>
        <v/>
      </c>
      <c r="I6" s="27" t="n"/>
      <c r="J6" s="2067">
        <f>SUMIF(Category,$B6,AMTY3)</f>
        <v/>
      </c>
      <c r="K6" s="1880">
        <f>J6/NRA</f>
        <v/>
      </c>
      <c r="L6" s="27" t="n"/>
      <c r="M6" s="2067" t="n">
        <v>122101.44</v>
      </c>
      <c r="N6" s="2069">
        <f>M6/$AA$3</f>
        <v/>
      </c>
      <c r="O6" s="2067" t="n"/>
      <c r="P6" s="2067" t="n">
        <v>185866.52</v>
      </c>
      <c r="Q6" s="2069">
        <f>P6/$AA$3</f>
        <v/>
      </c>
      <c r="R6" s="27" t="n"/>
      <c r="S6" s="2067">
        <f>SUMIF(Category,$B6,AmtBdgt)</f>
        <v/>
      </c>
      <c r="T6" s="1880">
        <f>S6/NRA</f>
        <v/>
      </c>
      <c r="U6" s="27" t="n"/>
      <c r="V6" s="2070">
        <f>[3]ProForma!C3</f>
        <v/>
      </c>
      <c r="W6" s="2071">
        <f>V6/NRA</f>
        <v/>
      </c>
      <c r="X6" s="2072" t="n"/>
    </row>
    <row r="7">
      <c r="C7" s="24" t="inlineStr">
        <is>
          <t>Operating Expense Recoveries</t>
        </is>
      </c>
      <c r="D7" s="32">
        <f>SUMIF(Category,$B7,AMTY1)</f>
        <v/>
      </c>
      <c r="E7" s="2068">
        <f>D7/NRA</f>
        <v/>
      </c>
      <c r="F7" s="27" t="n"/>
      <c r="G7" s="32">
        <f>SUMIF(Category,$B7,AMTY2)</f>
        <v/>
      </c>
      <c r="H7" s="1880">
        <f>G7/NRA</f>
        <v/>
      </c>
      <c r="I7" s="27" t="n"/>
      <c r="J7" s="32">
        <f>SUMIF(Category,$B7,AMTY3)</f>
        <v/>
      </c>
      <c r="K7" s="1880">
        <f>J7/NRA</f>
        <v/>
      </c>
      <c r="L7" s="27" t="n"/>
      <c r="M7" s="2067" t="n">
        <v>80407.75999999999</v>
      </c>
      <c r="N7" s="2069">
        <f>M7/$AA$3</f>
        <v/>
      </c>
      <c r="O7" s="2067" t="n"/>
      <c r="P7" s="2067" t="n">
        <v>101239</v>
      </c>
      <c r="Q7" s="2069">
        <f>P7/$AA$3</f>
        <v/>
      </c>
      <c r="R7" s="27" t="n"/>
      <c r="S7" s="32">
        <f>SUMIF(Category,$B7,AmtBdgt)</f>
        <v/>
      </c>
      <c r="T7" s="1880">
        <f>S7/NRA</f>
        <v/>
      </c>
      <c r="U7" s="27" t="n"/>
      <c r="V7" s="33">
        <f>[3]ProForma!C4</f>
        <v/>
      </c>
      <c r="W7" s="2071">
        <f>V7/NRA</f>
        <v/>
      </c>
      <c r="X7" s="34" t="n"/>
    </row>
    <row r="8" hidden="1" s="1439">
      <c r="C8" s="24" t="inlineStr">
        <is>
          <t>Parking</t>
        </is>
      </c>
      <c r="D8" s="32">
        <f>SUMIF(Category,$B8,AMTY1)</f>
        <v/>
      </c>
      <c r="E8" s="2068">
        <f>D8/NRA</f>
        <v/>
      </c>
      <c r="F8" s="27" t="n"/>
      <c r="G8" s="32">
        <f>SUMIF(Category,$B8,AMTY2)</f>
        <v/>
      </c>
      <c r="H8" s="1880">
        <f>G8/NRA</f>
        <v/>
      </c>
      <c r="I8" s="27" t="n"/>
      <c r="J8" s="32">
        <f>SUMIF(Category,$B8,AMTY3)</f>
        <v/>
      </c>
      <c r="K8" s="1880">
        <f>J8/NRA</f>
        <v/>
      </c>
      <c r="L8" s="27" t="n"/>
      <c r="M8" s="32">
        <f>SUMIF(Category,$B8,AMTY4)</f>
        <v/>
      </c>
      <c r="N8" s="1880">
        <f>M8/$AA$3</f>
        <v/>
      </c>
      <c r="O8" s="27" t="n"/>
      <c r="P8" s="32">
        <f>SUMIF(Category,$B8,AMTY5)</f>
        <v/>
      </c>
      <c r="Q8" s="1880">
        <f>P8/$AA$3</f>
        <v/>
      </c>
      <c r="R8" s="27" t="n"/>
      <c r="S8" s="32">
        <f>SUMIF(Category,$B8,AmtBdgt)</f>
        <v/>
      </c>
      <c r="T8" s="1880">
        <f>S8/NRA</f>
        <v/>
      </c>
      <c r="U8" s="27" t="n"/>
      <c r="V8" s="33">
        <f>W8*NRA</f>
        <v/>
      </c>
      <c r="W8" s="2073" t="n">
        <v>0</v>
      </c>
      <c r="X8" s="34" t="n"/>
    </row>
    <row r="9" hidden="1" s="1439">
      <c r="C9" s="24" t="inlineStr">
        <is>
          <t>Late Charges</t>
        </is>
      </c>
      <c r="D9" s="32">
        <f>SUMIF(Category,$B9,AMTY1)</f>
        <v/>
      </c>
      <c r="E9" s="2068">
        <f>D9/NRA</f>
        <v/>
      </c>
      <c r="F9" s="27" t="n"/>
      <c r="G9" s="32">
        <f>SUMIF(Category,$B9,AMTY2)</f>
        <v/>
      </c>
      <c r="H9" s="1880">
        <f>G9/NRA</f>
        <v/>
      </c>
      <c r="I9" s="27" t="n"/>
      <c r="J9" s="32">
        <f>SUMIF(Category,$B9,AMTY3)</f>
        <v/>
      </c>
      <c r="K9" s="1880">
        <f>J9/NRA</f>
        <v/>
      </c>
      <c r="L9" s="27" t="n"/>
      <c r="M9" s="32">
        <f>SUMIF(Category,$B9,AMTY4)</f>
        <v/>
      </c>
      <c r="N9" s="1880">
        <f>M9/$AA$3</f>
        <v/>
      </c>
      <c r="O9" s="27" t="n"/>
      <c r="P9" s="32">
        <f>SUMIF(Category,$B9,AMTY5)</f>
        <v/>
      </c>
      <c r="Q9" s="1880">
        <f>P9/$AA$3</f>
        <v/>
      </c>
      <c r="R9" s="27" t="n"/>
      <c r="S9" s="32">
        <f>SUMIF(Category,$B9,AmtBdgt)</f>
        <v/>
      </c>
      <c r="T9" s="1880">
        <f>S9/NRA</f>
        <v/>
      </c>
      <c r="U9" s="27" t="n"/>
      <c r="V9" s="33">
        <f>W9*NRA</f>
        <v/>
      </c>
      <c r="W9" s="2073" t="n">
        <v>0</v>
      </c>
      <c r="X9" s="34" t="n"/>
    </row>
    <row r="10" hidden="1" s="1439">
      <c r="C10" s="24" t="inlineStr">
        <is>
          <t>NSF Fee Income</t>
        </is>
      </c>
      <c r="D10" s="32">
        <f>SUMIF(Category,$B10,AMTY1)</f>
        <v/>
      </c>
      <c r="E10" s="2068">
        <f>D10/NRA</f>
        <v/>
      </c>
      <c r="F10" s="27" t="n"/>
      <c r="G10" s="32">
        <f>SUMIF(Category,$B10,AMTY2)</f>
        <v/>
      </c>
      <c r="H10" s="1880">
        <f>G10/NRA</f>
        <v/>
      </c>
      <c r="I10" s="27" t="n"/>
      <c r="J10" s="32">
        <f>SUMIF(Category,$B10,AMTY3)</f>
        <v/>
      </c>
      <c r="K10" s="1880">
        <f>J10/NRA</f>
        <v/>
      </c>
      <c r="L10" s="27" t="n"/>
      <c r="M10" s="32">
        <f>SUMIF(Category,$B10,AMTY4)</f>
        <v/>
      </c>
      <c r="N10" s="1880">
        <f>M10/$AA$3</f>
        <v/>
      </c>
      <c r="O10" s="27" t="n"/>
      <c r="P10" s="32">
        <f>SUMIF(Category,$B10,AMTY5)</f>
        <v/>
      </c>
      <c r="Q10" s="1880">
        <f>P10/$AA$3</f>
        <v/>
      </c>
      <c r="R10" s="27" t="n"/>
      <c r="S10" s="32">
        <f>SUMIF(Category,$B10,AmtBdgt)</f>
        <v/>
      </c>
      <c r="T10" s="1880">
        <f>S10/NRA</f>
        <v/>
      </c>
      <c r="U10" s="27" t="n"/>
      <c r="V10" s="33">
        <f>W10*NRA</f>
        <v/>
      </c>
      <c r="W10" s="2073" t="n">
        <v>0</v>
      </c>
      <c r="X10" s="34" t="n"/>
    </row>
    <row r="11" hidden="1" s="1439">
      <c r="C11" s="24" t="inlineStr">
        <is>
          <t>Keys, Lock, Lock Charge</t>
        </is>
      </c>
      <c r="D11" s="32">
        <f>SUMIF(Category,$B11,AMTY1)</f>
        <v/>
      </c>
      <c r="E11" s="2068">
        <f>D11/NRA</f>
        <v/>
      </c>
      <c r="F11" s="27" t="n"/>
      <c r="G11" s="32">
        <f>SUMIF(Category,$B11,AMTY2)</f>
        <v/>
      </c>
      <c r="H11" s="1880">
        <f>G11/NRA</f>
        <v/>
      </c>
      <c r="I11" s="27" t="n"/>
      <c r="J11" s="32">
        <f>SUMIF(Category,$B11,AMTY3)</f>
        <v/>
      </c>
      <c r="K11" s="1880">
        <f>J11/NRA</f>
        <v/>
      </c>
      <c r="L11" s="27" t="n"/>
      <c r="M11" s="32">
        <f>SUMIF(Category,$B11,AMTY4)</f>
        <v/>
      </c>
      <c r="N11" s="1880">
        <f>M11/$AA$3</f>
        <v/>
      </c>
      <c r="O11" s="27" t="n"/>
      <c r="P11" s="32">
        <f>SUMIF(Category,$B11,AMTY5)</f>
        <v/>
      </c>
      <c r="Q11" s="1880">
        <f>P11/$AA$3</f>
        <v/>
      </c>
      <c r="R11" s="27" t="n"/>
      <c r="S11" s="32">
        <f>SUMIF(Category,$B11,AmtBdgt)</f>
        <v/>
      </c>
      <c r="T11" s="1880">
        <f>S11/NRA</f>
        <v/>
      </c>
      <c r="U11" s="27" t="n"/>
      <c r="V11" s="33">
        <f>W11*NRA</f>
        <v/>
      </c>
      <c r="W11" s="2073" t="n">
        <v>0</v>
      </c>
      <c r="X11" s="34" t="n"/>
    </row>
    <row r="12" hidden="1" s="1439">
      <c r="C12" s="24" t="inlineStr">
        <is>
          <t>Lease Termination Fee Income</t>
        </is>
      </c>
      <c r="D12" s="32">
        <f>SUMIF(Category,$B12,AMTY1)</f>
        <v/>
      </c>
      <c r="E12" s="2068">
        <f>D12/NRA</f>
        <v/>
      </c>
      <c r="F12" s="27" t="n"/>
      <c r="G12" s="32">
        <f>SUMIF(Category,$B12,AMTY2)</f>
        <v/>
      </c>
      <c r="H12" s="1880">
        <f>G12/NRA</f>
        <v/>
      </c>
      <c r="I12" s="27" t="n"/>
      <c r="J12" s="32">
        <f>SUMIF(Category,$B12,AMTY3)</f>
        <v/>
      </c>
      <c r="K12" s="1880">
        <f>J12/NRA</f>
        <v/>
      </c>
      <c r="L12" s="27" t="n"/>
      <c r="M12" s="32">
        <f>SUMIF(Category,$B12,AMTY4)</f>
        <v/>
      </c>
      <c r="N12" s="1880">
        <f>M12/$AA$3</f>
        <v/>
      </c>
      <c r="O12" s="27" t="n"/>
      <c r="P12" s="32">
        <f>SUMIF(Category,$B12,AMTY5)</f>
        <v/>
      </c>
      <c r="Q12" s="1880">
        <f>P12/$AA$3</f>
        <v/>
      </c>
      <c r="R12" s="27" t="n"/>
      <c r="S12" s="32">
        <f>SUMIF(Category,$B12,AmtBdgt)</f>
        <v/>
      </c>
      <c r="T12" s="1880">
        <f>S12/NRA</f>
        <v/>
      </c>
      <c r="U12" s="27" t="n"/>
      <c r="V12" s="33">
        <f>W12*NRA</f>
        <v/>
      </c>
      <c r="W12" s="2073" t="n">
        <v>0</v>
      </c>
      <c r="X12" s="34" t="n"/>
    </row>
    <row r="13" hidden="1" s="1439">
      <c r="C13" s="24" t="inlineStr">
        <is>
          <t>Legal and Collection Fee Income</t>
        </is>
      </c>
      <c r="D13" s="32">
        <f>SUMIF(Category,$B13,AMTY1)</f>
        <v/>
      </c>
      <c r="E13" s="2068">
        <f>D13/NRA</f>
        <v/>
      </c>
      <c r="F13" s="27" t="n"/>
      <c r="G13" s="32">
        <f>SUMIF(Category,$B13,AMTY2)</f>
        <v/>
      </c>
      <c r="H13" s="1880">
        <f>G13/NRA</f>
        <v/>
      </c>
      <c r="I13" s="27" t="n"/>
      <c r="J13" s="32">
        <f>SUMIF(Category,$B13,AMTY3)</f>
        <v/>
      </c>
      <c r="K13" s="1880">
        <f>J13/NRA</f>
        <v/>
      </c>
      <c r="L13" s="27" t="n"/>
      <c r="M13" s="32">
        <f>SUMIF(Category,$B13,AMTY4)</f>
        <v/>
      </c>
      <c r="N13" s="1880">
        <f>M13/$AA$3</f>
        <v/>
      </c>
      <c r="O13" s="27" t="n"/>
      <c r="P13" s="32">
        <f>SUMIF(Category,$B13,AMTY5)</f>
        <v/>
      </c>
      <c r="Q13" s="1880">
        <f>P13/$AA$3</f>
        <v/>
      </c>
      <c r="R13" s="27" t="n"/>
      <c r="S13" s="32">
        <f>SUMIF(Category,$B13,AmtBdgt)</f>
        <v/>
      </c>
      <c r="T13" s="1880">
        <f>S13/NRA</f>
        <v/>
      </c>
      <c r="U13" s="27" t="n"/>
      <c r="V13" s="33">
        <f>W13*NRA</f>
        <v/>
      </c>
      <c r="W13" s="2073" t="n">
        <v>0</v>
      </c>
      <c r="X13" s="34" t="n"/>
    </row>
    <row r="14" hidden="1" s="1439">
      <c r="C14" s="24" t="inlineStr">
        <is>
          <t>Storage Space Rental</t>
        </is>
      </c>
      <c r="D14" s="32">
        <f>SUMIF(Category,$B14,AMTY1)</f>
        <v/>
      </c>
      <c r="E14" s="2068">
        <f>D14/NRA</f>
        <v/>
      </c>
      <c r="F14" s="27" t="n"/>
      <c r="G14" s="32">
        <f>SUMIF(Category,$B14,AMTY2)</f>
        <v/>
      </c>
      <c r="H14" s="1880">
        <f>G14/NRA</f>
        <v/>
      </c>
      <c r="I14" s="27" t="n"/>
      <c r="J14" s="32">
        <f>SUMIF(Category,$B14,AMTY3)</f>
        <v/>
      </c>
      <c r="K14" s="1880">
        <f>J14/NRA</f>
        <v/>
      </c>
      <c r="L14" s="27" t="n"/>
      <c r="M14" s="32">
        <f>SUMIF(Category,$B14,AMTY4)</f>
        <v/>
      </c>
      <c r="N14" s="1880">
        <f>M14/$AA$3</f>
        <v/>
      </c>
      <c r="O14" s="27" t="n"/>
      <c r="P14" s="32">
        <f>SUMIF(Category,$B14,AMTY5)</f>
        <v/>
      </c>
      <c r="Q14" s="1880">
        <f>P14/$AA$3</f>
        <v/>
      </c>
      <c r="R14" s="27" t="n"/>
      <c r="S14" s="32">
        <f>SUMIF(Category,$B14,AmtBdgt)</f>
        <v/>
      </c>
      <c r="T14" s="1880">
        <f>S14/NRA</f>
        <v/>
      </c>
      <c r="U14" s="27" t="n"/>
      <c r="V14" s="33">
        <f>W14*NRA</f>
        <v/>
      </c>
      <c r="W14" s="2073" t="n">
        <v>0</v>
      </c>
      <c r="X14" s="34" t="n"/>
    </row>
    <row r="15" hidden="1" s="1439">
      <c r="C15" s="24" t="inlineStr">
        <is>
          <t>Miscellaneous</t>
        </is>
      </c>
      <c r="D15" s="32">
        <f>SUMIF(Category,$B15,AMTY1)</f>
        <v/>
      </c>
      <c r="E15" s="2068">
        <f>D15/NRA</f>
        <v/>
      </c>
      <c r="F15" s="27" t="n"/>
      <c r="G15" s="32">
        <f>SUMIF(Category,$B15,AMTY2)</f>
        <v/>
      </c>
      <c r="H15" s="1880">
        <f>G15/NRA</f>
        <v/>
      </c>
      <c r="I15" s="27" t="n"/>
      <c r="J15" s="32">
        <f>SUMIF(Category,$B15,AMTY3)</f>
        <v/>
      </c>
      <c r="K15" s="1880">
        <f>J15/NRA</f>
        <v/>
      </c>
      <c r="L15" s="27" t="n"/>
      <c r="M15" s="32">
        <f>SUMIF(Category,$B15,AMTY4)</f>
        <v/>
      </c>
      <c r="N15" s="1880">
        <f>M15/$AA$3</f>
        <v/>
      </c>
      <c r="O15" s="27" t="n"/>
      <c r="P15" s="32">
        <f>SUMIF(Category,$B15,AMTY5)</f>
        <v/>
      </c>
      <c r="Q15" s="1880">
        <f>P15/$AA$3</f>
        <v/>
      </c>
      <c r="R15" s="27" t="n"/>
      <c r="S15" s="32">
        <f>SUMIF(Category,$B15,AmtBdgt)</f>
        <v/>
      </c>
      <c r="T15" s="1880">
        <f>S15/NRA</f>
        <v/>
      </c>
      <c r="U15" s="27" t="n"/>
      <c r="V15" s="33">
        <f>[3]ProForma!C7</f>
        <v/>
      </c>
      <c r="W15" s="2071">
        <f>V15/NRA</f>
        <v/>
      </c>
      <c r="X15" s="34" t="n"/>
    </row>
    <row r="16" hidden="1" s="1439">
      <c r="C16" s="3" t="inlineStr">
        <is>
          <t>Total Potential Gross Income</t>
        </is>
      </c>
      <c r="D16" s="2074">
        <f>SUM(D6:D15)</f>
        <v/>
      </c>
      <c r="E16" s="2075">
        <f>D16/NRA</f>
        <v/>
      </c>
      <c r="F16" s="38" t="n"/>
      <c r="G16" s="2074">
        <f>SUM(G6:G15)</f>
        <v/>
      </c>
      <c r="H16" s="1884">
        <f>G16/NRA</f>
        <v/>
      </c>
      <c r="I16" s="38" t="n"/>
      <c r="J16" s="2074">
        <f>SUM(J6:J15)</f>
        <v/>
      </c>
      <c r="K16" s="1884">
        <f>J16/NRA</f>
        <v/>
      </c>
      <c r="L16" s="38" t="n"/>
      <c r="M16" s="2074">
        <f>SUM(M6:M15)</f>
        <v/>
      </c>
      <c r="N16" s="1880">
        <f>M16/$AA$3</f>
        <v/>
      </c>
      <c r="O16" s="38" t="n"/>
      <c r="P16" s="2074">
        <f>SUM(P6:P15)</f>
        <v/>
      </c>
      <c r="Q16" s="1880">
        <f>P16/$AA$3</f>
        <v/>
      </c>
      <c r="R16" s="38" t="n"/>
      <c r="S16" s="2074">
        <f>SUM(S6:S15)</f>
        <v/>
      </c>
      <c r="T16" s="1884">
        <f>S16/NRA</f>
        <v/>
      </c>
      <c r="U16" s="38" t="n"/>
      <c r="V16" s="2074">
        <f>SUM(V6:V15)</f>
        <v/>
      </c>
      <c r="W16" s="1884">
        <f>V16/NRA</f>
        <v/>
      </c>
      <c r="X16" s="2076" t="n"/>
    </row>
    <row r="17" hidden="1" s="1439">
      <c r="C17" s="3" t="n"/>
      <c r="D17" s="2067" t="n"/>
      <c r="E17" s="2068" t="n"/>
      <c r="F17" s="27" t="n"/>
      <c r="G17" s="2067" t="n"/>
      <c r="H17" s="1880" t="n"/>
      <c r="I17" s="27" t="n"/>
      <c r="J17" s="2067" t="n"/>
      <c r="K17" s="1880" t="n"/>
      <c r="L17" s="27" t="n"/>
      <c r="M17" s="2067" t="n"/>
      <c r="N17" s="1880">
        <f>M17/$AA$3</f>
        <v/>
      </c>
      <c r="O17" s="27" t="n"/>
      <c r="P17" s="2067" t="n"/>
      <c r="Q17" s="1880">
        <f>P17/$AA$3</f>
        <v/>
      </c>
      <c r="R17" s="27" t="n"/>
      <c r="S17" s="2067" t="n"/>
      <c r="T17" s="1880" t="n"/>
      <c r="U17" s="27" t="n"/>
      <c r="V17" s="2077" t="n"/>
      <c r="W17" s="1880" t="n"/>
      <c r="X17" s="2072" t="n"/>
    </row>
    <row r="18" hidden="1" s="1439">
      <c r="C18" s="24" t="inlineStr">
        <is>
          <t>Physical Vacancy</t>
        </is>
      </c>
      <c r="D18" s="32">
        <f>SUMIF(Category,$B18,AMTY1)</f>
        <v/>
      </c>
      <c r="E18" s="2068">
        <f>D18/NRA</f>
        <v/>
      </c>
      <c r="F18" s="27" t="n"/>
      <c r="G18" s="32">
        <f>SUMIF(Category,$B18,AMTY2)</f>
        <v/>
      </c>
      <c r="H18" s="1880">
        <f>G18/NRA</f>
        <v/>
      </c>
      <c r="I18" s="27" t="n"/>
      <c r="J18" s="32">
        <f>SUMIF(Category,$B18,AMTY3)</f>
        <v/>
      </c>
      <c r="K18" s="1880">
        <f>J18/NRA</f>
        <v/>
      </c>
      <c r="L18" s="27" t="n"/>
      <c r="M18" s="32">
        <f>SUMIF(Category,$B18,AMTY4)</f>
        <v/>
      </c>
      <c r="N18" s="1880">
        <f>M18/$AA$3</f>
        <v/>
      </c>
      <c r="O18" s="27" t="n"/>
      <c r="P18" s="32">
        <f>SUMIF(Category,$B18,AMTY5)</f>
        <v/>
      </c>
      <c r="Q18" s="1880">
        <f>P18/$AA$3</f>
        <v/>
      </c>
      <c r="R18" s="27" t="n"/>
      <c r="S18" s="32">
        <f>SUMIF(Category,$B18,AmtBdgt)</f>
        <v/>
      </c>
      <c r="T18" s="1880">
        <f>S18/NRA</f>
        <v/>
      </c>
      <c r="U18" s="27" t="n"/>
      <c r="V18" s="33" t="n"/>
      <c r="W18" s="2071" t="n"/>
      <c r="X18" s="2072" t="n"/>
    </row>
    <row r="19" hidden="1" s="1439">
      <c r="C19" s="24" t="inlineStr">
        <is>
          <t>Bad Debt / Collection Loss</t>
        </is>
      </c>
      <c r="D19" s="32">
        <f>SUMIF(Category,$B19,AMTY1)</f>
        <v/>
      </c>
      <c r="E19" s="2068">
        <f>D19/NRA</f>
        <v/>
      </c>
      <c r="F19" s="27" t="n"/>
      <c r="G19" s="32">
        <f>SUMIF(Category,$B19,AMTY2)</f>
        <v/>
      </c>
      <c r="H19" s="1880">
        <f>G19/NRA</f>
        <v/>
      </c>
      <c r="I19" s="27" t="n"/>
      <c r="J19" s="32">
        <f>SUMIF(Category,$B19,AMTY3)</f>
        <v/>
      </c>
      <c r="K19" s="1880">
        <f>J19/NRA</f>
        <v/>
      </c>
      <c r="L19" s="27" t="n"/>
      <c r="M19" s="32">
        <f>SUMIF(Category,$B19,AMTY4)</f>
        <v/>
      </c>
      <c r="N19" s="1880">
        <f>M19/$AA$3</f>
        <v/>
      </c>
      <c r="O19" s="27" t="n"/>
      <c r="P19" s="32">
        <f>SUMIF(Category,$B19,AMTY5)</f>
        <v/>
      </c>
      <c r="Q19" s="1880">
        <f>P19/$AA$3</f>
        <v/>
      </c>
      <c r="R19" s="27" t="n"/>
      <c r="S19" s="32">
        <f>SUMIF(Category,$B19,AmtBdgt)</f>
        <v/>
      </c>
      <c r="T19" s="1880">
        <f>S19/NRA</f>
        <v/>
      </c>
      <c r="U19" s="27" t="n"/>
      <c r="V19" s="33" t="n"/>
      <c r="W19" s="2071" t="n"/>
      <c r="X19" s="2072" t="n"/>
    </row>
    <row r="20" hidden="1" s="1439">
      <c r="C20" s="24" t="inlineStr">
        <is>
          <t>Concessions</t>
        </is>
      </c>
      <c r="D20" s="32">
        <f>SUMIF(Category,$B20,AMTY1)</f>
        <v/>
      </c>
      <c r="E20" s="2068">
        <f>D20/NRA</f>
        <v/>
      </c>
      <c r="F20" s="27" t="n"/>
      <c r="G20" s="32">
        <f>SUMIF(Category,$B20,AMTY2)</f>
        <v/>
      </c>
      <c r="H20" s="1880">
        <f>G20/NRA</f>
        <v/>
      </c>
      <c r="I20" s="27" t="n"/>
      <c r="J20" s="32">
        <f>SUMIF(Category,$B20,AMTY3)</f>
        <v/>
      </c>
      <c r="K20" s="1880">
        <f>J20/NRA</f>
        <v/>
      </c>
      <c r="L20" s="27" t="n"/>
      <c r="M20" s="32">
        <f>SUMIF(Category,$B20,AMTY4)</f>
        <v/>
      </c>
      <c r="N20" s="1880">
        <f>M20/$AA$3</f>
        <v/>
      </c>
      <c r="O20" s="27" t="n"/>
      <c r="P20" s="32">
        <f>SUMIF(Category,$B20,AMTY5)</f>
        <v/>
      </c>
      <c r="Q20" s="1880">
        <f>P20/$AA$3</f>
        <v/>
      </c>
      <c r="R20" s="27" t="n"/>
      <c r="S20" s="32">
        <f>SUMIF(Category,$B20,AmtBdgt)</f>
        <v/>
      </c>
      <c r="T20" s="1880">
        <f>S20/NRA</f>
        <v/>
      </c>
      <c r="U20" s="27" t="n"/>
      <c r="V20" s="32" t="n"/>
      <c r="W20" s="1880" t="n"/>
      <c r="X20" s="2072" t="n"/>
    </row>
    <row r="21" hidden="1" s="1439">
      <c r="C21" s="42" t="inlineStr">
        <is>
          <t>Vacancy &amp; Collection Loss</t>
        </is>
      </c>
      <c r="D21" s="32">
        <f>-[3]OpActuals!B13</f>
        <v/>
      </c>
      <c r="E21" s="2068">
        <f>D21/NRA</f>
        <v/>
      </c>
      <c r="F21" s="27" t="n"/>
      <c r="G21" s="32">
        <f>-[3]OpActuals!C13</f>
        <v/>
      </c>
      <c r="H21" s="1880">
        <f>G21/NRA</f>
        <v/>
      </c>
      <c r="I21" s="27" t="n"/>
      <c r="J21" s="32">
        <f>-[3]OpActuals!D13</f>
        <v/>
      </c>
      <c r="K21" s="1880">
        <f>J21/NRA</f>
        <v/>
      </c>
      <c r="L21" s="27" t="n"/>
      <c r="M21" s="32">
        <f>-[3]OpActuals!E13</f>
        <v/>
      </c>
      <c r="N21" s="1880">
        <f>M21/$AA$3</f>
        <v/>
      </c>
      <c r="O21" s="27" t="n"/>
      <c r="P21" s="32">
        <f>-[3]OpActuals!G13</f>
        <v/>
      </c>
      <c r="Q21" s="1880">
        <f>P21/$AA$3</f>
        <v/>
      </c>
      <c r="R21" s="27" t="n"/>
      <c r="S21" s="32">
        <f>-[3]OpActuals!H13</f>
        <v/>
      </c>
      <c r="T21" s="1880">
        <f>S21/NRA</f>
        <v/>
      </c>
      <c r="U21" s="27" t="n"/>
      <c r="V21" s="32" t="n"/>
      <c r="W21" s="1880" t="n"/>
      <c r="X21" s="43" t="n"/>
    </row>
    <row r="22">
      <c r="C22" s="85" t="inlineStr">
        <is>
          <t>EFFECTIVE GROSS INCOME</t>
        </is>
      </c>
      <c r="D22" s="2078">
        <f>D16+D21</f>
        <v/>
      </c>
      <c r="E22" s="2079">
        <f>D22/NRA</f>
        <v/>
      </c>
      <c r="F22" s="146" t="n"/>
      <c r="G22" s="2078">
        <f>G16+G21</f>
        <v/>
      </c>
      <c r="H22" s="2080">
        <f>G22/NRA</f>
        <v/>
      </c>
      <c r="I22" s="146" t="n"/>
      <c r="J22" s="2078">
        <f>J16+J21</f>
        <v/>
      </c>
      <c r="K22" s="2080">
        <f>J22/NRA</f>
        <v/>
      </c>
      <c r="L22" s="146" t="n"/>
      <c r="M22" s="2078">
        <f>SUM(M6:M7)</f>
        <v/>
      </c>
      <c r="N22" s="2081">
        <f>M22/$AA$3</f>
        <v/>
      </c>
      <c r="O22" s="2078" t="n"/>
      <c r="P22" s="2078">
        <f>SUM(P6:P7)</f>
        <v/>
      </c>
      <c r="Q22" s="2081">
        <f>P22/$AA$3</f>
        <v/>
      </c>
      <c r="R22" s="146" t="n"/>
      <c r="S22" s="2074">
        <f>S16+S21</f>
        <v/>
      </c>
      <c r="T22" s="1884">
        <f>S22/NRA</f>
        <v/>
      </c>
      <c r="U22" s="38" t="n"/>
      <c r="V22" s="2074">
        <f>[3]ProForma!C11</f>
        <v/>
      </c>
      <c r="W22" s="1884">
        <f>V22/NRA</f>
        <v/>
      </c>
      <c r="X22" s="2076" t="n"/>
    </row>
    <row r="23">
      <c r="C23" s="1392" t="inlineStr">
        <is>
          <t>Fixed Expenses</t>
        </is>
      </c>
      <c r="D23" s="2082" t="n"/>
      <c r="E23" s="2083" t="n"/>
      <c r="F23" s="1395" t="n"/>
      <c r="G23" s="2082" t="n"/>
      <c r="H23" s="2084" t="n"/>
      <c r="I23" s="1395" t="n"/>
      <c r="J23" s="2082" t="n"/>
      <c r="K23" s="2084" t="n"/>
      <c r="L23" s="1395" t="n"/>
      <c r="M23" s="2082" t="n"/>
      <c r="N23" s="2084" t="n"/>
      <c r="O23" s="1395" t="n"/>
      <c r="P23" s="2082" t="n"/>
      <c r="Q23" s="2084" t="n"/>
      <c r="R23" s="1395" t="n"/>
      <c r="S23" s="2085" t="n"/>
      <c r="T23" s="2086" t="n"/>
      <c r="U23" s="45" t="n"/>
      <c r="V23" s="2085" t="n"/>
      <c r="W23" s="2086" t="inlineStr">
        <is>
          <t> </t>
        </is>
      </c>
      <c r="X23" s="47" t="n"/>
    </row>
    <row r="24">
      <c r="C24" s="24" t="inlineStr">
        <is>
          <t>Real Estate Taxes</t>
        </is>
      </c>
      <c r="D24" s="32">
        <f>SUMIF(Category,$B24,AMTY1)</f>
        <v/>
      </c>
      <c r="E24" s="2068">
        <f>D24/NRA</f>
        <v/>
      </c>
      <c r="F24" s="23" t="n"/>
      <c r="G24" s="2087">
        <f>SUMIF(Category,$B24,AMTY2)</f>
        <v/>
      </c>
      <c r="H24" s="1880">
        <f>G24/NRA</f>
        <v/>
      </c>
      <c r="I24" s="23" t="n"/>
      <c r="J24" s="2087">
        <f>SUMIF(Category,$B24,AMTY3)</f>
        <v/>
      </c>
      <c r="K24" s="1880">
        <f>J24/NRA</f>
        <v/>
      </c>
      <c r="L24" s="23" t="n"/>
      <c r="M24" s="2067" t="n">
        <v>58886</v>
      </c>
      <c r="N24" s="2069">
        <f>M24/$AA$3</f>
        <v/>
      </c>
      <c r="O24" s="2067" t="n"/>
      <c r="P24" s="2067" t="n">
        <v>60666.21</v>
      </c>
      <c r="Q24" s="2069">
        <f>P24/$AA$3</f>
        <v/>
      </c>
      <c r="R24" s="23" t="n"/>
      <c r="S24" s="2087">
        <f>SUMIF(Category,$B24,AmtBdgt)</f>
        <v/>
      </c>
      <c r="T24" s="1880">
        <f>S24/NRA</f>
        <v/>
      </c>
      <c r="U24" s="23" t="n"/>
      <c r="V24" s="33">
        <f>W24*NRA</f>
        <v/>
      </c>
      <c r="W24" s="2073" t="n">
        <v>0</v>
      </c>
      <c r="X24" s="43" t="n"/>
    </row>
    <row r="25">
      <c r="C25" s="24" t="inlineStr">
        <is>
          <t>Property Insurance</t>
        </is>
      </c>
      <c r="D25" s="2087">
        <f>SUMIF(Category,$B25,AMTY1)</f>
        <v/>
      </c>
      <c r="E25" s="2088">
        <f>D25/NRA</f>
        <v/>
      </c>
      <c r="F25" s="23" t="n"/>
      <c r="G25" s="2087">
        <f>SUMIF(Category,$B25,AMTY2)</f>
        <v/>
      </c>
      <c r="H25" s="1880">
        <f>G25/NRA</f>
        <v/>
      </c>
      <c r="I25" s="23" t="n"/>
      <c r="J25" s="2087">
        <f>SUMIF(Category,$B25,AMTY3)</f>
        <v/>
      </c>
      <c r="K25" s="1880">
        <f>J25/NRA</f>
        <v/>
      </c>
      <c r="L25" s="23" t="n"/>
      <c r="M25" s="2067" t="n">
        <v>6547.2</v>
      </c>
      <c r="N25" s="2069">
        <f>M25/$AA$3</f>
        <v/>
      </c>
      <c r="O25" s="2067" t="n"/>
      <c r="P25" s="2067" t="n">
        <v>7893.9</v>
      </c>
      <c r="Q25" s="2069">
        <f>P25/$AA$3</f>
        <v/>
      </c>
      <c r="R25" s="23" t="n"/>
      <c r="S25" s="2087">
        <f>SUMIF(Category,$B25,AmtBdgt)</f>
        <v/>
      </c>
      <c r="T25" s="1880">
        <f>S25/NRA</f>
        <v/>
      </c>
      <c r="U25" s="23" t="n"/>
      <c r="V25" s="33">
        <f>W25*NRA</f>
        <v/>
      </c>
      <c r="W25" s="2073" t="n">
        <v>0</v>
      </c>
      <c r="X25" s="43" t="n"/>
    </row>
    <row r="26">
      <c r="C26" s="1392" t="inlineStr">
        <is>
          <t>Variable Expenses</t>
        </is>
      </c>
      <c r="D26" s="2089" t="n"/>
      <c r="E26" s="2083" t="n"/>
      <c r="F26" s="1395" t="n"/>
      <c r="G26" s="2089" t="n"/>
      <c r="H26" s="2084" t="n"/>
      <c r="I26" s="1395" t="n"/>
      <c r="J26" s="2089" t="n"/>
      <c r="K26" s="2084" t="n"/>
      <c r="L26" s="1395" t="n"/>
      <c r="M26" s="2089" t="n"/>
      <c r="N26" s="2084" t="n"/>
      <c r="O26" s="1395" t="n"/>
      <c r="P26" s="2089" t="n"/>
      <c r="Q26" s="2084" t="n"/>
      <c r="R26" s="1395" t="n"/>
      <c r="S26" s="2090" t="n"/>
      <c r="T26" s="2086" t="n"/>
      <c r="U26" s="45" t="n"/>
      <c r="V26" s="52" t="n"/>
      <c r="W26" s="2091" t="n"/>
      <c r="X26" s="54" t="n"/>
    </row>
    <row r="27">
      <c r="C27" s="24" t="inlineStr">
        <is>
          <t>Utilities</t>
        </is>
      </c>
      <c r="D27" s="2092">
        <f>SUMIF(Category,$B27,AMTY1)</f>
        <v/>
      </c>
      <c r="E27" s="2068">
        <f>D27/NRA</f>
        <v/>
      </c>
      <c r="F27" s="23" t="n"/>
      <c r="G27" s="2067">
        <f>SUMIF(Category,$B27,AMTY2)</f>
        <v/>
      </c>
      <c r="H27" s="1880">
        <f>G27/NRA</f>
        <v/>
      </c>
      <c r="I27" s="23" t="n"/>
      <c r="J27" s="2067">
        <f>SUMIF(Category,$B27,AMTY3)</f>
        <v/>
      </c>
      <c r="K27" s="1880">
        <f>J27/NRA</f>
        <v/>
      </c>
      <c r="L27" s="23" t="n"/>
      <c r="M27" s="2067" t="n">
        <v>3705.88</v>
      </c>
      <c r="N27" s="2069">
        <f>M27/$AA$3</f>
        <v/>
      </c>
      <c r="O27" s="2067" t="n"/>
      <c r="P27" s="2067" t="n">
        <v>3936</v>
      </c>
      <c r="Q27" s="2069">
        <f>P27/$AA$3</f>
        <v/>
      </c>
      <c r="R27" s="23" t="n"/>
      <c r="S27" s="2067">
        <f>SUMIF(Category,$B27,AmtBdgt)</f>
        <v/>
      </c>
      <c r="T27" s="1880">
        <f>S27/NRA</f>
        <v/>
      </c>
      <c r="U27" s="23" t="n"/>
      <c r="V27" s="33">
        <f>W27*NRA</f>
        <v/>
      </c>
      <c r="W27" s="2071">
        <f>[3]SummaryExpenseTbl!M32</f>
        <v/>
      </c>
      <c r="X27" s="43" t="n"/>
    </row>
    <row r="28">
      <c r="C28" s="24" t="inlineStr">
        <is>
          <t>CAM Repairs &amp; Maintenance</t>
        </is>
      </c>
      <c r="D28" s="2092">
        <f>SUMIF(Category,$B28,AMTY1)</f>
        <v/>
      </c>
      <c r="E28" s="2068">
        <f>D28/NRA</f>
        <v/>
      </c>
      <c r="F28" s="23" t="n"/>
      <c r="G28" s="2067">
        <f>SUMIF(Category,$B28,AMTY2)</f>
        <v/>
      </c>
      <c r="H28" s="1880">
        <f>G28/NRA</f>
        <v/>
      </c>
      <c r="I28" s="23" t="n"/>
      <c r="J28" s="2067">
        <f>SUMIF(Category,$B28,AMTY3)</f>
        <v/>
      </c>
      <c r="K28" s="1880">
        <f>J28/NRA</f>
        <v/>
      </c>
      <c r="L28" s="23" t="n"/>
      <c r="M28" s="2067" t="n">
        <v>89936</v>
      </c>
      <c r="N28" s="2069">
        <f>M28/$AA$3</f>
        <v/>
      </c>
      <c r="O28" s="2067" t="n"/>
      <c r="P28" s="2067" t="n">
        <v>10029</v>
      </c>
      <c r="Q28" s="2069">
        <f>P28/$AA$3</f>
        <v/>
      </c>
      <c r="R28" s="23" t="n"/>
      <c r="S28" s="2067">
        <f>SUMIF(Category,$B28,AmtBdgt)</f>
        <v/>
      </c>
      <c r="T28" s="1880">
        <f>S28/NRA</f>
        <v/>
      </c>
      <c r="U28" s="23" t="n"/>
      <c r="V28" s="33">
        <f>W28*NRA</f>
        <v/>
      </c>
      <c r="W28" s="2073" t="n">
        <v>0</v>
      </c>
      <c r="X28" s="34" t="n"/>
    </row>
    <row r="29">
      <c r="C29" s="24" t="inlineStr">
        <is>
          <t>Administrative and General</t>
        </is>
      </c>
      <c r="D29" s="2092">
        <f>SUMIF(Category,$B29,AMTY1)</f>
        <v/>
      </c>
      <c r="E29" s="2068">
        <f>D29/NRA</f>
        <v/>
      </c>
      <c r="F29" s="23" t="n"/>
      <c r="G29" s="2067">
        <f>SUMIF(Category,$B29,AMTY2)</f>
        <v/>
      </c>
      <c r="H29" s="1880">
        <f>G29/NRA</f>
        <v/>
      </c>
      <c r="I29" s="23" t="n"/>
      <c r="J29" s="2067">
        <f>SUMIF(Category,$B29,AMTY3)</f>
        <v/>
      </c>
      <c r="K29" s="1880">
        <f>J29/NRA</f>
        <v/>
      </c>
      <c r="L29" s="23" t="n"/>
      <c r="M29" s="2067" t="n">
        <v>14390</v>
      </c>
      <c r="N29" s="2069">
        <f>M29/$AA$3</f>
        <v/>
      </c>
      <c r="O29" s="2067" t="n"/>
      <c r="P29" s="2067" t="n">
        <v>1852</v>
      </c>
      <c r="Q29" s="2069">
        <f>P29/$AA$3</f>
        <v/>
      </c>
      <c r="R29" s="23" t="n"/>
      <c r="S29" s="2067">
        <f>SUMIF(Category,$B29,AmtBdgt)</f>
        <v/>
      </c>
      <c r="T29" s="1880">
        <f>S29/NRA</f>
        <v/>
      </c>
      <c r="U29" s="23" t="n"/>
      <c r="V29" s="33">
        <f>W29*NRA</f>
        <v/>
      </c>
      <c r="W29" s="2073" t="n">
        <v>0</v>
      </c>
      <c r="X29" s="2093" t="n"/>
    </row>
    <row r="30">
      <c r="C30" s="24" t="inlineStr">
        <is>
          <t>Management</t>
        </is>
      </c>
      <c r="D30" s="2092">
        <f>SUMIF(Category,$B30,AMTY1)</f>
        <v/>
      </c>
      <c r="E30" s="2068">
        <f>D30/NRA</f>
        <v/>
      </c>
      <c r="F30" s="23" t="n"/>
      <c r="G30" s="2067">
        <f>SUMIF(Category,$B30,AMTY2)</f>
        <v/>
      </c>
      <c r="H30" s="1880">
        <f>G30/NRA</f>
        <v/>
      </c>
      <c r="I30" s="23" t="n"/>
      <c r="J30" s="2067">
        <f>SUMIF(Category,$B30,AMTY3)</f>
        <v/>
      </c>
      <c r="K30" s="1880">
        <f>J30/NRA</f>
        <v/>
      </c>
      <c r="L30" s="23" t="n"/>
      <c r="M30" s="2067" t="n">
        <v>5399.91</v>
      </c>
      <c r="N30" s="2069">
        <f>M30/$AA$3</f>
        <v/>
      </c>
      <c r="O30" s="2067" t="n"/>
      <c r="P30" s="2067" t="n">
        <v>10656.65</v>
      </c>
      <c r="Q30" s="2069">
        <f>P30/$AA$3</f>
        <v/>
      </c>
      <c r="R30" s="23" t="n"/>
      <c r="S30" s="2067">
        <f>SUMIF(Category,$B30,AmtBdgt)</f>
        <v/>
      </c>
      <c r="T30" s="1880">
        <f>S30/NRA</f>
        <v/>
      </c>
      <c r="U30" s="23" t="n"/>
      <c r="V30" s="33">
        <f>W30*NRA</f>
        <v/>
      </c>
      <c r="W30" s="2071">
        <f>[3]SummaryExpenseTbl!M38</f>
        <v/>
      </c>
      <c r="X30" s="43" t="n"/>
    </row>
    <row r="31" hidden="1" s="1439">
      <c r="C31" s="24" t="inlineStr">
        <is>
          <t>Replacement Reserves</t>
        </is>
      </c>
      <c r="D31" s="2094">
        <f>SUMIF(Category,$B31,AMTY1)</f>
        <v/>
      </c>
      <c r="E31" s="2068">
        <f>D31/NRA</f>
        <v/>
      </c>
      <c r="F31" s="23" t="n"/>
      <c r="G31" s="2094">
        <f>SUMIF(Category,$B31,AMTY2)</f>
        <v/>
      </c>
      <c r="H31" s="1880">
        <f>G31/NRA</f>
        <v/>
      </c>
      <c r="I31" s="23" t="n"/>
      <c r="J31" s="2094">
        <f>SUMIF(Category,$B31,AMTY3)</f>
        <v/>
      </c>
      <c r="K31" s="1880">
        <f>J31/NRA</f>
        <v/>
      </c>
      <c r="L31" s="23" t="n"/>
      <c r="M31" s="2067">
        <f>SUMIF(Category,$B31,AMTY4)</f>
        <v/>
      </c>
      <c r="N31" s="2069">
        <f>M31/$AA$3</f>
        <v/>
      </c>
      <c r="O31" s="2067" t="n"/>
      <c r="P31" s="2067">
        <f>SUMIF(Category,$B31,AMTY5)</f>
        <v/>
      </c>
      <c r="Q31" s="2069">
        <f>P31/$AA$3</f>
        <v/>
      </c>
      <c r="R31" s="23" t="n"/>
      <c r="S31" s="2067">
        <f>SUMIF(Category,$B31,AmtBdgt)</f>
        <v/>
      </c>
      <c r="T31" s="1880">
        <f>S31/NRA</f>
        <v/>
      </c>
      <c r="U31" s="23" t="n"/>
      <c r="V31" s="33">
        <f>W31*NRA</f>
        <v/>
      </c>
      <c r="W31" s="2071">
        <f>[3]SummaryExpenseTbl!M41</f>
        <v/>
      </c>
      <c r="X31" s="43" t="n"/>
    </row>
    <row r="32" hidden="1" s="1439">
      <c r="C32" s="24" t="n"/>
      <c r="D32" s="2095" t="n"/>
      <c r="E32" s="2068" t="n"/>
      <c r="F32" s="23" t="n"/>
      <c r="G32" s="2095" t="n"/>
      <c r="H32" s="1880" t="n"/>
      <c r="I32" s="23" t="n"/>
      <c r="J32" s="2095" t="n"/>
      <c r="K32" s="1880" t="n"/>
      <c r="L32" s="23" t="n"/>
      <c r="M32" s="2092" t="n"/>
      <c r="N32" s="1880" t="n"/>
      <c r="O32" s="23" t="n"/>
      <c r="P32" s="2092" t="n"/>
      <c r="Q32" s="1880" t="n"/>
      <c r="R32" s="23" t="n"/>
      <c r="S32" s="2092" t="n"/>
      <c r="T32" s="1880" t="n"/>
      <c r="U32" s="23" t="n"/>
      <c r="V32" s="2095" t="n"/>
      <c r="W32" s="1880" t="n"/>
      <c r="X32" s="2096" t="n"/>
    </row>
    <row r="33">
      <c r="C33" s="85" t="inlineStr">
        <is>
          <t>TOTAL EXPENSES</t>
        </is>
      </c>
      <c r="D33" s="2078">
        <f>SUM(D24:D25,D27:D31)</f>
        <v/>
      </c>
      <c r="E33" s="2079">
        <f>D33/NRA</f>
        <v/>
      </c>
      <c r="F33" s="2097" t="n"/>
      <c r="G33" s="2078">
        <f>SUM(G24:G25,G27:G31)</f>
        <v/>
      </c>
      <c r="H33" s="2080">
        <f>G33/NRA</f>
        <v/>
      </c>
      <c r="I33" s="2097" t="n"/>
      <c r="J33" s="2078">
        <f>SUM(J24:J25,J27:J31)</f>
        <v/>
      </c>
      <c r="K33" s="2080">
        <f>J33/NRA</f>
        <v/>
      </c>
      <c r="L33" s="2097" t="n"/>
      <c r="M33" s="2078">
        <f>SUM(M24:M25,M27:M30)</f>
        <v/>
      </c>
      <c r="N33" s="2081">
        <f>M33/$AA$3</f>
        <v/>
      </c>
      <c r="O33" s="2078" t="n"/>
      <c r="P33" s="2078">
        <f>SUM(P24:P25,P27:P30)</f>
        <v/>
      </c>
      <c r="Q33" s="2081">
        <f>P33/$AA$3</f>
        <v/>
      </c>
      <c r="R33" s="2097" t="n"/>
      <c r="S33" s="2074">
        <f>SUM(S24:S25,S27:S31)</f>
        <v/>
      </c>
      <c r="T33" s="1884">
        <f>S33/NRA</f>
        <v/>
      </c>
      <c r="U33" s="2098" t="n"/>
      <c r="V33" s="2074">
        <f>SUM(V24:V25,V27:V31)</f>
        <v/>
      </c>
      <c r="W33" s="1884">
        <f>V33/NRA</f>
        <v/>
      </c>
      <c r="X33" s="2076" t="n"/>
    </row>
    <row r="34">
      <c r="C34" s="42" t="n"/>
      <c r="D34" s="2099" t="n"/>
      <c r="E34" s="2075" t="n"/>
      <c r="F34" s="61" t="n"/>
      <c r="G34" s="2099" t="n"/>
      <c r="H34" s="1884" t="n"/>
      <c r="I34" s="61" t="n"/>
      <c r="J34" s="2099" t="n"/>
      <c r="K34" s="1884" t="n"/>
      <c r="L34" s="61" t="n"/>
      <c r="M34" s="2099" t="n"/>
      <c r="N34" s="1884" t="n"/>
      <c r="O34" s="61" t="n"/>
      <c r="P34" s="2099" t="n"/>
      <c r="Q34" s="1884" t="n"/>
      <c r="R34" s="61" t="n"/>
      <c r="S34" s="2099" t="n"/>
      <c r="T34" s="1884" t="n"/>
      <c r="U34" s="61" t="n"/>
      <c r="V34" s="2099" t="n"/>
      <c r="W34" s="1884" t="n"/>
      <c r="X34" s="2100" t="n"/>
    </row>
    <row r="35">
      <c r="C35" s="85" t="inlineStr">
        <is>
          <t>NET OPERATING INCOME (NOI)</t>
        </is>
      </c>
      <c r="D35" s="2078">
        <f>D22-D33</f>
        <v/>
      </c>
      <c r="E35" s="2079">
        <f>D35/NRA</f>
        <v/>
      </c>
      <c r="F35" s="88" t="n"/>
      <c r="G35" s="2078">
        <f>G22-G33</f>
        <v/>
      </c>
      <c r="H35" s="2080">
        <f>G35/NRA</f>
        <v/>
      </c>
      <c r="I35" s="88" t="n"/>
      <c r="J35" s="2078">
        <f>J22-J33</f>
        <v/>
      </c>
      <c r="K35" s="2080">
        <f>J35/NRA</f>
        <v/>
      </c>
      <c r="L35" s="88" t="n"/>
      <c r="M35" s="2078">
        <f>M22-M33</f>
        <v/>
      </c>
      <c r="N35" s="2081">
        <f>M35/$AA$3</f>
        <v/>
      </c>
      <c r="O35" s="2078" t="n"/>
      <c r="P35" s="2078">
        <f>P22-P33</f>
        <v/>
      </c>
      <c r="Q35" s="2081">
        <f>P35/$AA$3</f>
        <v/>
      </c>
      <c r="R35" s="88" t="n"/>
      <c r="S35" s="2101">
        <f>S22-S33</f>
        <v/>
      </c>
      <c r="T35" s="2102">
        <f>S35/NRA</f>
        <v/>
      </c>
      <c r="U35" s="64" t="n"/>
      <c r="V35" s="2101">
        <f>V22-V33</f>
        <v/>
      </c>
      <c r="W35" s="2102">
        <f>V35/NRA</f>
        <v/>
      </c>
      <c r="X35" s="2103" t="n"/>
    </row>
  </sheetData>
  <mergeCells count="1">
    <mergeCell ref="C2:X2"/>
  </mergeCells>
  <pageMargins left="0.7" right="0.7" top="0.75" bottom="0.75" header="0.3" footer="0.3"/>
  <pageSetup orientation="portrait"/>
</worksheet>
</file>

<file path=xl/worksheets/sheet19.xml><?xml version="1.0" encoding="utf-8"?>
<worksheet xmlns="http://schemas.openxmlformats.org/spreadsheetml/2006/main">
  <sheetPr>
    <outlinePr summaryBelow="1" summaryRight="1"/>
    <pageSetUpPr/>
  </sheetPr>
  <dimension ref="D2:AB45"/>
  <sheetViews>
    <sheetView showGridLines="0" workbookViewId="0">
      <selection activeCell="Q7" sqref="Q7"/>
    </sheetView>
  </sheetViews>
  <sheetFormatPr baseColWidth="8" defaultRowHeight="15"/>
  <cols>
    <col width="25.7109375" customWidth="1" style="1439" min="4" max="4"/>
    <col hidden="1" width="10.7109375" customWidth="1" style="1439" min="5" max="5"/>
    <col width="14.28515625" bestFit="1" customWidth="1" style="1439" min="6" max="6"/>
    <col hidden="1" width="7.7109375" customWidth="1" style="1439" min="7" max="7"/>
    <col hidden="1" width="10.7109375" customWidth="1" style="1439" min="8" max="8"/>
    <col width="15.85546875" customWidth="1" style="1439" min="9" max="9"/>
    <col hidden="1" width="7.7109375" customWidth="1" style="1439" min="10" max="10"/>
    <col hidden="1" width="2.140625" customWidth="1" style="1439" min="11" max="11"/>
    <col width="14.140625" customWidth="1" style="1439" min="12" max="12"/>
    <col hidden="1" width="7.7109375" customWidth="1" style="1439" min="13" max="13"/>
    <col hidden="1" width="10.7109375" customWidth="1" style="1439" min="14" max="14"/>
    <col hidden="1" width="7.7109375" customWidth="1" style="1439" min="15" max="16"/>
    <col width="10.140625" bestFit="1" customWidth="1" style="1439" min="17" max="17"/>
    <col width="7.28515625" customWidth="1" style="112" min="20" max="22"/>
    <col hidden="1" width="8.28515625" customWidth="1" style="112" min="23" max="23"/>
    <col width="7.28515625" customWidth="1" style="112" min="24" max="24"/>
    <col width="8.42578125" customWidth="1" style="112" min="25" max="25"/>
    <col width="1.7109375" customWidth="1" style="112" min="26" max="26"/>
    <col width="15.42578125" customWidth="1" style="112" min="27" max="27"/>
    <col width="8" customWidth="1" style="112" min="28" max="28"/>
  </cols>
  <sheetData>
    <row r="2" ht="15.75" customHeight="1" s="1439">
      <c r="D2" s="1552" t="inlineStr">
        <is>
          <t>COMPARABLE EXPENSES DATA</t>
        </is>
      </c>
    </row>
    <row r="3">
      <c r="D3" s="69" t="inlineStr">
        <is>
          <t>Comparable No.</t>
        </is>
      </c>
      <c r="E3" s="1640" t="n">
        <v>1</v>
      </c>
      <c r="H3" s="1640" t="n">
        <v>2</v>
      </c>
      <c r="K3" s="1640" t="n">
        <v>3</v>
      </c>
      <c r="N3" s="1640" t="n">
        <v>3</v>
      </c>
    </row>
    <row r="4" ht="12.75" customHeight="1" s="1439">
      <c r="D4" s="70" t="inlineStr">
        <is>
          <t>City</t>
        </is>
      </c>
      <c r="E4" s="80" t="inlineStr">
        <is>
          <t>Phoenix</t>
        </is>
      </c>
      <c r="F4" s="255" t="inlineStr">
        <is>
          <t>Highlands Ranch</t>
        </is>
      </c>
      <c r="G4" s="72" t="n"/>
      <c r="H4" s="80" t="inlineStr">
        <is>
          <t>Phoenix</t>
        </is>
      </c>
      <c r="I4" s="255" t="inlineStr">
        <is>
          <t>Denver</t>
        </is>
      </c>
      <c r="J4" s="71" t="n"/>
      <c r="K4" s="80" t="inlineStr">
        <is>
          <t>Phoenix</t>
        </is>
      </c>
      <c r="L4" s="255" t="inlineStr">
        <is>
          <t>Arvada</t>
        </is>
      </c>
      <c r="M4" s="71" t="n"/>
      <c r="N4" s="105" t="inlineStr">
        <is>
          <t>Denver</t>
        </is>
      </c>
      <c r="O4" s="71" t="n"/>
      <c r="P4" s="71" t="n"/>
    </row>
    <row r="5" ht="12.75" customHeight="1" s="1439" thickBot="1">
      <c r="D5" s="70" t="inlineStr">
        <is>
          <t>Year Built</t>
        </is>
      </c>
      <c r="E5" s="80" t="n">
        <v>2002</v>
      </c>
      <c r="F5" s="255" t="n">
        <v>2005</v>
      </c>
      <c r="G5" s="72" t="n"/>
      <c r="H5" s="80" t="n">
        <v>2005</v>
      </c>
      <c r="I5" s="255" t="inlineStr">
        <is>
          <t>1964, 1998</t>
        </is>
      </c>
      <c r="J5" s="71" t="n"/>
      <c r="K5" s="80" t="n">
        <v>2007</v>
      </c>
      <c r="L5" s="255" t="n">
        <v>2018</v>
      </c>
      <c r="M5" s="71" t="n"/>
      <c r="N5" s="105" t="n">
        <v>1999</v>
      </c>
      <c r="O5" s="71" t="n"/>
      <c r="P5" s="71" t="n"/>
      <c r="X5" s="113" t="n"/>
    </row>
    <row r="6" ht="12.75" customHeight="1" s="1439">
      <c r="D6" s="70" t="inlineStr">
        <is>
          <t>Rentable Area</t>
        </is>
      </c>
      <c r="E6" s="254" t="n">
        <v>78150</v>
      </c>
      <c r="F6" s="256" t="n">
        <v>10000</v>
      </c>
      <c r="G6" s="74" t="n"/>
      <c r="H6" s="254" t="n">
        <v>8181</v>
      </c>
      <c r="I6" s="256" t="n">
        <v>5627</v>
      </c>
      <c r="J6" s="73" t="n"/>
      <c r="K6" s="254" t="n">
        <v>15000</v>
      </c>
      <c r="L6" s="256" t="n">
        <v>10000</v>
      </c>
      <c r="M6" s="73" t="n"/>
      <c r="N6" s="106" t="n">
        <v>107760</v>
      </c>
      <c r="O6" s="73" t="n"/>
      <c r="P6" s="73" t="n"/>
      <c r="T6" s="114" t="inlineStr">
        <is>
          <t>Cmp1</t>
        </is>
      </c>
      <c r="U6" s="115" t="inlineStr">
        <is>
          <t>Cmp2</t>
        </is>
      </c>
      <c r="V6" s="115" t="inlineStr">
        <is>
          <t>Cmp3</t>
        </is>
      </c>
      <c r="W6" s="116" t="inlineStr">
        <is>
          <t>Cmp4</t>
        </is>
      </c>
      <c r="X6" s="115" t="inlineStr">
        <is>
          <t>Min</t>
        </is>
      </c>
      <c r="Y6" s="117" t="inlineStr">
        <is>
          <t>Max</t>
        </is>
      </c>
      <c r="AA6" s="118" t="inlineStr">
        <is>
          <t>Range</t>
        </is>
      </c>
      <c r="AB6" s="119" t="inlineStr">
        <is>
          <t>Avg</t>
        </is>
      </c>
    </row>
    <row r="7" ht="12.75" customHeight="1" s="1439">
      <c r="D7" s="70" t="inlineStr">
        <is>
          <t>Year Operations</t>
        </is>
      </c>
      <c r="E7" s="80" t="n">
        <v>2016</v>
      </c>
      <c r="F7" s="255" t="n">
        <v>2019</v>
      </c>
      <c r="G7" s="72" t="n"/>
      <c r="H7" s="80" t="n">
        <v>2016</v>
      </c>
      <c r="I7" s="255" t="n">
        <v>2020</v>
      </c>
      <c r="J7" s="71" t="n"/>
      <c r="K7" s="80" t="n">
        <v>2016</v>
      </c>
      <c r="L7" s="255" t="n">
        <v>2020</v>
      </c>
      <c r="M7" s="71" t="n"/>
      <c r="N7" s="105" t="n">
        <v>2016</v>
      </c>
      <c r="O7" s="71" t="n"/>
      <c r="P7" s="71" t="n"/>
      <c r="T7" s="2104" t="n"/>
      <c r="U7" s="2104" t="n"/>
      <c r="V7" s="2104" t="n"/>
      <c r="W7" s="2105" t="n"/>
      <c r="X7" s="2106" t="n"/>
      <c r="Y7" s="2107" t="n"/>
      <c r="AA7" s="124" t="n"/>
      <c r="AB7" s="2108" t="n"/>
    </row>
    <row r="8" ht="12.75" customHeight="1" s="1439">
      <c r="D8" s="81" t="inlineStr">
        <is>
          <t>Occupancy</t>
        </is>
      </c>
      <c r="E8" s="82" t="n">
        <v>1</v>
      </c>
      <c r="F8" s="257" t="n">
        <v>1</v>
      </c>
      <c r="G8" s="84" t="n"/>
      <c r="H8" s="82" t="n">
        <v>1</v>
      </c>
      <c r="I8" s="257" t="n">
        <v>1</v>
      </c>
      <c r="J8" s="83" t="n"/>
      <c r="K8" s="82" t="n">
        <v>1</v>
      </c>
      <c r="L8" s="257" t="n">
        <v>1</v>
      </c>
      <c r="M8" s="83" t="n"/>
      <c r="N8" s="107" t="n">
        <v>1</v>
      </c>
      <c r="O8" s="83" t="n"/>
      <c r="P8" s="83" t="n"/>
      <c r="T8" s="43" t="n"/>
      <c r="U8" s="43" t="n"/>
      <c r="V8" s="43" t="n"/>
      <c r="W8" s="126" t="n"/>
      <c r="X8" s="43" t="n"/>
      <c r="Y8" s="43" t="n"/>
      <c r="AA8" s="127" t="n"/>
      <c r="AB8" s="128" t="n"/>
    </row>
    <row r="9" ht="12.75" customHeight="1" s="1439">
      <c r="D9" s="261" t="inlineStr">
        <is>
          <t>Expenses</t>
        </is>
      </c>
      <c r="E9" s="251" t="n"/>
      <c r="F9" s="262" t="n"/>
      <c r="G9" s="75" t="n"/>
      <c r="H9" s="76" t="n"/>
      <c r="I9" s="2109" t="n"/>
      <c r="J9" s="250" t="n"/>
      <c r="K9" s="251" t="n"/>
      <c r="L9" s="262" t="n"/>
      <c r="M9" s="250" t="n"/>
      <c r="N9" s="77" t="n"/>
      <c r="O9" s="2068" t="n"/>
      <c r="P9" s="1553" t="n"/>
      <c r="T9" s="43" t="n"/>
      <c r="U9" s="43" t="n"/>
      <c r="V9" s="43" t="n"/>
      <c r="W9" s="126" t="n"/>
      <c r="X9" s="43" t="n"/>
      <c r="Y9" s="43" t="n"/>
      <c r="AA9" s="127" t="n"/>
      <c r="AB9" s="128" t="n"/>
    </row>
    <row r="10" ht="12.75" customHeight="1" s="1439">
      <c r="D10" s="166" t="inlineStr">
        <is>
          <t>Real Estate Taxes</t>
        </is>
      </c>
      <c r="E10" s="2110" t="n">
        <v>43077</v>
      </c>
      <c r="F10" s="2111" t="n">
        <v>4.5</v>
      </c>
      <c r="G10" s="75" t="n"/>
      <c r="H10" s="2112" t="n">
        <v>302806</v>
      </c>
      <c r="I10" s="2113" t="n">
        <v>6.78</v>
      </c>
      <c r="J10" s="253" t="n"/>
      <c r="K10" s="2110" t="n">
        <v>49012</v>
      </c>
      <c r="L10" s="2111" t="n">
        <v>2.75</v>
      </c>
      <c r="M10" s="250" t="n"/>
      <c r="N10" s="2114" t="n">
        <v>302806</v>
      </c>
      <c r="O10" s="2115">
        <f>N10/N6</f>
        <v/>
      </c>
      <c r="P10" s="93" t="n"/>
      <c r="Q10" s="1691">
        <f>AVERAGE(F10,I10,L10)</f>
        <v/>
      </c>
      <c r="T10" s="113">
        <f>F10</f>
        <v/>
      </c>
      <c r="U10" s="113">
        <f>I10</f>
        <v/>
      </c>
      <c r="V10" s="113">
        <f>L10</f>
        <v/>
      </c>
      <c r="W10" s="129">
        <f>IF(ISERROR(Q24),"",IF(Q24=0,"",Q24))</f>
        <v/>
      </c>
      <c r="X10" s="113">
        <f>MIN(T10:W10)</f>
        <v/>
      </c>
      <c r="Y10" s="113">
        <f>MAX(T10:W10)</f>
        <v/>
      </c>
      <c r="AA10" s="2116">
        <f>IF(X10=Y10,TEXT(X10,"$0.00;;-"),CONCATENATE(TEXT(X10,"$0.00;;-"),"–",TEXT(Y10,"$0.00;;-")))</f>
        <v/>
      </c>
      <c r="AB10" s="2117">
        <f>AVERAGE(T10:W10)</f>
        <v/>
      </c>
    </row>
    <row r="11" ht="12.75" customHeight="1" s="1439">
      <c r="D11" s="166" t="inlineStr">
        <is>
          <t>Insurance</t>
        </is>
      </c>
      <c r="E11" s="2110" t="n">
        <v>4426</v>
      </c>
      <c r="F11" s="2111" t="n">
        <v>0.72</v>
      </c>
      <c r="G11" s="75" t="n"/>
      <c r="H11" s="2112" t="n">
        <v>10776</v>
      </c>
      <c r="I11" s="2113" t="n">
        <v>1.5</v>
      </c>
      <c r="J11" s="253" t="n"/>
      <c r="K11" s="2110" t="n">
        <v>7129</v>
      </c>
      <c r="L11" s="2111" t="n">
        <v>1.35</v>
      </c>
      <c r="M11" s="250" t="n"/>
      <c r="N11" s="2114" t="n">
        <v>10776</v>
      </c>
      <c r="O11" s="2115">
        <f>N11/N6</f>
        <v/>
      </c>
      <c r="P11" s="93" t="n"/>
      <c r="Q11" s="1691">
        <f>AVERAGE(F11,I11,L11)</f>
        <v/>
      </c>
      <c r="T11" s="113">
        <f>F11</f>
        <v/>
      </c>
      <c r="U11" s="113">
        <f>I11</f>
        <v/>
      </c>
      <c r="V11" s="113">
        <f>L11</f>
        <v/>
      </c>
      <c r="W11" s="129">
        <f>IF(ISERROR(Q25),"",IF(Q25=0,"",Q25))</f>
        <v/>
      </c>
      <c r="X11" s="113">
        <f>MIN(T11:W11)</f>
        <v/>
      </c>
      <c r="Y11" s="113">
        <f>MAX(T11:W11)</f>
        <v/>
      </c>
      <c r="AA11" s="127">
        <f>IF(X11=Y11,TEXT(X11,"$0.00;;-"),CONCATENATE(TEXT(X11,"$0.00;;-"),"–",TEXT(Y11,"$0.00;;-")))</f>
        <v/>
      </c>
      <c r="AB11" s="2117">
        <f>AVERAGE(T11:W11)</f>
        <v/>
      </c>
    </row>
    <row r="12" ht="12.75" customHeight="1" s="1439">
      <c r="D12" s="166" t="inlineStr">
        <is>
          <t>Utilities</t>
        </is>
      </c>
      <c r="E12" s="2110" t="n">
        <v>0</v>
      </c>
      <c r="F12" s="2111" t="n">
        <v>1.5</v>
      </c>
      <c r="G12" s="75" t="n"/>
      <c r="H12" s="2112" t="n">
        <v>0</v>
      </c>
      <c r="I12" s="2113" t="n">
        <v>2.23</v>
      </c>
      <c r="J12" s="253" t="n"/>
      <c r="K12" s="2110" t="n">
        <v>2896</v>
      </c>
      <c r="L12" s="2111" t="n">
        <v>1.75</v>
      </c>
      <c r="M12" s="250" t="n"/>
      <c r="N12" s="2114" t="n">
        <v>0</v>
      </c>
      <c r="O12" s="2115">
        <f>N12/N6</f>
        <v/>
      </c>
      <c r="P12" s="93" t="n"/>
      <c r="T12" s="113">
        <f>F12</f>
        <v/>
      </c>
      <c r="U12" s="113">
        <f>I12</f>
        <v/>
      </c>
      <c r="V12" s="113">
        <f>L12</f>
        <v/>
      </c>
      <c r="W12" s="129">
        <f>IF(ISERROR(Q26),"",IF(Q26=0,"",Q26))</f>
        <v/>
      </c>
      <c r="X12" s="113">
        <f>MIN(T12:W12)</f>
        <v/>
      </c>
      <c r="Y12" s="113">
        <f>MAX(T12:W12)</f>
        <v/>
      </c>
      <c r="AA12" s="127">
        <f>IF(X12=Y12,TEXT(X12,"$0.00;;-"),CONCATENATE(TEXT(X12,"$0.00;;-"),"–",TEXT(Y12,"$0.00;;-")))</f>
        <v/>
      </c>
      <c r="AB12" s="2117">
        <f>AVERAGE(T12:W12)</f>
        <v/>
      </c>
    </row>
    <row r="13" ht="12.75" customHeight="1" s="1439">
      <c r="D13" s="166" t="inlineStr">
        <is>
          <t>CAM Repairs and Maintenace</t>
        </is>
      </c>
      <c r="E13" s="2110" t="n">
        <v>16761</v>
      </c>
      <c r="F13" s="2111" t="n">
        <v>2</v>
      </c>
      <c r="G13" s="75" t="n"/>
      <c r="H13" s="2112" t="n">
        <v>84053</v>
      </c>
      <c r="I13" s="2113" t="n">
        <v>1.5</v>
      </c>
      <c r="J13" s="253" t="n"/>
      <c r="K13" s="2110" t="n">
        <v>16040</v>
      </c>
      <c r="L13" s="2111" t="n">
        <v>1</v>
      </c>
      <c r="M13" s="250" t="n"/>
      <c r="N13" s="2114" t="n">
        <v>84053</v>
      </c>
      <c r="O13" s="2115">
        <f>N13/N6</f>
        <v/>
      </c>
      <c r="P13" s="93" t="n"/>
      <c r="T13" s="113">
        <f>F13</f>
        <v/>
      </c>
      <c r="U13" s="113">
        <f>I13</f>
        <v/>
      </c>
      <c r="V13" s="113">
        <f>L13</f>
        <v/>
      </c>
      <c r="W13" s="129">
        <f>IF(ISERROR(Q27),"",IF(Q27=0,"",Q27))</f>
        <v/>
      </c>
      <c r="X13" s="113">
        <f>MIN(T13:W13)</f>
        <v/>
      </c>
      <c r="Y13" s="113">
        <f>MAX(T13:W13)</f>
        <v/>
      </c>
      <c r="AA13" s="127">
        <f>IF(X13=Y13,TEXT(X13,"$0.00;;-"),CONCATENATE(TEXT(X13,"$0.00;;-"),"–",TEXT(Y13,"$0.00;;-")))</f>
        <v/>
      </c>
      <c r="AB13" s="2117">
        <f>AVERAGE(T13:W13)</f>
        <v/>
      </c>
    </row>
    <row r="14" hidden="1" ht="12.75" customHeight="1" s="1439">
      <c r="D14" s="166" t="inlineStr">
        <is>
          <t>Administrative and General</t>
        </is>
      </c>
      <c r="E14" s="2110" t="n">
        <v>0</v>
      </c>
      <c r="F14" s="2111">
        <f>E14/E6</f>
        <v/>
      </c>
      <c r="G14" s="75" t="n"/>
      <c r="H14" s="2112" t="n">
        <v>0</v>
      </c>
      <c r="I14" s="2113">
        <f>H14/H6</f>
        <v/>
      </c>
      <c r="J14" s="253" t="n"/>
      <c r="K14" s="2110" t="n">
        <v>0</v>
      </c>
      <c r="L14" s="2111">
        <f>K14/K6</f>
        <v/>
      </c>
      <c r="M14" s="250" t="n"/>
      <c r="N14" s="2114" t="n">
        <v>0</v>
      </c>
      <c r="O14" s="2115">
        <f>N14/N6</f>
        <v/>
      </c>
      <c r="P14" s="93" t="n"/>
      <c r="T14" s="113">
        <f>F14</f>
        <v/>
      </c>
      <c r="U14" s="113">
        <f>I14</f>
        <v/>
      </c>
      <c r="V14" s="113">
        <f>L14</f>
        <v/>
      </c>
      <c r="W14" s="129">
        <f>IF(ISERROR(Q28),"",IF(Q28=0,"",Q28))</f>
        <v/>
      </c>
      <c r="X14" s="113">
        <f>MIN(T14:W14)</f>
        <v/>
      </c>
      <c r="Y14" s="113">
        <f>MAX(T14:W14)</f>
        <v/>
      </c>
      <c r="AA14" s="127">
        <f>IF(X14=Y14,TEXT(X14,"$0.00;;-"),CONCATENATE(TEXT(X14,"$0.00;;-"),"–",TEXT(Y14,"$0.00;;-")))</f>
        <v/>
      </c>
      <c r="AB14" s="2117">
        <f>AVERAGE(T14:W14)</f>
        <v/>
      </c>
    </row>
    <row r="15" ht="12.75" customHeight="1" s="1439">
      <c r="D15" s="166" t="inlineStr">
        <is>
          <t>Management</t>
        </is>
      </c>
      <c r="E15" s="2110" t="n">
        <v>7103</v>
      </c>
      <c r="F15" s="2111" t="inlineStr">
        <is>
          <t>N/R</t>
        </is>
      </c>
      <c r="G15" s="75" t="n"/>
      <c r="H15" s="2112" t="n">
        <v>30173</v>
      </c>
      <c r="I15" s="2113" t="inlineStr">
        <is>
          <t>N/R</t>
        </is>
      </c>
      <c r="J15" s="253" t="n"/>
      <c r="K15" s="2110" t="n">
        <v>0</v>
      </c>
      <c r="L15" s="2111" t="inlineStr">
        <is>
          <t>N/R</t>
        </is>
      </c>
      <c r="M15" s="250" t="n"/>
      <c r="N15" s="2114" t="n">
        <v>30173</v>
      </c>
      <c r="O15" s="2115">
        <f>N15/N6</f>
        <v/>
      </c>
      <c r="P15" s="93" t="n"/>
      <c r="T15" s="113">
        <f>F15</f>
        <v/>
      </c>
      <c r="U15" s="113">
        <f>I15</f>
        <v/>
      </c>
      <c r="V15" s="113">
        <f>L15</f>
        <v/>
      </c>
      <c r="W15" s="129">
        <f>IF(ISERROR(Q29),"",IF(Q29=0,"",Q29))</f>
        <v/>
      </c>
      <c r="X15" s="113">
        <f>MIN(T15:W15)</f>
        <v/>
      </c>
      <c r="Y15" s="113">
        <f>MAX(T15:W15)</f>
        <v/>
      </c>
      <c r="AA15" s="127">
        <f>IF(X15=Y15,TEXT(X15,"$0.00;;-"),CONCATENATE(TEXT(X15,"$0.00;;-"),"–",TEXT(Y15,"$0.00;;-")))</f>
        <v/>
      </c>
      <c r="AB15" s="2117">
        <f>AVERAGE(T15:W15)</f>
        <v/>
      </c>
    </row>
    <row r="16" hidden="1" ht="12.75" customHeight="1" s="1439">
      <c r="D16" s="24" t="inlineStr">
        <is>
          <t>Replacement Reserves</t>
        </is>
      </c>
      <c r="E16" s="2112" t="n">
        <v>0</v>
      </c>
      <c r="F16" s="2068">
        <f>E16/E6</f>
        <v/>
      </c>
      <c r="G16" s="75" t="n"/>
      <c r="H16" s="2112" t="n">
        <v>0</v>
      </c>
      <c r="I16" s="2115">
        <f>H16/H6</f>
        <v/>
      </c>
      <c r="J16" s="93" t="n"/>
      <c r="K16" s="2112" t="n">
        <v>0</v>
      </c>
      <c r="L16" s="2068">
        <f>K16/K6</f>
        <v/>
      </c>
      <c r="M16" s="1553" t="n"/>
      <c r="N16" s="2114" t="n">
        <v>0</v>
      </c>
      <c r="O16" s="2115">
        <f>N16/N6</f>
        <v/>
      </c>
      <c r="P16" s="93" t="n"/>
      <c r="T16" s="113">
        <f>F16</f>
        <v/>
      </c>
      <c r="U16" s="113">
        <f>I16</f>
        <v/>
      </c>
      <c r="V16" s="113">
        <f>I16</f>
        <v/>
      </c>
      <c r="W16" s="129">
        <f>IF(ISERROR(Q30),"",IF(Q30=0,"",Q30))</f>
        <v/>
      </c>
      <c r="X16" s="113">
        <f>MIN(T16:W16)</f>
        <v/>
      </c>
      <c r="Y16" s="113">
        <f>MAX(T16:W16)</f>
        <v/>
      </c>
      <c r="AA16" s="127">
        <f>IF(X16=Y16,TEXT(X16,"$0.00;;-"),CONCATENATE(TEXT(X16,"$0.00;;-"),"–",TEXT(Y16,"$0.00;;-")))</f>
        <v/>
      </c>
      <c r="AB16" s="2117">
        <f>AVERAGE(T16:W16)</f>
        <v/>
      </c>
    </row>
    <row r="17" ht="12.75" customHeight="1" s="1439">
      <c r="D17" s="109" t="inlineStr">
        <is>
          <t>Total Expenses</t>
        </is>
      </c>
      <c r="E17" s="2118">
        <f>SUM(E10:E16)</f>
        <v/>
      </c>
      <c r="F17" s="2119">
        <f>SUM(F10:F15)</f>
        <v/>
      </c>
      <c r="G17" s="259" t="n"/>
      <c r="H17" s="2120">
        <f>SUM(H10:H16)</f>
        <v/>
      </c>
      <c r="I17" s="2119">
        <f>SUM(I10:I15)</f>
        <v/>
      </c>
      <c r="J17" s="111" t="n"/>
      <c r="K17" s="2118">
        <f>SUM(K10:K16)</f>
        <v/>
      </c>
      <c r="L17" s="2119">
        <f>SUM(L9:L15)</f>
        <v/>
      </c>
      <c r="M17" s="111" t="n"/>
      <c r="N17" s="2121">
        <f>SUM(N10:N16)</f>
        <v/>
      </c>
      <c r="O17" s="2102">
        <f>N17/N6</f>
        <v/>
      </c>
      <c r="P17" s="79" t="n"/>
      <c r="T17" s="113">
        <f>F17</f>
        <v/>
      </c>
      <c r="U17" s="113">
        <f>I17</f>
        <v/>
      </c>
      <c r="V17" s="113">
        <f>L17</f>
        <v/>
      </c>
      <c r="W17" s="129">
        <f>IF(ISERROR(Q31),"",IF(Q31=0,"",Q31))</f>
        <v/>
      </c>
      <c r="X17" s="113">
        <f>MIN(T17:W17)</f>
        <v/>
      </c>
      <c r="Y17" s="113">
        <f>MAX(T17:W17)</f>
        <v/>
      </c>
      <c r="AA17" s="127">
        <f>IF(X17=Y17,TEXT(X17,"$0.00;;-"),CONCATENATE(TEXT(X17,"$0.00;;-"),"–",TEXT(Y17,"$0.00;;-")))</f>
        <v/>
      </c>
      <c r="AB17" s="2117">
        <f>AVERAGE(T17:W17)</f>
        <v/>
      </c>
    </row>
    <row r="18">
      <c r="T18" s="113">
        <f>IF(H32=0,"",H32)</f>
        <v/>
      </c>
      <c r="U18" s="113">
        <f>IF(K32=0,"",K32)</f>
        <v/>
      </c>
      <c r="V18" s="113">
        <f>IF(N32=0,"",N32)</f>
        <v/>
      </c>
      <c r="W18" s="129">
        <f>IF(ISERROR(Q32),"",IF(Q32=0,"",Q32))</f>
        <v/>
      </c>
      <c r="X18" s="113">
        <f>MIN(T18:W18)</f>
        <v/>
      </c>
      <c r="Y18" s="113">
        <f>MAX(T18:W18)</f>
        <v/>
      </c>
      <c r="AA18" s="127">
        <f>IF(X18=Y18,TEXT(X18,"$0.00;;-"),CONCATENATE(TEXT(X18,"$0.00;;-"),"–",TEXT(Y18,"$0.00;;-")))</f>
        <v/>
      </c>
      <c r="AB18" s="2117">
        <f>AVERAGE(T18:W18)</f>
        <v/>
      </c>
    </row>
    <row r="19">
      <c r="T19" s="113">
        <f>IF(H33=0,"",H33)</f>
        <v/>
      </c>
      <c r="U19" s="113">
        <f>IF(K33=0,"",K33)</f>
        <v/>
      </c>
      <c r="V19" s="113">
        <f>IF(N33=0,"",N33)</f>
        <v/>
      </c>
      <c r="W19" s="129">
        <f>IF(ISERROR(Q33),"",IF(Q33=0,"",Q33))</f>
        <v/>
      </c>
      <c r="X19" s="113">
        <f>MIN(T19:W19)</f>
        <v/>
      </c>
      <c r="Y19" s="113">
        <f>MAX(T19:W19)</f>
        <v/>
      </c>
      <c r="AA19" s="127">
        <f>IF(X19=Y19,TEXT(X19,"$0.00;;-"),CONCATENATE(TEXT(X19,"$0.00;;-"),"–",TEXT(Y19,"$0.00;;-")))</f>
        <v/>
      </c>
      <c r="AB19" s="2117">
        <f>AVERAGE(T19:W19)</f>
        <v/>
      </c>
    </row>
    <row r="20">
      <c r="T20" s="113">
        <f>IF(H34=0,"",H34)</f>
        <v/>
      </c>
      <c r="U20" s="113">
        <f>IF(K34=0,"",K34)</f>
        <v/>
      </c>
      <c r="V20" s="113">
        <f>IF(N34=0,"",N34)</f>
        <v/>
      </c>
      <c r="W20" s="129">
        <f>IF(ISERROR(Q34),"",IF(Q34=0,"",Q34))</f>
        <v/>
      </c>
      <c r="X20" s="113">
        <f>MIN(T20:W20)</f>
        <v/>
      </c>
      <c r="Y20" s="113">
        <f>MAX(T20:W20)</f>
        <v/>
      </c>
      <c r="AA20" s="127">
        <f>IF(X20=Y20,TEXT(X20,"$0.00;;-"),CONCATENATE(TEXT(X20,"$0.00;;-"),"–",TEXT(Y20,"$0.00;;-")))</f>
        <v/>
      </c>
      <c r="AB20" s="2117">
        <f>AVERAGE(T20:W20)</f>
        <v/>
      </c>
    </row>
    <row r="21">
      <c r="T21" s="113">
        <f>IF(H35=0,"",H35)</f>
        <v/>
      </c>
      <c r="U21" s="113">
        <f>IF(K35=0,"",K35)</f>
        <v/>
      </c>
      <c r="V21" s="113">
        <f>IF(N35=0,"",N35)</f>
        <v/>
      </c>
      <c r="W21" s="129">
        <f>IF(ISERROR(Q35),"",IF(Q35=0,"",Q35))</f>
        <v/>
      </c>
      <c r="X21" s="113">
        <f>MIN(T21:W21)</f>
        <v/>
      </c>
      <c r="Y21" s="113">
        <f>MAX(T21:W21)</f>
        <v/>
      </c>
      <c r="AA21" s="127">
        <f>IF(X21=Y21,TEXT(X21,"$0.00;;-"),CONCATENATE(TEXT(X21,"$0.00;;-"),"–",TEXT(Y21,"$0.00;;-")))</f>
        <v/>
      </c>
      <c r="AB21" s="2117">
        <f>AVERAGE(T21:W21)</f>
        <v/>
      </c>
    </row>
    <row r="22">
      <c r="T22" s="113">
        <f>IF(H36=0,"",H36)</f>
        <v/>
      </c>
      <c r="U22" s="113">
        <f>IF(K36=0,"",K36)</f>
        <v/>
      </c>
      <c r="V22" s="113">
        <f>IF(N36=0,"",N36)</f>
        <v/>
      </c>
      <c r="W22" s="129">
        <f>IF(ISERROR(Q36),"",IF(Q36=0,"",Q36))</f>
        <v/>
      </c>
      <c r="X22" s="113">
        <f>MIN(T22:W22)</f>
        <v/>
      </c>
      <c r="Y22" s="113">
        <f>MAX(T22:W22)</f>
        <v/>
      </c>
      <c r="AA22" s="127">
        <f>IF(X22=Y22,TEXT(X22,"$0.00;;-"),CONCATENATE(TEXT(X22,"$0.00;;-"),"–",TEXT(Y22,"$0.00;;-")))</f>
        <v/>
      </c>
      <c r="AB22" s="2117">
        <f>AVERAGE(T22:W22)</f>
        <v/>
      </c>
    </row>
    <row r="23">
      <c r="T23" s="113">
        <f>IF(H37=0,"",H37)</f>
        <v/>
      </c>
      <c r="U23" s="113">
        <f>IF(K37=0,"",K37)</f>
        <v/>
      </c>
      <c r="V23" s="113">
        <f>IF(N37=0,"",N37)</f>
        <v/>
      </c>
      <c r="W23" s="129">
        <f>IF(ISERROR(Q37),"",IF(Q37=0,"",Q37))</f>
        <v/>
      </c>
      <c r="X23" s="113">
        <f>MIN(T23:W23)</f>
        <v/>
      </c>
      <c r="Y23" s="113">
        <f>MAX(T23:W23)</f>
        <v/>
      </c>
      <c r="AA23" s="127">
        <f>IF(X23=Y23,TEXT(X23,"$0.00;;-"),CONCATENATE(TEXT(X23,"$0.00;;-"),"–",TEXT(Y23,"$0.00;;-")))</f>
        <v/>
      </c>
      <c r="AB23" s="2117">
        <f>AVERAGE(T23:W23)</f>
        <v/>
      </c>
    </row>
    <row r="24">
      <c r="T24" s="113">
        <f>IF(H38=0,"",H38)</f>
        <v/>
      </c>
      <c r="U24" s="113">
        <f>IF(K38=0,"",K38)</f>
        <v/>
      </c>
      <c r="V24" s="113">
        <f>IF(N38=0,"",N38)</f>
        <v/>
      </c>
      <c r="W24" s="129">
        <f>IF(ISERROR(Q38),"",IF(Q38=0,"",Q38))</f>
        <v/>
      </c>
      <c r="X24" s="113">
        <f>MIN(T24:W24)</f>
        <v/>
      </c>
      <c r="Y24" s="113">
        <f>MAX(T24:W24)</f>
        <v/>
      </c>
      <c r="Z24" s="132" t="n"/>
      <c r="AA24" s="127">
        <f>IF(X24=Y24,TEXT(X24,"$0.00;;-"),CONCATENATE(TEXT(X24,"$0.00;;-"),"–",TEXT(Y24,"$0.00;;-")))</f>
        <v/>
      </c>
      <c r="AB24" s="2117">
        <f>AVERAGE(T24:W24)</f>
        <v/>
      </c>
    </row>
    <row r="25" ht="15.75" customHeight="1" s="1439" thickBot="1">
      <c r="T25" s="113">
        <f>IF(H39=0,"",H39)</f>
        <v/>
      </c>
      <c r="U25" s="113">
        <f>IF(K39=0,"",K39)</f>
        <v/>
      </c>
      <c r="V25" s="113">
        <f>IF(N39=0,"",N39)</f>
        <v/>
      </c>
      <c r="W25" s="129">
        <f>IF(Q39=0,"",Q39)</f>
        <v/>
      </c>
      <c r="X25" s="113">
        <f>MIN(T25:W25)</f>
        <v/>
      </c>
      <c r="Y25" s="113">
        <f>MAX(T25:W25)</f>
        <v/>
      </c>
      <c r="AA25" s="133">
        <f>IF(X25=Y25,TEXT(X25,"$0.00;;-"),CONCATENATE(TEXT(X25,"$0.00;;-"),"–",TEXT(Y25,"$0.00;;-")))</f>
        <v/>
      </c>
      <c r="AB25" s="2122">
        <f>AVERAGE(T25:W25)</f>
        <v/>
      </c>
    </row>
    <row r="26">
      <c r="T26" s="135">
        <f>IF(I38=0,"",I38)</f>
        <v/>
      </c>
      <c r="U26" s="135">
        <f>IF(L38=0,"",L38)</f>
        <v/>
      </c>
      <c r="V26" s="135">
        <f>IF(O38=0,"",O38)</f>
        <v/>
      </c>
      <c r="W26" s="135">
        <f>IF(R38=0,"",R38)</f>
        <v/>
      </c>
      <c r="X26" s="135">
        <f>MIN(T26:W26)</f>
        <v/>
      </c>
      <c r="Y26" s="135">
        <f>MAX(T26:W26)</f>
        <v/>
      </c>
      <c r="AA26" s="136">
        <f>IF(X26=Y26,TEXT(X26,"0%;-"),CONCATENATE(TEXT(X26,"0%;-"),"–",TEXT(Y26,"0%;-")))</f>
        <v/>
      </c>
    </row>
    <row r="27" ht="15.75" customHeight="1" s="1439" thickBot="1">
      <c r="AA27" s="137" t="n"/>
      <c r="AB27" s="137" t="n"/>
    </row>
    <row r="28">
      <c r="T28" s="43">
        <f>G42</f>
        <v/>
      </c>
      <c r="U28" s="43">
        <f>J42</f>
        <v/>
      </c>
      <c r="V28" s="43">
        <f>M42</f>
        <v/>
      </c>
      <c r="W28" s="43">
        <f>P42</f>
        <v/>
      </c>
      <c r="X28" s="43">
        <f>MIN(T28:W28)</f>
        <v/>
      </c>
      <c r="Y28" s="43">
        <f>MAX(T28:W28)</f>
        <v/>
      </c>
      <c r="AA28" s="138">
        <f>IF(X28=Y28,TEXT(X28,"$#,##0"),CONCATENATE(TEXT(X28,"$#,##0"),"–",TEXT(Y28,"$#,##0")))</f>
        <v/>
      </c>
      <c r="AB28" s="139">
        <f>IF(SUM(T28:W28)=0,0,ROUND(AVERAGE(T28:W28),0))</f>
        <v/>
      </c>
    </row>
    <row r="29">
      <c r="T29" s="113">
        <f>G43</f>
        <v/>
      </c>
      <c r="U29" s="113">
        <f>J43</f>
        <v/>
      </c>
      <c r="V29" s="113">
        <f>M43</f>
        <v/>
      </c>
      <c r="W29" s="113">
        <f>P43</f>
        <v/>
      </c>
      <c r="X29" s="113">
        <f>MIN(T29:W29)</f>
        <v/>
      </c>
      <c r="Y29" s="113">
        <f>MAX(T29:W29)</f>
        <v/>
      </c>
      <c r="AA29" s="2123">
        <f>IF(X29=Y29,TEXT(X29,"$0.00;;-"),CONCATENATE(TEXT(X29,"$0.00;;-"),"–",TEXT(Y29,"$0.00;;-")))</f>
        <v/>
      </c>
      <c r="AB29" s="141">
        <f>IF(SUM(T29:W29)=0,0,ROUND(AVERAGE(T29:W29),2))</f>
        <v/>
      </c>
    </row>
    <row r="30" ht="15.75" customHeight="1" s="1439" thickBot="1">
      <c r="T30" s="135">
        <f>G44</f>
        <v/>
      </c>
      <c r="U30" s="135">
        <f>J44</f>
        <v/>
      </c>
      <c r="V30" s="135">
        <f>M44</f>
        <v/>
      </c>
      <c r="W30" s="135">
        <f>P44</f>
        <v/>
      </c>
      <c r="X30" s="135">
        <f>MIN(T30:W30)</f>
        <v/>
      </c>
      <c r="Y30" s="135">
        <f>MAX(T30:W30)</f>
        <v/>
      </c>
      <c r="AA30" s="2124">
        <f>IF(X30=Y30,TEXT(X30,"0%;-"),CONCATENATE(TEXT(X30,"0%;-"),"–",TEXT(Y30,"0%;-")))</f>
        <v/>
      </c>
      <c r="AB30" s="143">
        <f>IF(SUM(T30:W30)=0,0,ROUND(AVERAGE(T30:W30),3))</f>
        <v/>
      </c>
    </row>
    <row r="45">
      <c r="T45" s="135" t="n"/>
      <c r="U45" s="135" t="n"/>
      <c r="V45" s="135" t="n"/>
      <c r="W45" s="135" t="n"/>
      <c r="X45" s="135" t="n"/>
      <c r="Y45" s="135" t="n"/>
      <c r="AA45" s="2125" t="n"/>
      <c r="AB45" s="2126" t="n"/>
    </row>
  </sheetData>
  <mergeCells count="5">
    <mergeCell ref="E3:G3"/>
    <mergeCell ref="K3:M3"/>
    <mergeCell ref="H3:J3"/>
    <mergeCell ref="N3:P3"/>
    <mergeCell ref="D2:P2"/>
  </mergeCells>
  <pageMargins left="0.7" right="0.7" top="0.75" bottom="0.75" header="0.3" footer="0.3"/>
  <pageSetup orientation="portrait"/>
</worksheet>
</file>

<file path=xl/worksheets/sheet20.xml><?xml version="1.0" encoding="utf-8"?>
<worksheet xmlns="http://schemas.openxmlformats.org/spreadsheetml/2006/main">
  <sheetPr>
    <outlinePr summaryBelow="1" summaryRight="1"/>
    <pageSetUpPr/>
  </sheetPr>
  <dimension ref="C2:O34"/>
  <sheetViews>
    <sheetView showGridLines="0" zoomScale="160" zoomScaleNormal="160" workbookViewId="0">
      <selection activeCell="N9" sqref="N9"/>
    </sheetView>
  </sheetViews>
  <sheetFormatPr baseColWidth="8" defaultRowHeight="15"/>
  <cols>
    <col width="28.5703125" customWidth="1" style="1439" min="5" max="5"/>
    <col width="10.7109375" customWidth="1" style="1439" min="6" max="7"/>
    <col hidden="1" width="10.140625" customWidth="1" style="1439" min="8" max="8"/>
    <col hidden="1" width="13" customWidth="1" style="1439" min="9" max="9"/>
    <col width="9.85546875" bestFit="1" customWidth="1" style="1439" min="10" max="10"/>
    <col hidden="1" width="40" customWidth="1" style="1439" min="11" max="11"/>
    <col hidden="1" width="13" customWidth="1" style="1439" min="15" max="15"/>
  </cols>
  <sheetData>
    <row r="2" ht="15.75" customHeight="1" s="1439">
      <c r="E2" s="1641" t="inlineStr">
        <is>
          <t>OPERATING EXPENSE COMPARISON AND CONCLUSION</t>
        </is>
      </c>
      <c r="O2" s="67">
        <f>LA!C5</f>
        <v/>
      </c>
    </row>
    <row r="3">
      <c r="C3" s="67">
        <f>LA!C5</f>
        <v/>
      </c>
      <c r="E3" s="94" t="n"/>
      <c r="F3" s="95" t="inlineStr">
        <is>
          <t>Expense Comps</t>
        </is>
      </c>
      <c r="G3" s="95" t="n"/>
      <c r="H3" s="94" t="n"/>
      <c r="I3" s="94" t="n"/>
      <c r="J3" s="94" t="n"/>
      <c r="K3" s="94" t="n"/>
    </row>
    <row r="4">
      <c r="E4" s="94" t="inlineStr">
        <is>
          <t>Expense Item</t>
        </is>
      </c>
      <c r="F4" s="94" t="inlineStr">
        <is>
          <t>Range</t>
        </is>
      </c>
      <c r="G4" s="94" t="inlineStr">
        <is>
          <t>Average</t>
        </is>
      </c>
      <c r="H4" s="94" t="n">
        <v>2016</v>
      </c>
      <c r="I4" s="94" t="n">
        <v>2017</v>
      </c>
      <c r="J4" s="94" t="inlineStr">
        <is>
          <t>Forecast</t>
        </is>
      </c>
      <c r="K4" s="94" t="inlineStr">
        <is>
          <t>Comments</t>
        </is>
      </c>
    </row>
    <row r="5">
      <c r="E5" s="96" t="inlineStr">
        <is>
          <t>Real Estate Taxes</t>
        </is>
      </c>
      <c r="F5" s="2127">
        <f>CED!AA10</f>
        <v/>
      </c>
      <c r="G5" s="2128">
        <f>CED!AB10</f>
        <v/>
      </c>
      <c r="H5" s="2129">
        <f>HOA!M24</f>
        <v/>
      </c>
      <c r="I5" s="2129">
        <f>HOA!P24</f>
        <v/>
      </c>
      <c r="J5" s="2130" t="n">
        <v>38203</v>
      </c>
      <c r="K5" s="2131" t="inlineStr">
        <is>
          <t>Taxes were previously concluded in the tax section of this report.</t>
        </is>
      </c>
    </row>
    <row r="6">
      <c r="E6" s="96" t="n"/>
      <c r="H6" s="2132">
        <f>H5/$O$2</f>
        <v/>
      </c>
      <c r="I6" s="2132">
        <f>I5/$O$2</f>
        <v/>
      </c>
      <c r="J6" s="2133">
        <f>J5/$O$2</f>
        <v/>
      </c>
    </row>
    <row r="7" ht="8.1" customHeight="1" s="1439">
      <c r="E7" s="96" t="n"/>
      <c r="F7" s="2134" t="n"/>
      <c r="G7" s="2129" t="n"/>
      <c r="H7" s="2129" t="n"/>
      <c r="I7" s="2129" t="n"/>
      <c r="J7" s="2135" t="n"/>
    </row>
    <row r="8">
      <c r="E8" s="96" t="inlineStr">
        <is>
          <t>Insurance</t>
        </is>
      </c>
      <c r="F8" s="2127">
        <f>CED!AA11</f>
        <v/>
      </c>
      <c r="G8" s="2128">
        <f>CED!AB11</f>
        <v/>
      </c>
      <c r="H8" s="2129">
        <f>HOA!M25</f>
        <v/>
      </c>
      <c r="I8" s="2129">
        <f>HOA!P25</f>
        <v/>
      </c>
      <c r="J8" s="2130">
        <f>J9*C3</f>
        <v/>
      </c>
      <c r="K8" s="2131" t="inlineStr">
        <is>
          <t xml:space="preserve">We apply an insurance expece for the subject near the middle of the comparables. </t>
        </is>
      </c>
    </row>
    <row r="9">
      <c r="E9" s="96" t="n"/>
      <c r="H9" s="2132">
        <f>H8/$O$2</f>
        <v/>
      </c>
      <c r="I9" s="2132">
        <f>I8/$O$2</f>
        <v/>
      </c>
      <c r="J9" s="2133" t="n">
        <v>1.25</v>
      </c>
    </row>
    <row r="10" ht="13.5" customHeight="1" s="1439">
      <c r="E10" s="96" t="n"/>
      <c r="F10" s="2136" t="n"/>
      <c r="G10" s="2129" t="n"/>
      <c r="H10" s="2129" t="n"/>
      <c r="I10" s="2129" t="n"/>
      <c r="J10" s="2135" t="n"/>
    </row>
    <row r="11">
      <c r="E11" s="103" t="inlineStr">
        <is>
          <t>Utilities</t>
        </is>
      </c>
      <c r="F11" s="2127">
        <f>CED!AA12</f>
        <v/>
      </c>
      <c r="G11" s="2128">
        <f>CED!AB12</f>
        <v/>
      </c>
      <c r="H11" s="2129">
        <f>HOA!M27</f>
        <v/>
      </c>
      <c r="I11" s="2129">
        <f>HOA!P27</f>
        <v/>
      </c>
      <c r="J11" s="2130">
        <f>J12*C3</f>
        <v/>
      </c>
      <c r="K11" s="2137" t="inlineStr">
        <is>
          <t xml:space="preserve">Comparables indicate a range of utility expenses between $1.50 and $2.23 per square foot. We apply a utilities expense for the subject near the middle of the range of comparables. </t>
        </is>
      </c>
    </row>
    <row r="12">
      <c r="E12" s="103" t="n"/>
      <c r="H12" s="2132">
        <f>H11/$O$2</f>
        <v/>
      </c>
      <c r="I12" s="2132">
        <f>I11/$O$2</f>
        <v/>
      </c>
      <c r="J12" s="2133" t="n">
        <v>1.5</v>
      </c>
    </row>
    <row r="13" ht="11.25" customHeight="1" s="1439">
      <c r="E13" s="103" t="n"/>
      <c r="F13" s="101" t="n"/>
      <c r="G13" s="2138" t="n"/>
      <c r="H13" s="2138" t="n"/>
      <c r="I13" s="2138" t="n"/>
      <c r="J13" s="2135" t="n"/>
    </row>
    <row r="14">
      <c r="E14" s="103" t="inlineStr">
        <is>
          <t>CAM Repairs and Maintenance</t>
        </is>
      </c>
      <c r="F14" s="2127">
        <f>CED!AA13</f>
        <v/>
      </c>
      <c r="G14" s="2128">
        <f>CED!AB13</f>
        <v/>
      </c>
      <c r="H14" s="2139">
        <f>HOA!M28</f>
        <v/>
      </c>
      <c r="I14" s="2139">
        <f>HOA!P28</f>
        <v/>
      </c>
      <c r="J14" s="2130">
        <f>J15*C3</f>
        <v/>
      </c>
      <c r="K14" s="2137" t="inlineStr">
        <is>
          <t>We conclude to an expense near the average of the comparables.</t>
        </is>
      </c>
    </row>
    <row r="15">
      <c r="E15" s="103" t="n"/>
      <c r="H15" s="2140">
        <f>H14/$O$2</f>
        <v/>
      </c>
      <c r="I15" s="2140">
        <f>I14/$O$2</f>
        <v/>
      </c>
      <c r="J15" s="2133" t="n">
        <v>1.5</v>
      </c>
    </row>
    <row r="16" ht="10.5" customHeight="1" s="1439">
      <c r="E16" s="103" t="n"/>
      <c r="F16" s="101" t="n"/>
      <c r="G16" s="2138" t="n"/>
      <c r="H16" s="2141" t="n"/>
      <c r="I16" s="2141" t="n"/>
      <c r="J16" s="2135" t="n"/>
    </row>
    <row r="17">
      <c r="E17" s="103" t="inlineStr">
        <is>
          <t>Management</t>
        </is>
      </c>
      <c r="F17" s="2138" t="inlineStr">
        <is>
          <t>N/R</t>
        </is>
      </c>
      <c r="G17" s="2134" t="inlineStr">
        <is>
          <t>N/R</t>
        </is>
      </c>
      <c r="H17" s="2139">
        <f>HOA!M30</f>
        <v/>
      </c>
      <c r="I17" s="2139">
        <f>HOA!P30</f>
        <v/>
      </c>
      <c r="J17" s="2130">
        <f>PF!G9*0.03</f>
        <v/>
      </c>
      <c r="K17" s="2137" t="inlineStr">
        <is>
          <t>Typical management expenses for similar properties range from 2% to 5% of EGI.  We conclude to an expense near 3% of EGI, which is within the range of the comparables on a PSF basis.</t>
        </is>
      </c>
    </row>
    <row r="18">
      <c r="E18" s="103" t="n"/>
      <c r="H18" s="2140">
        <f>H17/$O$2</f>
        <v/>
      </c>
      <c r="I18" s="2140">
        <f>I17/$O$2</f>
        <v/>
      </c>
      <c r="J18" s="2133">
        <f>J17/C3</f>
        <v/>
      </c>
    </row>
    <row r="19" ht="10.5" customHeight="1" s="1439">
      <c r="E19" s="103" t="n"/>
      <c r="F19" s="101" t="n"/>
      <c r="G19" s="2138" t="n"/>
      <c r="H19" s="2141" t="n"/>
      <c r="I19" s="2141" t="n"/>
      <c r="J19" s="2135" t="n"/>
    </row>
    <row r="20" hidden="1" s="1439">
      <c r="E20" s="103" t="inlineStr">
        <is>
          <t>Replacement Reserves</t>
        </is>
      </c>
      <c r="H20" s="2138">
        <f>H21/NRA</f>
        <v/>
      </c>
      <c r="I20" s="2138">
        <f>I21/NRA</f>
        <v/>
      </c>
      <c r="J20" s="2142" t="n">
        <v>0</v>
      </c>
      <c r="K20" s="2143" t="n"/>
    </row>
    <row r="21" hidden="1" s="1439">
      <c r="E21" s="103" t="n"/>
      <c r="F21" s="2138" t="n">
        <v>0</v>
      </c>
      <c r="G21" s="2138" t="n">
        <v>0</v>
      </c>
      <c r="H21" s="2138" t="n">
        <v>0</v>
      </c>
      <c r="I21" s="2138" t="n">
        <v>0</v>
      </c>
      <c r="J21" s="2144">
        <f>J20/$O$2</f>
        <v/>
      </c>
    </row>
    <row r="22" hidden="1" s="1439">
      <c r="E22" s="103" t="n"/>
      <c r="F22" s="101" t="n"/>
      <c r="G22" s="2138" t="n"/>
      <c r="H22" s="2138" t="n"/>
      <c r="I22" s="2138" t="n"/>
      <c r="J22" s="2145" t="n"/>
    </row>
    <row r="23" ht="12.75" customHeight="1" s="1439">
      <c r="E23" s="153" t="inlineStr">
        <is>
          <t>Total Operating Expenses</t>
        </is>
      </c>
      <c r="F23" s="163" t="n"/>
      <c r="G23" s="2146" t="n"/>
      <c r="H23" s="2147">
        <f>SUM(H5,H8,H11,H14,H17,H20)</f>
        <v/>
      </c>
      <c r="I23" s="2147">
        <f>SUM(I5,I8,I11,I14,I17,I20)</f>
        <v/>
      </c>
      <c r="J23" s="2148">
        <f>SUM(J5,J8,J11,J14,J17)</f>
        <v/>
      </c>
      <c r="K23" s="2149" t="n"/>
    </row>
    <row r="24" ht="12.75" customHeight="1" s="1439">
      <c r="E24" s="158" t="inlineStr">
        <is>
          <t>Total Operating Expenses Per SF</t>
        </is>
      </c>
      <c r="F24" s="2150" t="n"/>
      <c r="G24" s="2151" t="n"/>
      <c r="H24" s="2152">
        <f>SUM(H6,H9,H12,H15,H18,H21)</f>
        <v/>
      </c>
      <c r="I24" s="2152">
        <f>SUM(I6,I9,I12,I15,I18,I21)</f>
        <v/>
      </c>
      <c r="J24" s="2153">
        <f>J23/C3</f>
        <v/>
      </c>
      <c r="K24" s="162" t="n"/>
    </row>
    <row r="28">
      <c r="H28" s="2027">
        <f>H17/HOA!M22</f>
        <v/>
      </c>
      <c r="I28" s="2027">
        <f>I17/HOA!P22</f>
        <v/>
      </c>
    </row>
    <row r="29">
      <c r="H29" s="151">
        <f>J23</f>
        <v/>
      </c>
    </row>
    <row r="30">
      <c r="H30" t="n">
        <v>0</v>
      </c>
    </row>
    <row r="31">
      <c r="H31" s="151">
        <f>SUM(H29:H30)</f>
        <v/>
      </c>
    </row>
    <row r="32">
      <c r="H32" t="n">
        <v>0</v>
      </c>
    </row>
    <row r="34">
      <c r="H34" s="151">
        <f>SUM(H31:H32)</f>
        <v/>
      </c>
      <c r="I34">
        <f>J17</f>
        <v/>
      </c>
      <c r="J34" s="152">
        <f>I34/H34</f>
        <v/>
      </c>
    </row>
  </sheetData>
  <mergeCells count="17">
    <mergeCell ref="G5:G6"/>
    <mergeCell ref="G17:G18"/>
    <mergeCell ref="F5:F6"/>
    <mergeCell ref="G8:G9"/>
    <mergeCell ref="K17:K19"/>
    <mergeCell ref="F8:F9"/>
    <mergeCell ref="F17:F18"/>
    <mergeCell ref="K11:K13"/>
    <mergeCell ref="K20:K22"/>
    <mergeCell ref="K8:K10"/>
    <mergeCell ref="K5:K7"/>
    <mergeCell ref="K14:K16"/>
    <mergeCell ref="E2:K2"/>
    <mergeCell ref="F11:F12"/>
    <mergeCell ref="G11:G12"/>
    <mergeCell ref="G14:G15"/>
    <mergeCell ref="F14:F15"/>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E2:H18"/>
  <sheetViews>
    <sheetView showGridLines="0" workbookViewId="0">
      <selection activeCell="G16" sqref="G16"/>
    </sheetView>
  </sheetViews>
  <sheetFormatPr baseColWidth="8" defaultRowHeight="15"/>
  <cols>
    <col width="33.85546875" customWidth="1" style="1439" min="5" max="5"/>
    <col width="6.5703125" customWidth="1" style="1439" min="6" max="6"/>
    <col width="9.5703125" bestFit="1" customWidth="1" style="1439" min="7" max="7"/>
  </cols>
  <sheetData>
    <row r="2" ht="15.75" customHeight="1" s="1439">
      <c r="E2" s="1649" t="inlineStr">
        <is>
          <t>PRO FORMA OPERATIONS</t>
        </is>
      </c>
      <c r="F2" s="1650" t="n"/>
      <c r="G2" s="1650" t="n"/>
      <c r="H2" s="1650" t="n"/>
    </row>
    <row r="3" ht="15" customHeight="1" s="1439">
      <c r="E3" s="1" t="inlineStr">
        <is>
          <t>Income</t>
        </is>
      </c>
      <c r="F3" s="1" t="n"/>
      <c r="G3" s="167" t="inlineStr">
        <is>
          <t>$</t>
        </is>
      </c>
      <c r="H3" s="167" t="inlineStr">
        <is>
          <t>Per SF</t>
        </is>
      </c>
    </row>
    <row r="4" ht="12.75" customHeight="1" s="1439">
      <c r="E4" s="168" t="inlineStr">
        <is>
          <t>Gross Potential Rent</t>
        </is>
      </c>
      <c r="F4" s="169" t="n"/>
      <c r="G4" s="2154">
        <f>'Income Approach'!D37</f>
        <v/>
      </c>
      <c r="H4" s="2155">
        <f>G4/LA!C5</f>
        <v/>
      </c>
    </row>
    <row r="5" ht="12.75" customHeight="1" s="1439">
      <c r="E5" s="168" t="inlineStr">
        <is>
          <t>Expense Recoveries</t>
        </is>
      </c>
      <c r="F5" s="169" t="n"/>
      <c r="G5" s="2156" t="n">
        <v>0</v>
      </c>
      <c r="H5" s="2155">
        <f>G5/LA!C5</f>
        <v/>
      </c>
    </row>
    <row r="6" ht="12.75" customHeight="1" s="1439">
      <c r="E6" s="188" t="inlineStr">
        <is>
          <t>Total Potential Gross Income</t>
        </is>
      </c>
      <c r="F6" s="207" t="n"/>
      <c r="G6" s="2157">
        <f>SUM(G4:G5)</f>
        <v/>
      </c>
      <c r="H6" s="2158">
        <f>G6/LA!C5</f>
        <v/>
      </c>
    </row>
    <row r="7" ht="12.75" customHeight="1" s="1439">
      <c r="E7" s="168" t="inlineStr">
        <is>
          <t>Less Vacancy/Collection Loss</t>
        </is>
      </c>
      <c r="F7" s="171">
        <f>'Income Approach'!D22</f>
        <v/>
      </c>
      <c r="G7" s="2159">
        <f>-(F7*G6)</f>
        <v/>
      </c>
      <c r="H7" s="2155">
        <f>G7/LA!C5</f>
        <v/>
      </c>
    </row>
    <row r="8" hidden="1" ht="12.75" customHeight="1" s="1439">
      <c r="E8" s="168" t="inlineStr">
        <is>
          <t>Less Collection Loss</t>
        </is>
      </c>
      <c r="F8" s="171" t="n">
        <v>0</v>
      </c>
      <c r="G8" s="2159">
        <f>-(F8*G6)</f>
        <v/>
      </c>
      <c r="H8" s="2155">
        <f>G8/LA!C5</f>
        <v/>
      </c>
    </row>
    <row r="9" ht="12.75" customHeight="1" s="1439">
      <c r="E9" s="188" t="inlineStr">
        <is>
          <t>Effective Gross Income (EGI)</t>
        </is>
      </c>
      <c r="F9" s="207" t="n"/>
      <c r="G9" s="2157">
        <f>SUM(G6:G8)</f>
        <v/>
      </c>
      <c r="H9" s="2160">
        <f>G9/LA!C5</f>
        <v/>
      </c>
    </row>
    <row r="10" ht="15" customHeight="1" s="1439">
      <c r="E10" s="173" t="inlineStr">
        <is>
          <t xml:space="preserve">Expenses  </t>
        </is>
      </c>
      <c r="F10" s="174" t="n"/>
      <c r="G10" s="2161" t="n"/>
      <c r="H10" s="2162" t="n"/>
    </row>
    <row r="11" ht="12.75" customHeight="1" s="1439">
      <c r="E11" s="168" t="inlineStr">
        <is>
          <t>Real Estate Taxes</t>
        </is>
      </c>
      <c r="F11" s="177" t="n"/>
      <c r="G11" s="2159" t="n">
        <v>0</v>
      </c>
      <c r="H11" s="2163">
        <f>G11/LA!$C$5</f>
        <v/>
      </c>
    </row>
    <row r="12" ht="12.75" customHeight="1" s="1439">
      <c r="E12" s="168" t="inlineStr">
        <is>
          <t>Insurance</t>
        </is>
      </c>
      <c r="F12" s="177" t="n"/>
      <c r="G12" s="2159" t="n">
        <v>0</v>
      </c>
      <c r="H12" s="2163">
        <f>G12/LA!$C$5</f>
        <v/>
      </c>
    </row>
    <row r="13" ht="12.75" customHeight="1" s="1439">
      <c r="E13" s="168" t="inlineStr">
        <is>
          <t>Utilities</t>
        </is>
      </c>
      <c r="F13" s="177" t="n"/>
      <c r="G13" s="2159" t="n">
        <v>0</v>
      </c>
      <c r="H13" s="2163">
        <f>G13/LA!$C$5</f>
        <v/>
      </c>
    </row>
    <row r="14" ht="12.75" customHeight="1" s="1439">
      <c r="E14" s="168" t="inlineStr">
        <is>
          <t>CAM Repairs and Maintenance</t>
        </is>
      </c>
      <c r="F14" s="169" t="n"/>
      <c r="G14" s="2159" t="n">
        <v>0</v>
      </c>
      <c r="H14" s="2163">
        <f>G14/LA!$C$5</f>
        <v/>
      </c>
    </row>
    <row r="15" ht="12.75" customHeight="1" s="1439">
      <c r="E15" s="168" t="inlineStr">
        <is>
          <t>Management</t>
        </is>
      </c>
      <c r="F15" s="169" t="n"/>
      <c r="G15" s="2159" t="n">
        <v>0</v>
      </c>
      <c r="H15" s="2163">
        <f>G15/LA!$C$5</f>
        <v/>
      </c>
    </row>
    <row r="16" ht="12.75" customHeight="1" s="1439">
      <c r="E16" s="168" t="inlineStr">
        <is>
          <t>Replacement Reserves</t>
        </is>
      </c>
      <c r="F16" s="169" t="n"/>
      <c r="G16" s="2159">
        <f>H16*'Property Info'!B6</f>
        <v/>
      </c>
      <c r="H16" s="2163" t="n">
        <v>0.25</v>
      </c>
    </row>
    <row r="17" ht="12.75" customHeight="1" s="1439">
      <c r="E17" s="170" t="inlineStr">
        <is>
          <t>Total Expenses</t>
        </is>
      </c>
      <c r="F17" s="2164">
        <f>G17/G9</f>
        <v/>
      </c>
      <c r="G17" s="2165">
        <f>SUM(G11:G16)</f>
        <v/>
      </c>
      <c r="H17" s="2166">
        <f>G17/LA!C5</f>
        <v/>
      </c>
    </row>
    <row r="18" ht="12.75" customHeight="1" s="1439">
      <c r="E18" s="188" t="inlineStr">
        <is>
          <t>Net Operating Income (NOI)</t>
        </is>
      </c>
      <c r="F18" s="207" t="n"/>
      <c r="G18" s="2157">
        <f>G9-G17</f>
        <v/>
      </c>
      <c r="H18" s="2160">
        <f>G18/LA!C5</f>
        <v/>
      </c>
    </row>
  </sheetData>
  <mergeCells count="1">
    <mergeCell ref="E2:H2"/>
  </mergeCells>
  <dataValidations count="4">
    <dataValidation sqref="F8" showDropDown="0" showInputMessage="1" showErrorMessage="1" allowBlank="1" prompt="Autopopulates from Collection Loss entered in Cell D5._x000a_"/>
    <dataValidation sqref="F7" showDropDown="0" showInputMessage="1" showErrorMessage="1" allowBlank="1" prompt="Autopopulates from Physical Vacancy entered in Cell D4._x000a_"/>
    <dataValidation sqref="G5" showDropDown="0" showInputMessage="1" showErrorMessage="1" allowBlank="1" prompt="Enter recoverable expenses amount from the relevant Expense Recoveries table on the Recoveries tab (e.g. Multi-tenant or Single-tenant)._x000a_"/>
    <dataValidation sqref="G4" showDropDown="0" showInputMessage="1" showErrorMessage="1" allowBlank="1" prompt="Gross Potential Rent default autopopulates for Multi-Tenant Properties from the RentRoll tab (Cell C13).  If you have a Single-Tenant Property, change this to pull from the STMarketRentConclusions, Gross Potential Rent (Cell C20)."/>
  </dataValidations>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sheetPr>
  <dimension ref="B2:U63"/>
  <sheetViews>
    <sheetView showGridLines="0" topLeftCell="N1" workbookViewId="0">
      <selection activeCell="T49" sqref="T49"/>
    </sheetView>
  </sheetViews>
  <sheetFormatPr baseColWidth="8" defaultRowHeight="15"/>
  <cols>
    <col width="6.28515625" customWidth="1" style="1439" min="2" max="2"/>
    <col width="23" bestFit="1" customWidth="1" style="1439" min="3" max="3"/>
    <col hidden="1" width="9.7109375" customWidth="1" style="1439" min="4" max="4"/>
    <col hidden="1" width="38.140625" customWidth="1" style="1439" min="5" max="5"/>
    <col hidden="1" width="9.7109375" customWidth="1" style="1439" min="6" max="6"/>
    <col hidden="1" width="13.85546875" customWidth="1" style="1439" min="7" max="7"/>
    <col hidden="1" width="7.140625" customWidth="1" style="1439" min="8" max="8"/>
    <col hidden="1" width="9" customWidth="1" style="1439" min="9" max="9"/>
    <col hidden="1" width="8.42578125" customWidth="1" style="1439" min="10" max="10"/>
    <col hidden="1" width="7.140625" customWidth="1" style="1439" min="11" max="11"/>
    <col hidden="1" width="9.140625" customWidth="1" style="1439" min="12" max="12"/>
    <col hidden="1" width="11.42578125" customWidth="1" style="1439" min="13" max="13"/>
    <col width="12" bestFit="1" customWidth="1" style="1439" min="15" max="15"/>
    <col width="25.5703125" customWidth="1" style="1439" min="16" max="18"/>
    <col width="32.85546875" bestFit="1" customWidth="1" style="1439" min="20" max="20"/>
    <col width="20.7109375" bestFit="1" customWidth="1" style="1439" min="21" max="21"/>
  </cols>
  <sheetData>
    <row r="2" ht="15.75" customHeight="1" s="1439">
      <c r="B2" s="1552" t="inlineStr">
        <is>
          <t xml:space="preserve"> MARKET DERIVED CAPITALIZATION RATE SUMMARY</t>
        </is>
      </c>
    </row>
    <row r="3" ht="26.25" customHeight="1" s="1439">
      <c r="B3" s="1640" t="n"/>
      <c r="C3" s="1640" t="n"/>
      <c r="D3" s="1640" t="n"/>
      <c r="E3" s="181" t="n"/>
      <c r="F3" s="182" t="n"/>
      <c r="G3" s="182" t="n"/>
      <c r="H3" s="182" t="n"/>
      <c r="I3" s="182" t="n"/>
      <c r="J3" s="182" t="n"/>
      <c r="K3" s="182" t="n"/>
      <c r="L3" s="182" t="n"/>
      <c r="M3" s="182" t="n"/>
      <c r="Q3" s="1691" t="n"/>
    </row>
    <row r="4" ht="12.75" customHeight="1" s="1439">
      <c r="B4" s="169" t="n"/>
      <c r="C4" s="169" t="n"/>
      <c r="D4" s="169" t="n"/>
      <c r="E4" s="13" t="n"/>
      <c r="F4" s="2167" t="n"/>
      <c r="G4" s="347" t="n"/>
      <c r="H4" s="348" t="n"/>
      <c r="I4" s="349" t="n"/>
      <c r="J4" s="2168" t="n"/>
      <c r="K4" s="2169" t="n"/>
      <c r="L4" s="349" t="n"/>
      <c r="M4" s="351" t="n"/>
      <c r="N4" s="1691" t="n"/>
      <c r="O4" s="2170" t="n"/>
      <c r="P4" s="676" t="n"/>
      <c r="Q4" s="2170" t="n"/>
      <c r="R4" s="1691" t="n"/>
      <c r="S4" s="152" t="n"/>
    </row>
    <row r="5" ht="12.75" customHeight="1" s="1439">
      <c r="B5" s="169" t="n"/>
      <c r="C5" s="169" t="n"/>
      <c r="D5" s="169" t="n"/>
      <c r="E5" s="13" t="n"/>
      <c r="F5" s="2167" t="n"/>
      <c r="G5" s="347" t="n"/>
      <c r="H5" s="348" t="n"/>
      <c r="I5" s="349" t="n"/>
      <c r="J5" s="2168" t="n"/>
      <c r="K5" s="2169" t="n"/>
      <c r="L5" s="349" t="n"/>
      <c r="M5" s="351" t="n"/>
      <c r="O5" s="2170" t="n"/>
      <c r="P5" s="676" t="n"/>
      <c r="Q5" s="2170" t="n"/>
      <c r="R5" s="1691" t="n"/>
      <c r="S5" s="152" t="n"/>
    </row>
    <row r="6" ht="12.75" customHeight="1" s="1439">
      <c r="B6" s="169" t="n"/>
      <c r="C6" s="169" t="n"/>
      <c r="D6" s="169" t="n"/>
      <c r="E6" s="345" t="n"/>
      <c r="F6" s="2167" t="n"/>
      <c r="G6" s="352" t="n"/>
      <c r="H6" s="348" t="n"/>
      <c r="I6" s="349" t="n"/>
      <c r="J6" s="2168" t="n"/>
      <c r="K6" s="2169" t="n"/>
      <c r="L6" s="349" t="n"/>
      <c r="M6" s="351" t="n"/>
      <c r="O6" s="2170" t="n"/>
      <c r="P6" s="676" t="n"/>
      <c r="Q6" s="2170" t="n"/>
      <c r="R6" s="1691" t="n"/>
      <c r="S6" s="152" t="n"/>
    </row>
    <row r="7" ht="12.75" customHeight="1" s="1439">
      <c r="B7" s="169" t="n"/>
      <c r="C7" s="169" t="n"/>
      <c r="D7" s="169" t="n"/>
      <c r="E7" s="13" t="n"/>
      <c r="F7" s="2167" t="n"/>
      <c r="G7" s="347" t="n"/>
      <c r="H7" s="348" t="n"/>
      <c r="I7" s="349" t="n"/>
      <c r="J7" s="2168" t="n"/>
      <c r="K7" s="2169" t="n"/>
      <c r="L7" s="349" t="n"/>
      <c r="M7" s="351" t="n"/>
      <c r="O7" s="2170" t="n"/>
      <c r="P7" s="676" t="n"/>
      <c r="Q7" s="2170" t="n"/>
      <c r="R7" s="1691" t="n"/>
      <c r="S7" s="152" t="n"/>
    </row>
    <row r="8" ht="12.75" customHeight="1" s="1439">
      <c r="B8" s="169" t="n"/>
      <c r="C8" s="169" t="n"/>
      <c r="D8" s="169" t="n"/>
      <c r="E8" s="345" t="n"/>
      <c r="F8" s="2167" t="n"/>
      <c r="G8" s="347" t="n"/>
      <c r="H8" s="348" t="n"/>
      <c r="I8" s="349" t="n"/>
      <c r="J8" s="2168" t="n"/>
      <c r="K8" s="2169" t="n"/>
      <c r="L8" s="349" t="n"/>
      <c r="M8" s="351" t="n"/>
      <c r="O8" s="2170" t="n"/>
      <c r="P8" s="676" t="n"/>
      <c r="Q8" s="2170" t="n"/>
      <c r="R8" s="1691" t="n"/>
      <c r="S8" s="152" t="n"/>
    </row>
    <row r="9" ht="12.75" customHeight="1" s="1439">
      <c r="B9" s="169" t="n"/>
      <c r="C9" s="169" t="n"/>
      <c r="D9" s="169" t="n"/>
      <c r="E9" s="13" t="n"/>
      <c r="F9" s="2167" t="n"/>
      <c r="G9" s="347" t="n"/>
      <c r="H9" s="348" t="n"/>
      <c r="I9" s="349" t="n"/>
      <c r="J9" s="2168" t="n"/>
      <c r="K9" s="2169" t="n"/>
      <c r="L9" s="349" t="n"/>
      <c r="M9" s="351" t="n"/>
      <c r="O9" s="2170" t="n"/>
      <c r="P9" s="676" t="n"/>
      <c r="Q9" s="2170" t="n"/>
      <c r="R9" s="1691" t="n"/>
      <c r="S9" s="152" t="n"/>
    </row>
    <row r="10" ht="12.75" customHeight="1" s="1439">
      <c r="B10" s="169" t="n"/>
      <c r="C10" s="169" t="n"/>
      <c r="D10" s="169" t="n"/>
      <c r="E10" s="345" t="n"/>
      <c r="F10" s="2167" t="n"/>
      <c r="G10" s="347" t="n"/>
      <c r="H10" s="348" t="n"/>
      <c r="I10" s="349" t="n"/>
      <c r="J10" s="2168" t="n"/>
      <c r="K10" s="2169" t="n"/>
      <c r="L10" s="349" t="n"/>
      <c r="M10" s="351" t="n"/>
      <c r="O10" s="2170" t="n"/>
      <c r="P10" s="676" t="n"/>
      <c r="Q10" s="2170" t="n"/>
      <c r="R10" s="1691" t="n"/>
      <c r="S10" s="152" t="n"/>
    </row>
    <row r="11" ht="12.75" customHeight="1" s="1439">
      <c r="B11" s="169" t="n"/>
      <c r="C11" s="169" t="n"/>
      <c r="D11" s="169" t="n"/>
      <c r="E11" s="345" t="n"/>
      <c r="F11" s="2167" t="n"/>
      <c r="G11" s="347" t="n"/>
      <c r="H11" s="348" t="n"/>
      <c r="I11" s="349" t="n"/>
      <c r="J11" s="2168" t="n"/>
      <c r="K11" s="2169" t="n"/>
      <c r="L11" s="349" t="n"/>
      <c r="M11" s="351" t="n"/>
      <c r="O11" s="2170" t="n"/>
      <c r="P11" s="676" t="n"/>
      <c r="Q11" s="2170" t="n"/>
      <c r="R11" s="1691" t="n"/>
      <c r="S11" s="152" t="n"/>
    </row>
    <row r="12" hidden="1" ht="12.75" customHeight="1" s="1439">
      <c r="B12" s="169" t="n"/>
      <c r="C12" s="169" t="n"/>
      <c r="D12" s="169" t="n"/>
      <c r="E12" s="13" t="n"/>
      <c r="F12" s="2171" t="n"/>
      <c r="G12" s="271" t="n"/>
      <c r="H12" s="272" t="n"/>
      <c r="I12" s="273" t="n"/>
      <c r="J12" s="2172" t="n"/>
      <c r="K12" s="2173" t="n"/>
      <c r="L12" s="273" t="n"/>
      <c r="M12" s="171" t="n"/>
    </row>
    <row r="13" hidden="1" ht="12.75" customHeight="1" s="1439">
      <c r="B13" s="169" t="n"/>
      <c r="C13" s="169" t="n"/>
      <c r="D13" s="169" t="n"/>
      <c r="E13" s="13" t="n"/>
      <c r="F13" s="2171" t="n"/>
      <c r="G13" s="271" t="n"/>
      <c r="H13" s="271" t="n"/>
      <c r="I13" s="271" t="n"/>
      <c r="J13" s="271" t="n"/>
      <c r="K13" s="271" t="n"/>
      <c r="L13" s="271" t="n"/>
      <c r="M13" s="171" t="n"/>
    </row>
    <row r="14" ht="12.75" customHeight="1" s="1439">
      <c r="B14" s="183" t="inlineStr">
        <is>
          <t xml:space="preserve"> Low</t>
        </is>
      </c>
      <c r="C14" s="183" t="n"/>
      <c r="D14" s="183" t="n"/>
      <c r="E14" s="184" t="n"/>
      <c r="F14" s="184" t="n"/>
      <c r="G14" s="184" t="n"/>
      <c r="H14" s="184" t="n"/>
      <c r="I14" s="184" t="n"/>
      <c r="J14" s="184" t="n"/>
      <c r="K14" s="184" t="n"/>
      <c r="L14" s="184" t="n"/>
      <c r="M14" s="185">
        <f>ROUND(MIN(M4:M13),4)</f>
        <v/>
      </c>
    </row>
    <row r="15" ht="12.75" customHeight="1" s="1439">
      <c r="B15" s="13" t="inlineStr">
        <is>
          <t xml:space="preserve"> High</t>
        </is>
      </c>
      <c r="C15" s="13" t="n"/>
      <c r="D15" s="13" t="n"/>
      <c r="E15" s="186" t="n"/>
      <c r="F15" s="186" t="n"/>
      <c r="G15" s="186" t="n"/>
      <c r="H15" s="186" t="n"/>
      <c r="I15" s="186" t="n"/>
      <c r="J15" s="186" t="n"/>
      <c r="K15" s="186" t="n"/>
      <c r="L15" s="186" t="n"/>
      <c r="M15" s="187">
        <f>ROUND(MAX(M4:M13),4)</f>
        <v/>
      </c>
    </row>
    <row r="16" ht="12.75" customHeight="1" s="1439">
      <c r="B16" s="13" t="inlineStr">
        <is>
          <t xml:space="preserve"> Median</t>
        </is>
      </c>
      <c r="C16" s="13" t="n"/>
      <c r="D16" s="13" t="n"/>
      <c r="E16" s="186" t="n"/>
      <c r="F16" s="186" t="n"/>
      <c r="G16" s="186" t="n"/>
      <c r="H16" s="186" t="n"/>
      <c r="I16" s="186" t="n"/>
      <c r="J16" s="186" t="n"/>
      <c r="K16" s="186" t="n"/>
      <c r="L16" s="186" t="n"/>
      <c r="M16" s="187">
        <f>ROUND(MEDIAN(M4:M13),4)</f>
        <v/>
      </c>
    </row>
    <row r="17" ht="12.75" customHeight="1" s="1439">
      <c r="B17" s="13" t="inlineStr">
        <is>
          <t xml:space="preserve"> Average</t>
        </is>
      </c>
      <c r="C17" s="13" t="n"/>
      <c r="D17" s="13" t="n"/>
      <c r="E17" s="186" t="n"/>
      <c r="F17" s="186" t="n"/>
      <c r="G17" s="186" t="n"/>
      <c r="H17" s="186" t="n"/>
      <c r="I17" s="186" t="n"/>
      <c r="J17" s="186" t="n"/>
      <c r="K17" s="186" t="n"/>
      <c r="L17" s="186" t="n"/>
      <c r="M17" s="187">
        <f>ROUND(AVERAGE(M4:M12),4)</f>
        <v/>
      </c>
    </row>
    <row r="18" ht="12.75" customHeight="1" s="1439">
      <c r="B18" s="188" t="inlineStr">
        <is>
          <t>Appraiser's Concluded Range</t>
        </is>
      </c>
      <c r="C18" s="188" t="n"/>
      <c r="D18" s="188" t="n"/>
      <c r="E18" s="188" t="n"/>
      <c r="F18" s="188" t="n"/>
      <c r="G18" s="188" t="n"/>
      <c r="H18" s="188" t="n"/>
      <c r="I18" s="188" t="n"/>
      <c r="J18" s="188" t="n"/>
      <c r="K18" s="188" t="n"/>
      <c r="L18" s="188" t="n"/>
      <c r="M18" s="189" t="inlineStr">
        <is>
          <t>6.00% - 6.50%</t>
        </is>
      </c>
    </row>
    <row r="20">
      <c r="O20" s="1552" t="inlineStr">
        <is>
          <t>Third Party Surveys - Capitalization Rates</t>
        </is>
      </c>
    </row>
    <row r="21">
      <c r="O21" s="69" t="inlineStr">
        <is>
          <t>Category</t>
        </is>
      </c>
      <c r="P21" s="1640" t="inlineStr">
        <is>
          <t>CoStar</t>
        </is>
      </c>
      <c r="Q21" s="1640" t="inlineStr">
        <is>
          <t>CoStar</t>
        </is>
      </c>
      <c r="R21" s="1640" t="inlineStr">
        <is>
          <t>CoStar</t>
        </is>
      </c>
    </row>
    <row r="22" ht="12.75" customHeight="1" s="1439">
      <c r="O22" s="672" t="inlineStr">
        <is>
          <t>Date of Survey</t>
        </is>
      </c>
      <c r="P22" s="734" t="inlineStr">
        <is>
          <t>1/1/2019-6/30/2020</t>
        </is>
      </c>
      <c r="Q22" s="734" t="inlineStr">
        <is>
          <t>1/1/2019-6/30/2020</t>
        </is>
      </c>
      <c r="R22" s="734" t="inlineStr">
        <is>
          <t>1/1/2019-6/30/2020</t>
        </is>
      </c>
    </row>
    <row r="23" ht="12.75" customHeight="1" s="1439">
      <c r="O23" s="672" t="inlineStr">
        <is>
          <t>Market</t>
        </is>
      </c>
      <c r="P23" s="735" t="inlineStr">
        <is>
          <t>Adams County</t>
        </is>
      </c>
      <c r="Q23" s="735" t="inlineStr">
        <is>
          <t>North Metro Denver</t>
        </is>
      </c>
      <c r="R23" s="734" t="inlineStr">
        <is>
          <t>Denver CBSA</t>
        </is>
      </c>
    </row>
    <row r="24" ht="12.75" customHeight="1" s="1439">
      <c r="O24" s="672" t="inlineStr">
        <is>
          <t>Property Type</t>
        </is>
      </c>
      <c r="P24" s="734" t="inlineStr">
        <is>
          <t>Industrial - 10,000 SF - 50,000 SF</t>
        </is>
      </c>
      <c r="Q24" s="734" t="inlineStr">
        <is>
          <t>Industrial - 10,000 SF - 50,000 SF</t>
        </is>
      </c>
      <c r="R24" s="734" t="inlineStr">
        <is>
          <t>Industrial - 10,000 SF - 50,000 SF</t>
        </is>
      </c>
    </row>
    <row r="25" ht="12.75" customHeight="1" s="1439">
      <c r="O25" s="673" t="inlineStr">
        <is>
          <t>Range Average</t>
        </is>
      </c>
      <c r="P25" s="736" t="inlineStr">
        <is>
          <t>4.0% -8.4%</t>
        </is>
      </c>
      <c r="Q25" s="737" t="inlineStr">
        <is>
          <t xml:space="preserve">4.0% - 10.0% </t>
        </is>
      </c>
      <c r="R25" s="736" t="inlineStr">
        <is>
          <t>4.0% - 11.5%</t>
        </is>
      </c>
    </row>
    <row r="26" ht="12.75" customHeight="1" s="1439">
      <c r="O26" s="674" t="inlineStr">
        <is>
          <t>Average</t>
        </is>
      </c>
      <c r="P26" s="738" t="n">
        <v>0.064</v>
      </c>
      <c r="Q26" s="739" t="n">
        <v>0.066</v>
      </c>
      <c r="R26" s="738" t="n">
        <v>0.06900000000000001</v>
      </c>
    </row>
    <row r="27" hidden="1" ht="12.75" customHeight="1" s="1439">
      <c r="O27" s="232" t="n"/>
      <c r="P27" s="230" t="n"/>
      <c r="Q27" s="231" t="n"/>
    </row>
    <row r="28" hidden="1" ht="12.75" customHeight="1" s="1439">
      <c r="O28" s="232" t="n"/>
      <c r="P28" s="230" t="n"/>
      <c r="Q28" s="231" t="n"/>
    </row>
    <row r="29" hidden="1" ht="12.75" customHeight="1" s="1439">
      <c r="O29" s="232" t="n"/>
      <c r="P29" s="230" t="n"/>
      <c r="Q29" s="231" t="n"/>
    </row>
    <row r="30" ht="12.75" customHeight="1" s="1439">
      <c r="O30" s="229" t="n"/>
      <c r="P30" s="230" t="n"/>
      <c r="Q30" s="231" t="n"/>
    </row>
    <row r="31" ht="12.75" customHeight="1" s="1439">
      <c r="O31" s="232" t="n"/>
      <c r="P31" s="230" t="n"/>
      <c r="Q31" s="231" t="n"/>
    </row>
    <row r="32" hidden="1" ht="12.75" customHeight="1" s="1439">
      <c r="O32" s="232" t="n"/>
      <c r="P32" s="230" t="n"/>
      <c r="Q32" s="231" t="n"/>
    </row>
    <row r="33" hidden="1" ht="12.75" customHeight="1" s="1439">
      <c r="O33" s="232" t="n"/>
      <c r="P33" s="230" t="n"/>
      <c r="Q33" s="231" t="n"/>
    </row>
    <row r="34" hidden="1" ht="12.75" customHeight="1" s="1439">
      <c r="O34" s="229" t="n"/>
      <c r="P34" s="353" t="n"/>
      <c r="Q34" s="354" t="n"/>
    </row>
    <row r="35" hidden="1" ht="12.75" customHeight="1" s="1439">
      <c r="O35" s="232" t="n"/>
      <c r="P35" s="230" t="n"/>
      <c r="Q35" s="231" t="n"/>
    </row>
    <row r="36" hidden="1" ht="12.75" customHeight="1" s="1439">
      <c r="O36" s="232" t="n"/>
      <c r="P36" s="230" t="n"/>
      <c r="Q36" s="231" t="n"/>
    </row>
    <row r="37" ht="12.75" customHeight="1" s="1439">
      <c r="O37" s="233" t="n"/>
      <c r="P37" s="234" t="n"/>
      <c r="Q37" s="189" t="n"/>
    </row>
    <row r="40" ht="15" customHeight="1" s="1439">
      <c r="T40" s="1651" t="inlineStr">
        <is>
          <t>SUMMARY CAPITALIZATION RATE AND CONCLUSION</t>
        </is>
      </c>
    </row>
    <row r="41">
      <c r="T41" s="1" t="inlineStr">
        <is>
          <t>Method</t>
        </is>
      </c>
      <c r="U41" s="235" t="inlineStr">
        <is>
          <t>Capitalization Rate</t>
        </is>
      </c>
    </row>
    <row r="42" hidden="1" s="1439">
      <c r="T42" s="1553" t="inlineStr">
        <is>
          <t>Market Extraction</t>
        </is>
      </c>
      <c r="U42" s="355">
        <f>M18</f>
        <v/>
      </c>
    </row>
    <row r="43" hidden="1" s="1439">
      <c r="T43" s="1553" t="inlineStr">
        <is>
          <t>Investor Surveys</t>
        </is>
      </c>
      <c r="U43" s="355" t="inlineStr">
        <is>
          <t>6.00% - 6.50%</t>
        </is>
      </c>
    </row>
    <row r="44" hidden="1" s="1439">
      <c r="T44" s="1553" t="inlineStr">
        <is>
          <t>Market Participants</t>
        </is>
      </c>
      <c r="U44" s="355">
        <f>iaOARBrokers</f>
        <v/>
      </c>
    </row>
    <row r="45" hidden="1" s="1439">
      <c r="T45" s="1553" t="inlineStr">
        <is>
          <t>Band of Investment</t>
        </is>
      </c>
      <c r="U45" s="355" t="n">
        <v>0.075</v>
      </c>
    </row>
    <row r="46" hidden="1" s="1439">
      <c r="T46" s="1553" t="inlineStr">
        <is>
          <t>DCR</t>
        </is>
      </c>
      <c r="U46" s="355">
        <f>iaOARDCR</f>
        <v/>
      </c>
    </row>
    <row r="47" hidden="1" s="1439">
      <c r="T47" s="3" t="inlineStr">
        <is>
          <t>Primary Weight</t>
        </is>
      </c>
      <c r="U47" s="237" t="inlineStr">
        <is>
          <t>Market Extraction</t>
        </is>
      </c>
    </row>
    <row r="48" hidden="1" s="1439">
      <c r="T48" s="3" t="inlineStr">
        <is>
          <t>Secondary Weight</t>
        </is>
      </c>
      <c r="U48" s="238" t="inlineStr">
        <is>
          <t>Investor Surveys</t>
        </is>
      </c>
    </row>
    <row r="49">
      <c r="T49" s="85" t="inlineStr">
        <is>
          <t>Capitalization Rate Conclusion</t>
        </is>
      </c>
      <c r="U49" s="239" t="n">
        <v>0.0675</v>
      </c>
    </row>
    <row r="52" hidden="1" s="1439"/>
    <row r="53" hidden="1" s="1439">
      <c r="T53" s="1651" t="inlineStr">
        <is>
          <t>LEASE-UP COSTS</t>
        </is>
      </c>
    </row>
    <row r="54" hidden="1" s="1439">
      <c r="T54" s="1" t="inlineStr">
        <is>
          <t>Method</t>
        </is>
      </c>
      <c r="U54" s="235" t="inlineStr">
        <is>
          <t>Capitalization Rate</t>
        </is>
      </c>
    </row>
    <row r="55" hidden="1" ht="12.75" customHeight="1" s="1439">
      <c r="T55" s="298" t="inlineStr">
        <is>
          <t>Preliminary Value</t>
        </is>
      </c>
      <c r="U55" s="2174">
        <f>'IA Values'!G13</f>
        <v/>
      </c>
    </row>
    <row r="56" hidden="1" ht="12.75" customHeight="1" s="1439">
      <c r="T56" s="301" t="inlineStr">
        <is>
          <t>Less: Lost Income</t>
        </is>
      </c>
      <c r="U56" s="2175" t="n">
        <v>166157</v>
      </c>
    </row>
    <row r="57" hidden="1" ht="12.75" customHeight="1" s="1439">
      <c r="T57" s="301" t="inlineStr">
        <is>
          <t>Less: Tenant Finish</t>
        </is>
      </c>
      <c r="U57" s="2175">
        <f>iaOARBrokers</f>
        <v/>
      </c>
    </row>
    <row r="58" hidden="1" ht="12.75" customHeight="1" s="1439">
      <c r="T58" s="301" t="inlineStr">
        <is>
          <t>Less: Leasing Commissions</t>
        </is>
      </c>
      <c r="U58" s="2175" t="n">
        <v>35890</v>
      </c>
    </row>
    <row r="59" hidden="1" ht="12.75" customHeight="1" s="1439">
      <c r="T59" s="298" t="inlineStr">
        <is>
          <t>Total</t>
        </is>
      </c>
      <c r="U59" s="2176">
        <f>SUM(U56:U58)</f>
        <v/>
      </c>
    </row>
    <row r="60" hidden="1" ht="12.75" customHeight="1" s="1439">
      <c r="T60" s="301" t="inlineStr">
        <is>
          <t>Entrepreneurial Profit</t>
        </is>
      </c>
      <c r="U60" s="2175">
        <f>U59*0.1</f>
        <v/>
      </c>
    </row>
    <row r="61" hidden="1" ht="12.75" customHeight="1" s="1439">
      <c r="T61" s="298" t="inlineStr">
        <is>
          <t>Total Deductions</t>
        </is>
      </c>
      <c r="U61" s="2177">
        <f>SUM(U59,U60)</f>
        <v/>
      </c>
    </row>
    <row r="62" hidden="1" ht="12.75" customHeight="1" s="1439">
      <c r="T62" s="304" t="inlineStr">
        <is>
          <t>"As Is" Value</t>
        </is>
      </c>
      <c r="U62" s="2178">
        <f>U55-U61</f>
        <v/>
      </c>
    </row>
    <row r="63" hidden="1" s="1439">
      <c r="T63" s="85" t="inlineStr">
        <is>
          <t>Rounded Value</t>
        </is>
      </c>
      <c r="U63" s="2179" t="n">
        <v>1350000</v>
      </c>
    </row>
    <row r="64" hidden="1" s="1439"/>
  </sheetData>
  <mergeCells count="4">
    <mergeCell ref="B2:M2"/>
    <mergeCell ref="T53:U53"/>
    <mergeCell ref="O20:R20"/>
    <mergeCell ref="T40:U40"/>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2:K24"/>
  <sheetViews>
    <sheetView showGridLines="0" workbookViewId="0">
      <selection activeCell="E12" sqref="E12:E13"/>
    </sheetView>
  </sheetViews>
  <sheetFormatPr baseColWidth="8" defaultRowHeight="15"/>
  <cols>
    <col width="45.85546875" customWidth="1" style="1439" min="1" max="1"/>
    <col width="22.85546875" customWidth="1" style="1439" min="2" max="2"/>
    <col width="40.7109375" customWidth="1" style="1439" min="5" max="5"/>
    <col width="13.5703125" bestFit="1" customWidth="1" style="1439" min="10" max="10"/>
  </cols>
  <sheetData>
    <row r="2">
      <c r="K2" s="356">
        <f>'Property Info'!B6</f>
        <v/>
      </c>
    </row>
    <row r="3" ht="15.75" customHeight="1" s="1439">
      <c r="E3" s="1552" t="inlineStr">
        <is>
          <t>DIRECT CAPITALIZATION METHOD VALUE CONCLUSION - AS IS</t>
        </is>
      </c>
    </row>
    <row r="4" ht="12.75" customHeight="1" s="1439">
      <c r="E4" s="221" t="inlineStr">
        <is>
          <t>Net Operating Income (NOI)</t>
        </is>
      </c>
      <c r="F4" s="221" t="n"/>
      <c r="G4" s="2180">
        <f>'Income Approach'!D47</f>
        <v/>
      </c>
      <c r="H4" s="2181">
        <f>G4/K2</f>
        <v/>
      </c>
    </row>
    <row r="5" ht="12.75" customHeight="1" s="1439">
      <c r="E5" s="2182" t="n">
        <v>0.0025</v>
      </c>
      <c r="F5" s="2182" t="n"/>
      <c r="G5" s="224" t="inlineStr">
        <is>
          <t>Value</t>
        </is>
      </c>
      <c r="H5" s="224" t="inlineStr">
        <is>
          <t>$/SF</t>
        </is>
      </c>
    </row>
    <row r="6" ht="12.75" customHeight="1" s="1439">
      <c r="E6" s="2183" t="inlineStr">
        <is>
          <t>Based on Low-Range of 7.25%</t>
        </is>
      </c>
      <c r="F6" s="2183" t="n"/>
      <c r="G6" s="2184">
        <f>G4/('Cap Rate Lease-Up'!U49-0.0025)</f>
        <v/>
      </c>
      <c r="H6" s="2185">
        <f>G6/K2</f>
        <v/>
      </c>
      <c r="J6" s="1692" t="n"/>
    </row>
    <row r="7" ht="12.75" customHeight="1" s="1439">
      <c r="E7" s="2186" t="inlineStr">
        <is>
          <t>Based on Most Probable Range of 7.50%</t>
        </is>
      </c>
      <c r="F7" s="2187" t="n"/>
      <c r="G7" s="2184">
        <f>G4/'Cap Rate Lease-Up'!U49</f>
        <v/>
      </c>
      <c r="H7" s="2185">
        <f>G7/K2</f>
        <v/>
      </c>
      <c r="J7" s="1692" t="n"/>
    </row>
    <row r="8" ht="12.75" customHeight="1" s="1439">
      <c r="E8" s="2188" t="inlineStr">
        <is>
          <t>Based on High-Range of 7.75%</t>
        </is>
      </c>
      <c r="F8" s="2188" t="n"/>
      <c r="G8" s="2184">
        <f>G4/('Cap Rate Lease-Up'!U49+0.0025)</f>
        <v/>
      </c>
      <c r="H8" s="2185">
        <f>G8/K2</f>
        <v/>
      </c>
      <c r="J8" s="1692" t="n"/>
    </row>
    <row r="9" hidden="1" ht="12.75" customHeight="1" s="1439">
      <c r="E9" s="215" t="n"/>
      <c r="F9" s="215" t="n"/>
      <c r="G9" s="2189" t="n"/>
      <c r="H9" s="215" t="n"/>
    </row>
    <row r="10" hidden="1" ht="12.75" customHeight="1" s="1439">
      <c r="E10" s="170">
        <f>IF(SUM(G11:G11)=0,"HIDE THIS ROW IF NO DEFERRED MAINTENANCE", "Indicated Value")</f>
        <v/>
      </c>
      <c r="F10" s="170" t="n"/>
      <c r="G10" s="2184">
        <f>G7</f>
        <v/>
      </c>
      <c r="H10" s="217" t="n"/>
    </row>
    <row r="11" hidden="1" ht="12.75" customHeight="1" s="1439">
      <c r="E11" s="218">
        <f>IF(G11=0,"HIDE THIS ROW IF NO DEFERRED MAINTENANCE","Less: Deferred Maintenance")</f>
        <v/>
      </c>
      <c r="F11" s="218" t="n"/>
      <c r="G11" s="2190">
        <f>-caDeferredMaint</f>
        <v/>
      </c>
      <c r="H11" s="217" t="n"/>
    </row>
    <row r="12" ht="12.75" customHeight="1" s="1439">
      <c r="E12" s="190">
        <f>IF(G11=0,"Reconciled Value","Reconciled Value - Adjusted")</f>
        <v/>
      </c>
      <c r="F12" s="190" t="n"/>
      <c r="G12" s="2191">
        <f>SUM(G10:G11)</f>
        <v/>
      </c>
      <c r="H12" s="2192">
        <f>G12/K2</f>
        <v/>
      </c>
    </row>
    <row r="13" ht="12.75" customHeight="1" s="1439">
      <c r="E13" s="2193" t="n">
        <v>5000</v>
      </c>
      <c r="F13" s="2194" t="n"/>
      <c r="G13" s="2195">
        <f>ROUND((G12/E13),0)*E13</f>
        <v/>
      </c>
      <c r="H13" s="2196">
        <f>G13/K2</f>
        <v/>
      </c>
    </row>
    <row r="15">
      <c r="H15" s="1692" t="n"/>
    </row>
    <row r="16">
      <c r="A16" s="1552" t="inlineStr">
        <is>
          <t>DEDUCTIONS TO REACH AN AS IS VALUE</t>
        </is>
      </c>
    </row>
    <row r="17">
      <c r="A17" s="1553" t="inlineStr">
        <is>
          <t>Indicated Value UPON COMPLETION</t>
        </is>
      </c>
      <c r="B17" s="2197">
        <f>G13</f>
        <v/>
      </c>
      <c r="H17" s="358" t="n"/>
    </row>
    <row r="18">
      <c r="A18" s="1553" t="inlineStr">
        <is>
          <t>Remaining Capital Improvements</t>
        </is>
      </c>
      <c r="B18" s="2197" t="n">
        <v>-354600</v>
      </c>
    </row>
    <row r="19">
      <c r="A19" s="1553" t="inlineStr">
        <is>
          <t>Entrepreneurial Incentive (15% of Total Construction Costs)</t>
        </is>
      </c>
      <c r="B19" s="2197" t="n">
        <v>-59100</v>
      </c>
    </row>
    <row r="20" hidden="1" s="1439">
      <c r="A20" s="190">
        <f>IF(B21=0,"HIDE THIS ROW IF NO DEFERRED MAINTENANCE", "Indicated Value")</f>
        <v/>
      </c>
      <c r="B20" s="2189" t="n">
        <v>0</v>
      </c>
    </row>
    <row r="21" hidden="1" s="1439">
      <c r="A21" s="14">
        <f>IF(B21=0,"HIDE THIS ROW IF NO DEFERRED MAINTENANCE","Less: Deferred Maintenance")</f>
        <v/>
      </c>
      <c r="B21" s="200" t="n">
        <v>0</v>
      </c>
    </row>
    <row r="22">
      <c r="A22" s="202" t="inlineStr">
        <is>
          <t>Indicated Value AS IS</t>
        </is>
      </c>
      <c r="B22" s="2191">
        <f>SUM(B17:B19)</f>
        <v/>
      </c>
    </row>
    <row r="23">
      <c r="A23" s="2198" t="inlineStr">
        <is>
          <t>Indicated Value AS IS</t>
        </is>
      </c>
      <c r="B23" s="2199">
        <f>MROUND(B22,5000)</f>
        <v/>
      </c>
    </row>
    <row r="24">
      <c r="A24" s="205" t="inlineStr">
        <is>
          <t>Per SF</t>
        </is>
      </c>
      <c r="B24" s="2200">
        <f>B23/3112</f>
        <v/>
      </c>
    </row>
  </sheetData>
  <mergeCells count="2">
    <mergeCell ref="E3:H3"/>
    <mergeCell ref="A16:B16"/>
  </mergeCells>
  <conditionalFormatting sqref="A20">
    <cfRule type="expression" priority="2" dxfId="0" stopIfTrue="1">
      <formula>SUM(B21:B21)=0</formula>
    </cfRule>
  </conditionalFormatting>
  <conditionalFormatting sqref="A21">
    <cfRule type="expression" priority="1" dxfId="2">
      <formula>B21=0</formula>
    </cfRule>
  </conditionalFormatting>
  <conditionalFormatting sqref="E10:F10">
    <cfRule type="expression" priority="4" dxfId="0" stopIfTrue="1">
      <formula>SUM(G11:G11)=0</formula>
    </cfRule>
  </conditionalFormatting>
  <conditionalFormatting sqref="E11:F11">
    <cfRule type="expression" priority="3" dxfId="0" stopIfTrue="1">
      <formula>$D$48=0</formula>
    </cfRule>
  </conditionalFormatting>
  <dataValidations count="5">
    <dataValidation sqref="B21" showDropDown="0" showInputMessage="1" showErrorMessage="1" allowBlank="1" promptTitle="Adjustment #2" prompt="Input adjustment to calculated value—default link to Deferred Maintenance entered in Cost Approach."/>
    <dataValidation sqref="G11" showDropDown="0" showInputMessage="1" showErrorMessage="1" allowBlank="1" promptTitle="Adjustment #2" prompt="Input adjustment to calculated value—default link to Deferred Maintenance entered in Cost Approach (Cell F44)."/>
    <dataValidation sqref="E5" showDropDown="0" showInputMessage="1" showErrorMessage="1" allowBlank="1" prompt="Enter capitalization rate spread.  Example 0.25.  Only value is needed.  Text will autopopulate.  Will also autopopulate cell B44 and B46."/>
    <dataValidation sqref="E7" showDropDown="0" showInputMessage="1" showErrorMessage="1" allowBlank="1" prompt="Autopopulates with the concluded capitalization rate from the CapRates tab Cell C13."/>
    <dataValidation sqref="E13" showDropDown="0" showInputMessage="1" showErrorMessage="1" allowBlank="1" prompt="Enter how you want value to round.  Example:  100,000, or 50,000.  Only number is needed.  Text will autopopulate."/>
  </dataValidation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2:V80"/>
  <sheetViews>
    <sheetView showGridLines="0" topLeftCell="A7" zoomScale="136" zoomScaleNormal="136" workbookViewId="0">
      <selection activeCell="H14" sqref="H14"/>
    </sheetView>
  </sheetViews>
  <sheetFormatPr baseColWidth="8" defaultColWidth="9.140625" defaultRowHeight="15"/>
  <cols>
    <col width="37.140625" bestFit="1" customWidth="1" style="1550" min="1" max="1"/>
    <col width="7.7109375" bestFit="1" customWidth="1" style="2201" min="2" max="2"/>
    <col width="14.42578125" customWidth="1" style="2201" min="3" max="3"/>
    <col width="14.140625" customWidth="1" style="2201" min="4" max="4"/>
    <col width="9.42578125" bestFit="1" customWidth="1" style="2201" min="5" max="5"/>
    <col width="4.7109375" bestFit="1" customWidth="1" style="2201" min="6" max="6"/>
    <col width="28" bestFit="1" customWidth="1" style="2201" min="7" max="7"/>
    <col width="9.28515625" bestFit="1" customWidth="1" style="2201" min="8" max="8"/>
    <col width="2.5703125" customWidth="1" style="2201" min="9" max="9"/>
    <col width="7" customWidth="1" style="2201" min="10" max="10"/>
    <col width="10.28515625" bestFit="1" customWidth="1" style="2201" min="11" max="11"/>
    <col width="2.42578125" customWidth="1" style="2201" min="12" max="12"/>
    <col width="6.28515625" bestFit="1" customWidth="1" style="2201" min="13" max="13"/>
    <col width="10.28515625" bestFit="1" customWidth="1" style="2201" min="14" max="14"/>
    <col width="1.140625" customWidth="1" style="2201" min="15" max="15"/>
    <col width="15.5703125" customWidth="1" style="1550" min="16" max="16"/>
    <col width="9.140625" customWidth="1" style="1550" min="17" max="17"/>
    <col width="8.85546875" customWidth="1" style="1550" min="18" max="18"/>
    <col hidden="1" width="25.5703125" customWidth="1" style="1550" min="19" max="19"/>
    <col hidden="1" width="18.42578125" customWidth="1" style="1550" min="20" max="20"/>
    <col hidden="1" width="19.140625" customWidth="1" style="1550" min="21" max="21"/>
    <col hidden="1" width="16.28515625" customWidth="1" style="1550" min="22" max="22"/>
    <col width="9.140625" customWidth="1" style="1550" min="23" max="23"/>
    <col width="25.5703125" customWidth="1" style="1550" min="24" max="24"/>
    <col width="5.42578125" customWidth="1" style="1550" min="25" max="25"/>
    <col width="11.28515625" customWidth="1" style="1550" min="26" max="26"/>
    <col width="9.7109375" customWidth="1" style="1550" min="27" max="27"/>
    <col width="9.140625" customWidth="1" style="1550" min="28" max="28"/>
    <col width="9.140625" customWidth="1" style="1550" min="29" max="16384"/>
  </cols>
  <sheetData>
    <row r="1" ht="7.5" customHeight="1" s="1439"/>
    <row r="2">
      <c r="A2" s="1550" t="inlineStr">
        <is>
          <t>Subject's Total SF Area</t>
        </is>
      </c>
      <c r="B2" s="913">
        <f>FE!C14</f>
        <v/>
      </c>
      <c r="C2" s="914" t="inlineStr">
        <is>
          <t>←</t>
        </is>
      </c>
    </row>
    <row r="3">
      <c r="G3" s="1661" t="inlineStr">
        <is>
          <t>POTENTIAL GROSS RENTAL INCOME</t>
        </is>
      </c>
    </row>
    <row r="4">
      <c r="A4" s="1145" t="inlineStr">
        <is>
          <t>Use only if comparing contract to market rent. Hide for owner-user buildings→</t>
        </is>
      </c>
      <c r="B4" s="1140" t="n"/>
      <c r="C4" s="1140" t="n"/>
      <c r="D4" s="1140" t="n"/>
      <c r="E4" s="1140" t="n"/>
      <c r="F4" s="1140" t="n"/>
      <c r="G4" s="1038" t="n"/>
      <c r="H4" s="829" t="inlineStr">
        <is>
          <t>Area</t>
        </is>
      </c>
      <c r="I4" s="829" t="n"/>
      <c r="J4" s="1666" t="inlineStr">
        <is>
          <t>Contract Rent</t>
        </is>
      </c>
      <c r="K4" s="1458" t="n"/>
      <c r="L4" s="829" t="n"/>
      <c r="M4" s="1666" t="inlineStr">
        <is>
          <t>Market Rent</t>
        </is>
      </c>
      <c r="N4" s="1458" t="n"/>
      <c r="O4" s="829" t="n"/>
    </row>
    <row r="5">
      <c r="G5" s="1370" t="inlineStr">
        <is>
          <t>Tenant</t>
        </is>
      </c>
      <c r="H5" s="1369" t="inlineStr">
        <is>
          <t>Total (SF)</t>
        </is>
      </c>
      <c r="I5" s="1369" t="n"/>
      <c r="J5" s="1369" t="inlineStr">
        <is>
          <t>$/SF</t>
        </is>
      </c>
      <c r="K5" s="1369" t="inlineStr">
        <is>
          <t>Annl. Rent</t>
        </is>
      </c>
      <c r="L5" s="1369" t="n"/>
      <c r="M5" s="1369" t="inlineStr">
        <is>
          <t>$/SF</t>
        </is>
      </c>
      <c r="N5" s="1369" t="inlineStr">
        <is>
          <t>Annl. Rent</t>
        </is>
      </c>
      <c r="O5" s="1369" t="n"/>
    </row>
    <row r="6" ht="15" customHeight="1" s="1439">
      <c r="G6" s="2202">
        <f>LA!C3</f>
        <v/>
      </c>
      <c r="H6" s="1040">
        <f>FE!C14</f>
        <v/>
      </c>
      <c r="I6" s="1040" t="n"/>
      <c r="J6" s="2203">
        <f>LA!C11</f>
        <v/>
      </c>
      <c r="K6" s="2204">
        <f>LA!C10</f>
        <v/>
      </c>
      <c r="L6" s="2205" t="n"/>
      <c r="M6" s="2203">
        <f>C11</f>
        <v/>
      </c>
      <c r="N6" s="2204">
        <f>H6*M6</f>
        <v/>
      </c>
      <c r="O6" s="2203" t="n"/>
    </row>
    <row r="7">
      <c r="B7" s="913" t="n"/>
      <c r="G7" s="1550" t="n"/>
      <c r="H7" s="1550" t="n"/>
      <c r="I7" s="1550" t="n"/>
      <c r="J7" s="1550" t="n"/>
      <c r="K7" s="1550" t="n"/>
      <c r="L7" s="1550" t="n"/>
      <c r="M7" s="1550" t="n"/>
      <c r="N7" s="1550" t="n"/>
      <c r="O7" s="1550" t="n"/>
    </row>
    <row r="8">
      <c r="A8" s="1654" t="inlineStr">
        <is>
          <t>PGRI – MARKET RENTS</t>
        </is>
      </c>
      <c r="E8" s="1656" t="n"/>
      <c r="F8" s="916" t="n"/>
      <c r="G8" s="1550" t="n"/>
      <c r="H8" s="1550" t="n"/>
      <c r="I8" s="1550" t="n"/>
      <c r="J8" s="1550" t="n"/>
      <c r="K8" s="1550" t="n"/>
      <c r="L8" s="1550" t="n"/>
      <c r="M8" s="1550" t="n"/>
      <c r="N8" s="1550" t="n"/>
      <c r="O8" s="1550" t="n"/>
    </row>
    <row r="9">
      <c r="A9" s="917" t="inlineStr">
        <is>
          <t>Space Type</t>
        </is>
      </c>
      <c r="B9" s="1618" t="inlineStr">
        <is>
          <t>SF</t>
        </is>
      </c>
      <c r="C9" s="1618" t="inlineStr">
        <is>
          <t>Rent PSF</t>
        </is>
      </c>
      <c r="D9" s="1618" t="inlineStr">
        <is>
          <t>PGRI</t>
        </is>
      </c>
      <c r="F9" s="916" t="n"/>
      <c r="G9" s="916" t="n"/>
      <c r="H9" s="916" t="n"/>
      <c r="I9" s="916" t="n"/>
      <c r="J9" s="916" t="n"/>
      <c r="K9" s="916" t="n"/>
      <c r="L9" s="916" t="n"/>
      <c r="M9" s="916" t="n"/>
    </row>
    <row r="10">
      <c r="A10" s="918" t="n"/>
      <c r="B10" s="916" t="n"/>
      <c r="C10" s="916" t="n"/>
      <c r="D10" s="916" t="n"/>
      <c r="E10" s="916" t="n"/>
      <c r="F10" s="916" t="n"/>
      <c r="G10" s="916" t="n"/>
      <c r="H10" s="916" t="n"/>
      <c r="I10" s="916" t="n"/>
      <c r="J10" s="916" t="n"/>
      <c r="K10" s="916" t="n"/>
      <c r="L10" s="916" t="n"/>
      <c r="M10" s="916" t="n"/>
    </row>
    <row r="11">
      <c r="A11" s="919">
        <f>'Property Info'!B15</f>
        <v/>
      </c>
      <c r="B11" s="920" t="n">
        <v>3320</v>
      </c>
      <c r="C11" s="2206" t="n">
        <v>121.5</v>
      </c>
      <c r="D11" s="2207">
        <f>C11*B11</f>
        <v/>
      </c>
      <c r="E11" s="1599" t="n"/>
      <c r="F11" s="2208" t="n"/>
      <c r="G11" s="2208" t="n"/>
      <c r="H11" s="2208" t="n"/>
      <c r="I11" s="2208" t="n"/>
      <c r="J11" s="2208" t="n"/>
      <c r="K11" s="2208" t="n"/>
      <c r="L11" s="2208" t="n"/>
      <c r="M11" s="2208" t="n"/>
    </row>
    <row r="12" ht="6.75" customHeight="1" s="1439">
      <c r="A12" s="922" t="n"/>
      <c r="B12" s="923" t="n"/>
      <c r="C12" s="2209" t="n"/>
      <c r="D12" s="2208" t="n"/>
      <c r="E12" s="2208" t="n"/>
      <c r="F12" s="2208" t="n"/>
      <c r="G12" s="2208" t="n"/>
      <c r="H12" s="2208" t="n"/>
      <c r="I12" s="2208" t="n"/>
      <c r="J12" s="2208" t="n"/>
      <c r="K12" s="2208" t="n"/>
      <c r="L12" s="2208" t="n"/>
      <c r="M12" s="2208" t="n"/>
    </row>
    <row r="13">
      <c r="A13" s="1688" t="inlineStr">
        <is>
          <t>VACANCY AND COLLECTION LOSS</t>
        </is>
      </c>
      <c r="G13" s="1550" t="n"/>
      <c r="H13" s="1550" t="n"/>
      <c r="I13" s="1550" t="n"/>
      <c r="J13" s="1550" t="n"/>
      <c r="K13" s="1550" t="n"/>
      <c r="L13" s="1550" t="n"/>
      <c r="M13" s="1550" t="n"/>
      <c r="N13" s="1550" t="n"/>
      <c r="O13" s="1550" t="n"/>
    </row>
    <row r="14">
      <c r="A14" s="1683" t="inlineStr">
        <is>
          <t>Source</t>
        </is>
      </c>
      <c r="D14" s="1689" t="inlineStr">
        <is>
          <t>Rate</t>
        </is>
      </c>
      <c r="G14" s="1550" t="n"/>
      <c r="H14" s="1550" t="n"/>
      <c r="I14" s="1550" t="n"/>
      <c r="J14" s="1550" t="n"/>
      <c r="K14" s="1550" t="n"/>
      <c r="L14" s="1550" t="n"/>
      <c r="M14" s="1550" t="n"/>
      <c r="N14" s="1550" t="n"/>
      <c r="O14" s="1550" t="n"/>
    </row>
    <row r="15" ht="15" customHeight="1" s="1439">
      <c r="A15" s="1657" t="inlineStr">
        <is>
          <t>CoStar - Denver CBSA - Industrial 20,000 SF - 50,000 SF- Q1 2019-Q2 2020</t>
        </is>
      </c>
      <c r="D15" s="1672" t="n">
        <v>0.043</v>
      </c>
      <c r="G15" s="914" t="n"/>
      <c r="H15" s="1550" t="n"/>
      <c r="I15" s="1550" t="n"/>
      <c r="J15" s="1550" t="n"/>
      <c r="K15" s="1550" t="n"/>
      <c r="L15" s="1550" t="n"/>
      <c r="M15" s="1550" t="n"/>
    </row>
    <row r="16" ht="15" customHeight="1" s="1439">
      <c r="A16" s="1657" t="inlineStr">
        <is>
          <t>CoStar - Adams County - Industrial - Q1 2019-Q2 2020</t>
        </is>
      </c>
      <c r="D16" s="1686" t="n">
        <v>0.07000000000000001</v>
      </c>
      <c r="E16" s="1458" t="n"/>
      <c r="G16" s="914" t="n"/>
      <c r="H16" s="1550" t="n"/>
      <c r="I16" s="1550" t="n"/>
      <c r="J16" s="1550" t="n"/>
      <c r="K16" s="1550" t="n"/>
      <c r="L16" s="1550" t="n"/>
      <c r="M16" s="1550" t="n"/>
    </row>
    <row r="17" hidden="1" ht="15" customHeight="1" s="1439">
      <c r="A17" s="925" t="n"/>
      <c r="B17" s="2210" t="n"/>
      <c r="C17" s="927" t="n"/>
      <c r="D17" s="928" t="n"/>
      <c r="E17" s="611" t="n"/>
      <c r="G17" s="914" t="n"/>
      <c r="H17" s="1550" t="n"/>
      <c r="I17" s="1550" t="n"/>
      <c r="J17" s="1550" t="n"/>
      <c r="K17" s="1550" t="n"/>
      <c r="L17" s="1550" t="n"/>
      <c r="M17" s="1550" t="n"/>
    </row>
    <row r="18" hidden="1" ht="15" customHeight="1" s="1439">
      <c r="A18" s="925" t="n"/>
      <c r="B18" s="2210" t="n"/>
      <c r="C18" s="927" t="n"/>
      <c r="D18" s="929" t="n"/>
      <c r="E18" s="611" t="n"/>
      <c r="G18" s="914" t="n"/>
      <c r="H18" s="1550" t="n"/>
      <c r="I18" s="1550" t="n"/>
      <c r="J18" s="1550" t="n"/>
      <c r="K18" s="1550" t="n"/>
      <c r="L18" s="1550" t="n"/>
      <c r="M18" s="1550" t="n"/>
    </row>
    <row r="19" hidden="1" ht="15" customHeight="1" s="1439">
      <c r="A19" s="925" t="n"/>
      <c r="B19" s="2210" t="n"/>
      <c r="C19" s="927" t="n"/>
      <c r="D19" s="929" t="n"/>
      <c r="E19" s="611" t="n"/>
      <c r="G19" s="914" t="n"/>
      <c r="H19" s="1550" t="n"/>
      <c r="I19" s="1550" t="n"/>
      <c r="J19" s="1550" t="n"/>
      <c r="K19" s="1550" t="n"/>
      <c r="L19" s="1550" t="n"/>
      <c r="M19" s="1550" t="n"/>
    </row>
    <row r="20" hidden="1" ht="15" customHeight="1" s="1439">
      <c r="A20" s="930" t="n"/>
      <c r="B20" s="2210" t="n"/>
      <c r="C20" s="927" t="n"/>
      <c r="D20" s="931" t="n"/>
      <c r="E20" s="611" t="n"/>
      <c r="G20" s="914" t="n"/>
      <c r="H20" s="1550" t="n"/>
      <c r="I20" s="1550" t="n"/>
      <c r="J20" s="1550" t="n"/>
      <c r="K20" s="1550" t="n"/>
      <c r="L20" s="1550" t="n"/>
      <c r="M20" s="1550" t="n"/>
    </row>
    <row r="21">
      <c r="A21" s="1662" t="inlineStr">
        <is>
          <t>Range</t>
        </is>
      </c>
      <c r="B21" s="1468" t="n"/>
      <c r="C21" s="1468" t="n"/>
      <c r="D21" s="1678">
        <f>TEXT(MIN(D15:D20),"0.00%")&amp;" to "&amp;TEXT(MAX(D15:D20),"0.00%")</f>
        <v/>
      </c>
      <c r="F21" s="2211" t="n"/>
      <c r="G21" s="362" t="n"/>
      <c r="H21" s="1550" t="n"/>
      <c r="I21" s="1550" t="n"/>
      <c r="J21" s="1550" t="n"/>
      <c r="K21" s="1550" t="n"/>
      <c r="L21" s="1550" t="n"/>
      <c r="M21" s="1550" t="n"/>
    </row>
    <row r="22">
      <c r="A22" s="1684" t="inlineStr">
        <is>
          <t>Concluded Overall Vacancy Rate</t>
        </is>
      </c>
      <c r="B22" s="1458" t="n"/>
      <c r="C22" s="1458" t="n"/>
      <c r="D22" s="1687" t="n">
        <v>0.06</v>
      </c>
      <c r="E22" s="1458" t="n"/>
      <c r="F22" s="2212" t="inlineStr">
        <is>
          <t>←Change</t>
        </is>
      </c>
      <c r="G22" s="1373" t="n"/>
      <c r="H22" s="1550" t="n"/>
      <c r="I22" s="1550" t="n"/>
      <c r="J22" s="1550" t="n"/>
      <c r="K22" s="1550" t="n"/>
      <c r="L22" s="1550" t="n"/>
      <c r="M22" s="1550" t="n"/>
    </row>
    <row r="23" ht="5.25" customHeight="1" s="1439">
      <c r="B23" s="1550" t="n"/>
      <c r="C23" s="1550" t="n"/>
      <c r="D23" s="1550" t="n"/>
      <c r="E23" s="1550" t="n"/>
      <c r="F23" s="1550" t="n"/>
      <c r="G23" s="1550" t="n"/>
      <c r="H23" s="1550" t="n"/>
      <c r="I23" s="1550" t="n"/>
      <c r="J23" s="1550" t="n"/>
      <c r="K23" s="1550" t="n"/>
      <c r="L23" s="1550" t="n"/>
      <c r="M23" s="1550" t="n"/>
    </row>
    <row r="24">
      <c r="A24" s="1545" t="inlineStr">
        <is>
          <t>EXPENSES IN TIME OF VACANCY</t>
        </is>
      </c>
      <c r="F24" s="1550" t="n"/>
      <c r="G24" s="1550" t="n"/>
      <c r="H24" s="1550" t="n"/>
      <c r="I24" s="1550" t="n"/>
      <c r="J24" s="1550" t="n"/>
      <c r="K24" s="1550" t="n"/>
      <c r="L24" s="1550" t="n"/>
      <c r="M24" s="1550" t="n"/>
    </row>
    <row r="25">
      <c r="A25" s="932" t="inlineStr">
        <is>
          <t>Expense</t>
        </is>
      </c>
      <c r="B25" s="932" t="n"/>
      <c r="C25" s="933" t="inlineStr">
        <is>
          <t>PSF</t>
        </is>
      </c>
      <c r="D25" s="1658" t="inlineStr">
        <is>
          <t>Total</t>
        </is>
      </c>
      <c r="E25" s="1458" t="n"/>
      <c r="F25" s="1550" t="n"/>
      <c r="G25" s="1550" t="n"/>
      <c r="M25" s="1550" t="n"/>
    </row>
    <row r="26">
      <c r="A26" s="1550" t="inlineStr">
        <is>
          <t>Real Estate Taxes</t>
        </is>
      </c>
      <c r="B26" s="1550" t="n"/>
      <c r="C26" s="2213">
        <f>D26/$B$11</f>
        <v/>
      </c>
      <c r="D26" s="2214" t="n">
        <v>112047.03</v>
      </c>
      <c r="E26" s="1468" t="n"/>
      <c r="F26" s="2215" t="inlineStr">
        <is>
          <t>←</t>
        </is>
      </c>
      <c r="G26" s="1550" t="inlineStr">
        <is>
          <t xml:space="preserve">Actual </t>
        </is>
      </c>
      <c r="M26" s="1550" t="n"/>
      <c r="N26" s="1550" t="n"/>
      <c r="O26" s="1550" t="n"/>
    </row>
    <row r="27">
      <c r="A27" s="1550" t="inlineStr">
        <is>
          <t>Insurance</t>
        </is>
      </c>
      <c r="B27" s="1550" t="n"/>
      <c r="C27" s="2216" t="n">
        <v>1.5</v>
      </c>
      <c r="D27" s="2217">
        <f>C27*$B$2</f>
        <v/>
      </c>
      <c r="F27" s="936" t="inlineStr">
        <is>
          <t>←</t>
        </is>
      </c>
      <c r="G27" s="1550" t="inlineStr">
        <is>
          <t>Estimated</t>
        </is>
      </c>
      <c r="H27" s="1550" t="n"/>
      <c r="I27" s="1550" t="n"/>
      <c r="J27" s="1550" t="n"/>
      <c r="K27" s="1550" t="n"/>
      <c r="L27" s="1550" t="n"/>
      <c r="M27" s="1550" t="n"/>
      <c r="N27" s="1550" t="n"/>
      <c r="O27" s="1550" t="n"/>
    </row>
    <row r="28">
      <c r="A28" s="937" t="inlineStr">
        <is>
          <t>Utilities</t>
        </is>
      </c>
      <c r="B28" s="1550" t="n"/>
      <c r="C28" s="2216" t="n">
        <v>1.75</v>
      </c>
      <c r="D28" s="2217">
        <f>C28*$B$2</f>
        <v/>
      </c>
      <c r="F28" s="936" t="inlineStr">
        <is>
          <t>←</t>
        </is>
      </c>
      <c r="G28" s="1550" t="inlineStr">
        <is>
          <t>Estimated</t>
        </is>
      </c>
      <c r="H28" s="1550" t="n"/>
      <c r="I28" s="1550" t="n"/>
      <c r="J28" s="1550" t="n"/>
      <c r="K28" s="1550" t="n"/>
      <c r="L28" s="1550" t="n"/>
      <c r="M28" s="1550" t="n"/>
      <c r="N28" s="1550" t="n"/>
      <c r="O28" s="1550" t="n"/>
    </row>
    <row r="29">
      <c r="A29" s="937" t="inlineStr">
        <is>
          <t>CAM Repairs and Maintenance</t>
        </is>
      </c>
      <c r="B29" s="1550" t="n"/>
      <c r="C29" s="2216" t="n">
        <v>2.5</v>
      </c>
      <c r="D29" s="2217">
        <f>C29*$B$2</f>
        <v/>
      </c>
      <c r="F29" s="936" t="inlineStr">
        <is>
          <t>←</t>
        </is>
      </c>
      <c r="G29" s="1550" t="inlineStr">
        <is>
          <t>Estimated</t>
        </is>
      </c>
      <c r="H29" s="1550" t="n"/>
      <c r="I29" s="1550" t="n"/>
      <c r="J29" s="1550" t="n"/>
      <c r="K29" s="1550" t="n"/>
      <c r="L29" s="1550" t="n"/>
      <c r="M29" s="1550" t="n"/>
      <c r="N29" s="1550" t="n"/>
      <c r="O29" s="1550" t="n"/>
    </row>
    <row r="30">
      <c r="A30" s="937" t="inlineStr">
        <is>
          <t>Management</t>
        </is>
      </c>
      <c r="B30" s="1550" t="n"/>
      <c r="C30" s="2213">
        <f>D30/$B$11</f>
        <v/>
      </c>
      <c r="D30" s="2218">
        <f>D42*0.03</f>
        <v/>
      </c>
      <c r="E30" s="1458" t="n"/>
      <c r="F30" s="936" t="inlineStr">
        <is>
          <t>←</t>
        </is>
      </c>
      <c r="G30" s="1550" t="inlineStr">
        <is>
          <t>3% EGI</t>
        </is>
      </c>
      <c r="H30" s="1550" t="n"/>
      <c r="I30" s="1550" t="n"/>
      <c r="J30" s="1550" t="n"/>
      <c r="K30" s="1550" t="n"/>
      <c r="L30" s="1550" t="n"/>
      <c r="M30" s="1550" t="n"/>
      <c r="N30" s="1550" t="n"/>
      <c r="O30" s="1550" t="n"/>
    </row>
    <row r="31">
      <c r="A31" s="938" t="inlineStr">
        <is>
          <t>Total</t>
        </is>
      </c>
      <c r="B31" s="938" t="n"/>
      <c r="C31" s="2219">
        <f>D31/B2</f>
        <v/>
      </c>
      <c r="D31" s="2220">
        <f>SUM(D26:E30)</f>
        <v/>
      </c>
      <c r="E31" s="1599" t="n"/>
      <c r="F31" s="1550" t="n"/>
      <c r="G31" s="1550" t="n"/>
      <c r="H31" s="2221" t="n"/>
      <c r="I31" s="1550" t="n"/>
      <c r="J31" s="1550" t="n"/>
      <c r="K31" s="1550" t="n"/>
      <c r="L31" s="1550" t="n"/>
      <c r="M31" s="1550" t="n"/>
      <c r="N31" s="1550" t="n"/>
      <c r="O31" s="1550" t="n"/>
    </row>
    <row r="32">
      <c r="A32" s="1550" t="inlineStr">
        <is>
          <t>Multiplied by Vacancy Factor of</t>
        </is>
      </c>
      <c r="B32" s="941">
        <f>D22</f>
        <v/>
      </c>
      <c r="C32" s="2222">
        <f>$B$41*C31</f>
        <v/>
      </c>
      <c r="D32" s="2223">
        <f>$B$41*D31</f>
        <v/>
      </c>
      <c r="E32" s="1599" t="n"/>
      <c r="F32" s="1550" t="n"/>
      <c r="G32" s="1550" t="n"/>
      <c r="H32" s="1550" t="n"/>
      <c r="I32" s="1550" t="n"/>
      <c r="J32" s="1550" t="n"/>
      <c r="K32" s="1550" t="n"/>
      <c r="L32" s="1550" t="n"/>
      <c r="M32" s="1550" t="n"/>
      <c r="N32" s="1550" t="n"/>
      <c r="O32" s="1550" t="n"/>
    </row>
    <row r="33">
      <c r="A33" s="943" t="inlineStr">
        <is>
          <t>Divided by EGI</t>
        </is>
      </c>
      <c r="B33" s="943" t="n"/>
      <c r="C33" s="944" t="n"/>
      <c r="D33" s="1673">
        <f>D32/D42</f>
        <v/>
      </c>
      <c r="E33" s="1599" t="n"/>
      <c r="F33" s="1550" t="n"/>
      <c r="G33" s="1550" t="n"/>
      <c r="H33" s="1550" t="n"/>
      <c r="I33" s="1550" t="n"/>
      <c r="J33" s="1550" t="n"/>
      <c r="K33" s="1550" t="n"/>
      <c r="L33" s="1550" t="n"/>
      <c r="M33" s="1550" t="n"/>
      <c r="N33" s="1550" t="n"/>
      <c r="O33" s="1550" t="n"/>
    </row>
    <row r="34" ht="7.5" customHeight="1" s="1439">
      <c r="B34" s="1550" t="n"/>
      <c r="C34" s="1550" t="n"/>
      <c r="D34" s="1550" t="n"/>
      <c r="E34" s="1550" t="n"/>
      <c r="F34" s="1550" t="n"/>
      <c r="G34" s="1550" t="n"/>
      <c r="H34" s="1550" t="n"/>
      <c r="I34" s="1550" t="n"/>
      <c r="J34" s="1550" t="n"/>
      <c r="K34" s="1550" t="n"/>
      <c r="L34" s="1550" t="n"/>
      <c r="M34" s="1550" t="n"/>
      <c r="N34" s="1550" t="n"/>
      <c r="O34" s="1550" t="n"/>
    </row>
    <row r="35">
      <c r="A35" s="1659" t="inlineStr">
        <is>
          <t>PRO FORMA OPERATING STATEMENT</t>
        </is>
      </c>
      <c r="F35" s="1550" t="n"/>
      <c r="G35" s="1550" t="n"/>
      <c r="H35" s="1550" t="n"/>
      <c r="I35" s="1550" t="n"/>
      <c r="J35" s="1550" t="n"/>
      <c r="K35" s="1550" t="n"/>
      <c r="L35" s="1550" t="n"/>
      <c r="M35" s="1550" t="n"/>
      <c r="N35" s="1550" t="n"/>
      <c r="O35" s="1550" t="n"/>
    </row>
    <row r="36" ht="30" customHeight="1" s="1439">
      <c r="A36" s="917" t="inlineStr">
        <is>
          <t>Category</t>
        </is>
      </c>
      <c r="B36" s="917" t="n"/>
      <c r="C36" s="1618" t="inlineStr">
        <is>
          <t>Projected Expenses</t>
        </is>
      </c>
      <c r="D36" s="945" t="inlineStr">
        <is>
          <t>Projected Income</t>
        </is>
      </c>
      <c r="E36" s="1618" t="inlineStr">
        <is>
          <t>PSF</t>
        </is>
      </c>
      <c r="F36" s="1550" t="n"/>
      <c r="G36" s="1550" t="n"/>
      <c r="H36" s="1550" t="n"/>
      <c r="I36" s="1550" t="n"/>
      <c r="J36" s="1550" t="n"/>
      <c r="K36" s="1550" t="n"/>
      <c r="L36" s="1550" t="n"/>
      <c r="M36" s="1550" t="n"/>
      <c r="N36" s="1550" t="n"/>
      <c r="O36" s="1550" t="n"/>
    </row>
    <row r="37">
      <c r="A37" s="946" t="inlineStr">
        <is>
          <t>Potential Gross Rental Income (PGRI)</t>
        </is>
      </c>
      <c r="B37" s="947" t="n"/>
      <c r="C37" s="948" t="n"/>
      <c r="D37" s="2224">
        <f>+D11</f>
        <v/>
      </c>
      <c r="E37" s="2225">
        <f>+D37/$B$2</f>
        <v/>
      </c>
      <c r="F37" s="1550" t="n"/>
      <c r="G37" s="1550" t="n"/>
      <c r="H37" s="1550" t="n"/>
      <c r="I37" s="1550" t="n"/>
      <c r="J37" s="2226" t="n"/>
      <c r="K37" s="1550" t="n"/>
      <c r="L37" s="1550" t="n"/>
      <c r="M37" s="1550" t="n"/>
      <c r="N37" s="1550" t="n"/>
      <c r="O37" s="1550" t="n"/>
    </row>
    <row r="38">
      <c r="A38" s="946" t="inlineStr">
        <is>
          <t>Plus:  Other Income</t>
        </is>
      </c>
      <c r="B38" s="952" t="n"/>
      <c r="C38" s="953" t="n"/>
      <c r="D38" s="2227" t="n">
        <v>0</v>
      </c>
      <c r="E38" s="2228">
        <f>+D38/$B$2</f>
        <v/>
      </c>
      <c r="F38" s="1550" t="n"/>
      <c r="G38" s="1550" t="n"/>
      <c r="H38" s="1550" t="n"/>
      <c r="I38" s="1550" t="n"/>
      <c r="J38" s="1550" t="n"/>
      <c r="K38" s="1550" t="n"/>
      <c r="L38" s="1550" t="n"/>
      <c r="M38" s="1550" t="n"/>
      <c r="N38" s="1550" t="n"/>
      <c r="O38" s="1550" t="n"/>
    </row>
    <row r="39">
      <c r="A39" s="956" t="inlineStr">
        <is>
          <t>Plus:  Pass-Through Income</t>
        </is>
      </c>
      <c r="B39" s="957" t="n"/>
      <c r="C39" s="958" t="n"/>
      <c r="D39" s="2229" t="n">
        <v>0</v>
      </c>
      <c r="E39" s="2230">
        <f>+D39/$B$2</f>
        <v/>
      </c>
      <c r="F39" s="1550" t="n"/>
      <c r="G39" s="1550" t="n"/>
      <c r="H39" s="1550" t="n"/>
      <c r="I39" s="1550" t="n"/>
      <c r="J39" s="1550" t="n"/>
      <c r="K39" s="1550" t="n"/>
      <c r="L39" s="1550" t="n"/>
      <c r="M39" s="1550" t="n"/>
      <c r="N39" s="1550" t="n"/>
      <c r="O39" s="1550" t="n"/>
    </row>
    <row r="40">
      <c r="A40" s="961" t="inlineStr">
        <is>
          <t>Total Potential Gross Rental Income</t>
        </is>
      </c>
      <c r="B40" s="962" t="n"/>
      <c r="C40" s="963" t="n"/>
      <c r="D40" s="2231">
        <f>SUM(D37:D39)</f>
        <v/>
      </c>
      <c r="E40" s="2232">
        <f>+D40/$B$2</f>
        <v/>
      </c>
      <c r="F40" s="1550" t="n"/>
      <c r="G40" s="1550" t="n"/>
      <c r="H40" s="1550" t="n"/>
      <c r="I40" s="1550" t="n"/>
      <c r="J40" s="1550" t="n"/>
      <c r="K40" s="1550" t="n"/>
      <c r="L40" s="1550" t="n"/>
      <c r="M40" s="1550" t="n"/>
      <c r="N40" s="1550" t="n"/>
      <c r="O40" s="1550" t="n"/>
    </row>
    <row r="41">
      <c r="A41" s="946" t="inlineStr">
        <is>
          <t>Less: Market Vacancy</t>
        </is>
      </c>
      <c r="B41" s="966">
        <f>D22</f>
        <v/>
      </c>
      <c r="C41" s="2233">
        <f>+B41*D40*-1</f>
        <v/>
      </c>
      <c r="D41" s="968" t="n"/>
      <c r="E41" s="2234">
        <f>+C41/$B$2</f>
        <v/>
      </c>
      <c r="F41" s="1550" t="n"/>
      <c r="G41" s="1550" t="n"/>
      <c r="H41" s="1550" t="n"/>
      <c r="I41" s="1550" t="n"/>
      <c r="J41" s="1550" t="n"/>
      <c r="K41" s="1550" t="n"/>
      <c r="L41" s="1550" t="n"/>
      <c r="M41" s="1550" t="n"/>
      <c r="N41" s="1550" t="n"/>
      <c r="O41" s="1550" t="n"/>
    </row>
    <row r="42">
      <c r="A42" s="961" t="inlineStr">
        <is>
          <t>Effective Gross Income (EGI)</t>
        </is>
      </c>
      <c r="B42" s="962" t="n"/>
      <c r="C42" s="963" t="n"/>
      <c r="D42" s="2231">
        <f>+D40+C41</f>
        <v/>
      </c>
      <c r="E42" s="2232">
        <f>+D42/$B$2</f>
        <v/>
      </c>
      <c r="F42" s="1550" t="n"/>
      <c r="G42" s="1550" t="n"/>
      <c r="H42" s="1550" t="n"/>
      <c r="I42" s="1550" t="n"/>
      <c r="J42" s="1550" t="n"/>
      <c r="K42" s="1550" t="n"/>
      <c r="L42" s="1550" t="n"/>
      <c r="M42" s="1550" t="n"/>
      <c r="N42" s="1550" t="n"/>
      <c r="O42" s="1550" t="n"/>
    </row>
    <row r="43">
      <c r="A43" s="970" t="inlineStr">
        <is>
          <t>Fixed Expenses</t>
        </is>
      </c>
      <c r="B43" s="971" t="n"/>
      <c r="C43" s="972" t="n"/>
      <c r="D43" s="972" t="n"/>
      <c r="E43" s="972" t="n"/>
      <c r="F43" s="1550" t="n"/>
      <c r="G43" s="1550" t="n"/>
      <c r="H43" s="1550" t="n"/>
      <c r="I43" s="1550" t="n"/>
      <c r="J43" s="1550" t="n"/>
      <c r="K43" s="1550" t="n"/>
      <c r="L43" s="1550" t="n"/>
      <c r="M43" s="1550" t="n"/>
      <c r="N43" s="1550" t="n"/>
      <c r="O43" s="1550" t="n"/>
    </row>
    <row r="44">
      <c r="A44" s="973" t="inlineStr">
        <is>
          <t>Owner's Expenses</t>
        </is>
      </c>
      <c r="B44" s="974" t="n">
        <v>0.01</v>
      </c>
      <c r="C44" s="2235">
        <f>+B44*D42*-1</f>
        <v/>
      </c>
      <c r="D44" s="976" t="inlineStr">
        <is>
          <t> </t>
        </is>
      </c>
      <c r="E44" s="2235">
        <f>+C44/$B$2</f>
        <v/>
      </c>
      <c r="F44" s="1550" t="n"/>
      <c r="G44" s="1550" t="n"/>
      <c r="H44" s="1550" t="n"/>
      <c r="I44" s="1550" t="n"/>
      <c r="J44" s="1550" t="n"/>
      <c r="K44" s="1550" t="n"/>
      <c r="L44" s="1550" t="n"/>
      <c r="M44" s="1550" t="n"/>
      <c r="N44" s="1550" t="n"/>
      <c r="O44" s="1550" t="n"/>
    </row>
    <row r="45" ht="30" customHeight="1" s="1439">
      <c r="A45" s="956" t="inlineStr">
        <is>
          <t xml:space="preserve">Operating Expense Recovery Loss During Vacancy </t>
        </is>
      </c>
      <c r="B45" s="977">
        <f>D33</f>
        <v/>
      </c>
      <c r="C45" s="2229">
        <f>-D32</f>
        <v/>
      </c>
      <c r="D45" s="978" t="n"/>
      <c r="E45" s="2236">
        <f>+C45/$B$2</f>
        <v/>
      </c>
      <c r="F45" s="1550" t="n"/>
      <c r="G45" s="1550" t="n"/>
      <c r="H45" s="1550" t="n"/>
      <c r="I45" s="1550" t="n"/>
      <c r="J45" s="1550" t="n"/>
      <c r="K45" s="1550" t="n"/>
      <c r="L45" s="1550" t="n"/>
      <c r="M45" s="1550" t="n"/>
      <c r="N45" s="1550" t="n"/>
      <c r="O45" s="1550" t="n"/>
    </row>
    <row r="46">
      <c r="A46" s="980" t="inlineStr">
        <is>
          <t xml:space="preserve">Total Expenses </t>
        </is>
      </c>
      <c r="B46" s="980" t="n"/>
      <c r="C46" s="2237">
        <f>SUM(C44:C45)</f>
        <v/>
      </c>
      <c r="D46" s="982" t="n"/>
      <c r="E46" s="2238">
        <f>+C46/$B$2</f>
        <v/>
      </c>
      <c r="F46" s="1550" t="n"/>
      <c r="G46" s="1550" t="n"/>
      <c r="H46" s="1550" t="n"/>
      <c r="I46" s="1550" t="n"/>
      <c r="J46" s="1550" t="n"/>
      <c r="K46" s="1550" t="n"/>
      <c r="L46" s="1550" t="n"/>
      <c r="M46" s="1550" t="n"/>
      <c r="N46" s="1550" t="n"/>
      <c r="O46" s="1550" t="n"/>
    </row>
    <row r="47">
      <c r="A47" s="984" t="inlineStr">
        <is>
          <t>Net Operating Income</t>
        </is>
      </c>
      <c r="B47" s="984" t="n"/>
      <c r="C47" s="2239" t="n"/>
      <c r="D47" s="2240">
        <f>+D42+C46</f>
        <v/>
      </c>
      <c r="E47" s="2241">
        <f>+D47/$B$2</f>
        <v/>
      </c>
      <c r="F47" s="1550" t="n"/>
      <c r="G47" s="1550" t="n"/>
      <c r="H47" s="1550" t="n"/>
      <c r="I47" s="1550" t="n"/>
      <c r="J47" s="1550" t="n"/>
      <c r="K47" s="1550" t="n"/>
      <c r="L47" s="1550" t="n"/>
      <c r="M47" s="1550" t="n"/>
      <c r="N47" s="1550" t="n"/>
      <c r="O47" s="1550" t="n"/>
      <c r="S47" s="1550" t="inlineStr">
        <is>
          <t>Reconciled OAR</t>
        </is>
      </c>
      <c r="T47" s="988" t="n">
        <v>0.11</v>
      </c>
      <c r="U47" s="914" t="inlineStr">
        <is>
          <t>←</t>
        </is>
      </c>
    </row>
    <row r="48" ht="8.25" customHeight="1" s="1439">
      <c r="B48" s="1550" t="n"/>
      <c r="C48" s="1550" t="n"/>
      <c r="D48" s="1550" t="n"/>
      <c r="E48" s="1550" t="n"/>
      <c r="F48" s="1550" t="n"/>
      <c r="G48" s="1550" t="n"/>
      <c r="H48" s="1550" t="n"/>
      <c r="I48" s="1550" t="n"/>
      <c r="J48" s="1550" t="n"/>
      <c r="K48" s="1550" t="n"/>
      <c r="L48" s="1550" t="n"/>
      <c r="M48" s="1550" t="n"/>
      <c r="N48" s="1550" t="n"/>
      <c r="O48" s="1550" t="n"/>
      <c r="S48" s="1550" t="inlineStr">
        <is>
          <t>Sensitivity</t>
        </is>
      </c>
      <c r="T48" s="988" t="n">
        <v>0.0025</v>
      </c>
      <c r="U48" s="914" t="inlineStr">
        <is>
          <t>←</t>
        </is>
      </c>
    </row>
    <row r="49">
      <c r="A49" s="1545" t="inlineStr">
        <is>
          <t>Third Party Surveys - Capitalization Rates</t>
        </is>
      </c>
      <c r="F49" s="1550" t="n"/>
      <c r="G49" s="1550" t="n"/>
      <c r="H49" s="1550" t="n"/>
      <c r="I49" s="1550" t="n"/>
      <c r="J49" s="1550" t="n"/>
      <c r="K49" s="1550" t="n"/>
      <c r="L49" s="1550" t="n"/>
      <c r="M49" s="1550" t="n"/>
      <c r="N49" s="1550" t="n"/>
      <c r="O49" s="1550" t="n"/>
    </row>
    <row r="50">
      <c r="A50" s="989" t="inlineStr">
        <is>
          <t>Category</t>
        </is>
      </c>
      <c r="B50" s="1683" t="n"/>
      <c r="C50" s="1683" t="inlineStr">
        <is>
          <t>CoStar</t>
        </is>
      </c>
      <c r="D50" s="1683" t="inlineStr">
        <is>
          <t>CoStar</t>
        </is>
      </c>
      <c r="E50" s="1683" t="n"/>
      <c r="F50" s="1550" t="n"/>
      <c r="G50" s="1550" t="n"/>
      <c r="H50" s="1550" t="n"/>
      <c r="I50" s="1550" t="n"/>
      <c r="J50" s="1550" t="n"/>
      <c r="K50" s="1550" t="n"/>
      <c r="L50" s="1550" t="n"/>
      <c r="M50" s="1550" t="n"/>
      <c r="N50" s="1550" t="n"/>
      <c r="O50" s="1550" t="n"/>
      <c r="S50" s="1679" t="inlineStr">
        <is>
          <t>Value Indications</t>
        </is>
      </c>
      <c r="T50" s="1680" t="n"/>
      <c r="U50" s="1680" t="n"/>
      <c r="V50" s="1681" t="n"/>
    </row>
    <row r="51" ht="30" customHeight="1" s="1439">
      <c r="A51" s="991" t="inlineStr">
        <is>
          <t>Date of Survey</t>
        </is>
      </c>
      <c r="B51" s="992" t="n"/>
      <c r="C51" s="1374" t="inlineStr">
        <is>
          <t>01/01/2019-06/30/2020</t>
        </is>
      </c>
      <c r="D51" s="1374" t="inlineStr">
        <is>
          <t>01/01/2019-06/30/2020</t>
        </is>
      </c>
      <c r="E51" s="993" t="n"/>
      <c r="F51" s="1550" t="n"/>
      <c r="G51" s="1550" t="n"/>
      <c r="H51" s="1550" t="n"/>
      <c r="I51" s="1550" t="n"/>
      <c r="J51" s="1550" t="n"/>
      <c r="K51" s="1550" t="n"/>
      <c r="L51" s="1550" t="n"/>
      <c r="M51" s="1550" t="n"/>
      <c r="N51" s="1550" t="n"/>
      <c r="O51" s="1550" t="n"/>
      <c r="S51" s="994" t="inlineStr">
        <is>
          <t>Category</t>
        </is>
      </c>
      <c r="T51" s="1675" t="inlineStr">
        <is>
          <t>Value Range</t>
        </is>
      </c>
      <c r="U51" s="1676" t="n"/>
      <c r="V51" s="1677" t="n"/>
    </row>
    <row r="52" ht="30" customHeight="1" s="1439">
      <c r="A52" s="991" t="inlineStr">
        <is>
          <t>Market</t>
        </is>
      </c>
      <c r="B52" s="995" t="n"/>
      <c r="C52" s="1375" t="inlineStr">
        <is>
          <t>Denver CBSA</t>
        </is>
      </c>
      <c r="D52" s="1375" t="inlineStr">
        <is>
          <t>Adams County</t>
        </is>
      </c>
      <c r="E52" s="993" t="n"/>
      <c r="F52" s="1550" t="n"/>
      <c r="G52" s="1550" t="n"/>
      <c r="H52" s="1550" t="n"/>
      <c r="I52" s="1550" t="n"/>
      <c r="J52" s="1550" t="n"/>
      <c r="K52" s="1550" t="n"/>
      <c r="L52" s="1550" t="n"/>
      <c r="M52" s="1550" t="n"/>
      <c r="N52" s="1550" t="n"/>
      <c r="O52" s="1550" t="n"/>
      <c r="S52" s="996" t="inlineStr">
        <is>
          <t>Net Operating Income</t>
        </is>
      </c>
      <c r="T52" s="2242">
        <f>+$D$47</f>
        <v/>
      </c>
      <c r="U52" s="2242">
        <f>+$D$47</f>
        <v/>
      </c>
      <c r="V52" s="2243">
        <f>+$D$47</f>
        <v/>
      </c>
    </row>
    <row r="53" ht="30" customHeight="1" s="1439">
      <c r="A53" s="991" t="inlineStr">
        <is>
          <t>Property Type</t>
        </is>
      </c>
      <c r="B53" s="999" t="n"/>
      <c r="C53" s="1374" t="inlineStr">
        <is>
          <t>Industrial/Flex</t>
        </is>
      </c>
      <c r="D53" s="1376" t="inlineStr">
        <is>
          <t>Industrial/Flex</t>
        </is>
      </c>
      <c r="E53" s="993" t="n"/>
      <c r="F53" s="1550" t="n"/>
      <c r="G53" s="1550" t="n"/>
      <c r="H53" s="1550" t="n"/>
      <c r="I53" s="1550" t="n"/>
      <c r="J53" s="1550" t="n"/>
      <c r="K53" s="1550" t="n"/>
      <c r="L53" s="1550" t="n"/>
      <c r="M53" s="1550" t="n"/>
      <c r="N53" s="1550" t="n"/>
      <c r="O53" s="1550" t="n"/>
      <c r="S53" s="1000" t="inlineStr">
        <is>
          <t>Capitalization Rate</t>
        </is>
      </c>
      <c r="T53" s="1001">
        <f>U53-T48</f>
        <v/>
      </c>
      <c r="U53" s="1001">
        <f>T47</f>
        <v/>
      </c>
      <c r="V53" s="1002">
        <f>U53+T48</f>
        <v/>
      </c>
    </row>
    <row r="54">
      <c r="A54" s="1003" t="inlineStr">
        <is>
          <t>Range Average</t>
        </is>
      </c>
      <c r="B54" s="1004" t="n"/>
      <c r="C54" s="1005" t="inlineStr">
        <is>
          <t>4.0% - 12.0%</t>
        </is>
      </c>
      <c r="D54" s="1004" t="inlineStr">
        <is>
          <t>4.0% - 11.0%</t>
        </is>
      </c>
      <c r="E54" s="1003" t="n"/>
      <c r="F54" s="2212" t="inlineStr">
        <is>
          <t>←Change</t>
        </is>
      </c>
      <c r="G54" s="1296" t="n"/>
      <c r="H54" s="1550" t="n"/>
      <c r="I54" s="1550" t="n"/>
      <c r="J54" s="1550" t="n"/>
      <c r="K54" s="1550" t="n"/>
      <c r="L54" s="1550" t="n"/>
      <c r="M54" s="1550" t="n"/>
      <c r="N54" s="1550" t="n"/>
      <c r="O54" s="1550" t="n"/>
      <c r="S54" s="1006" t="inlineStr">
        <is>
          <t>Value Indication</t>
        </is>
      </c>
      <c r="T54" s="2244">
        <f>+T52/T53</f>
        <v/>
      </c>
      <c r="U54" s="2244">
        <f>+U52/U53</f>
        <v/>
      </c>
      <c r="V54" s="2245">
        <f>+V52/V53</f>
        <v/>
      </c>
    </row>
    <row r="55">
      <c r="A55" s="1009" t="inlineStr">
        <is>
          <t>Average</t>
        </is>
      </c>
      <c r="B55" s="1010" t="n"/>
      <c r="C55" s="1011" t="n">
        <v>0.07000000000000001</v>
      </c>
      <c r="D55" s="1010" t="n">
        <v>0.068</v>
      </c>
      <c r="E55" s="1012" t="n"/>
      <c r="F55" s="2212" t="inlineStr">
        <is>
          <t>←Change</t>
        </is>
      </c>
      <c r="G55" s="1296" t="n"/>
      <c r="H55" s="1550" t="n"/>
      <c r="I55" s="1550" t="n"/>
      <c r="J55" s="1550" t="n"/>
      <c r="K55" s="1550" t="n"/>
      <c r="L55" s="1550" t="n"/>
      <c r="M55" s="1550" t="n"/>
      <c r="N55" s="1550" t="n"/>
      <c r="O55" s="1550" t="n"/>
      <c r="S55" s="1013" t="inlineStr">
        <is>
          <t>Rounded</t>
        </is>
      </c>
      <c r="T55" s="2246">
        <f>MROUND(T54,5000)</f>
        <v/>
      </c>
      <c r="U55" s="2246">
        <f>MROUND(U54,5000)</f>
        <v/>
      </c>
      <c r="V55" s="2247">
        <f>MROUND(V54,5000)</f>
        <v/>
      </c>
    </row>
    <row r="56">
      <c r="A56" s="1016" t="inlineStr">
        <is>
          <t>Capitalization Rate Conclusion</t>
        </is>
      </c>
      <c r="B56" s="1017" t="n"/>
      <c r="C56" s="1018" t="n"/>
      <c r="D56" s="1377" t="n">
        <v>0.065</v>
      </c>
      <c r="E56" s="1019" t="n"/>
      <c r="F56" s="1020">
        <f>D56*100</f>
        <v/>
      </c>
      <c r="G56" s="1550" t="n"/>
      <c r="H56" s="1550" t="n"/>
      <c r="I56" s="1550" t="n"/>
      <c r="J56" s="1550" t="n"/>
      <c r="K56" s="1550" t="n"/>
      <c r="L56" s="1550" t="n"/>
      <c r="M56" s="1550" t="n"/>
      <c r="N56" s="1550" t="n"/>
      <c r="O56" s="1550" t="n"/>
      <c r="S56" s="1021" t="n"/>
      <c r="T56" s="2248" t="n"/>
      <c r="U56" s="2248" t="n"/>
      <c r="V56" s="2248" t="n"/>
    </row>
    <row r="57" ht="6.75" customHeight="1" s="1439">
      <c r="A57" s="1023" t="n"/>
      <c r="B57" s="1024" t="n"/>
      <c r="C57" s="1025" t="n"/>
      <c r="D57" s="1024" t="n"/>
      <c r="E57" s="1026" t="n"/>
      <c r="F57" s="362" t="n"/>
      <c r="G57" s="1550" t="n"/>
      <c r="H57" s="1550" t="n"/>
      <c r="I57" s="1550" t="n"/>
      <c r="J57" s="1550" t="n"/>
      <c r="K57" s="1550" t="n"/>
      <c r="L57" s="1550" t="n"/>
      <c r="M57" s="1550" t="n"/>
      <c r="N57" s="1550" t="n"/>
      <c r="O57" s="1550" t="n"/>
      <c r="S57" s="1021" t="n"/>
      <c r="T57" s="2248" t="n"/>
      <c r="U57" s="2248" t="n"/>
      <c r="V57" s="2248" t="n"/>
    </row>
    <row r="58">
      <c r="A58" s="1652" t="inlineStr">
        <is>
          <t>DIRECT CAPITALIZATION METHOD VALUE CONCLUSION</t>
        </is>
      </c>
      <c r="B58" s="1458" t="n"/>
      <c r="C58" s="1458" t="n"/>
      <c r="D58" s="1458" t="n"/>
      <c r="E58" s="1458" t="n"/>
      <c r="F58" s="1550" t="n"/>
      <c r="G58" s="1550" t="n"/>
      <c r="H58" s="1550" t="n"/>
      <c r="I58" s="1550" t="n"/>
      <c r="J58" s="1550" t="n"/>
      <c r="K58" s="1550" t="n"/>
      <c r="L58" s="1550" t="n"/>
      <c r="M58" s="1550" t="n"/>
      <c r="N58" s="1550" t="n"/>
      <c r="O58" s="1550" t="n"/>
      <c r="T58" s="1550" t="inlineStr">
        <is>
          <t>psf</t>
        </is>
      </c>
      <c r="U58" s="2221">
        <f>U55/B2</f>
        <v/>
      </c>
    </row>
    <row r="59">
      <c r="A59" s="1027" t="inlineStr">
        <is>
          <t>Net Operating Income (NOI)</t>
        </is>
      </c>
      <c r="B59" s="1027" t="n"/>
      <c r="C59" s="2249">
        <f>D47</f>
        <v/>
      </c>
      <c r="D59" s="2250">
        <f>C59/B2</f>
        <v/>
      </c>
      <c r="E59" s="1599" t="n"/>
      <c r="F59" s="1550" t="n"/>
      <c r="G59" s="1550" t="n"/>
      <c r="H59" s="1550" t="n"/>
      <c r="I59" s="1550" t="n"/>
      <c r="J59" s="1550" t="n"/>
      <c r="K59" s="1550" t="n"/>
      <c r="L59" s="1550" t="n"/>
      <c r="M59" s="1550" t="n"/>
      <c r="N59" s="1550" t="n"/>
      <c r="O59" s="1550" t="n"/>
    </row>
    <row r="60">
      <c r="A60" s="2251" t="n">
        <v>0.0025</v>
      </c>
      <c r="B60" s="2251" t="n"/>
      <c r="C60" s="1667" t="inlineStr">
        <is>
          <t>Value</t>
        </is>
      </c>
      <c r="D60" s="1667" t="inlineStr">
        <is>
          <t>$/SF</t>
        </is>
      </c>
      <c r="E60" s="1599" t="n"/>
      <c r="F60" s="1550" t="n"/>
      <c r="G60" s="1550" t="n"/>
      <c r="H60" s="1550" t="n"/>
      <c r="I60" s="1550" t="n"/>
      <c r="J60" s="1550" t="n"/>
      <c r="K60" s="1550" t="n"/>
      <c r="L60" s="1550" t="n"/>
      <c r="M60" s="1550" t="n"/>
      <c r="N60" s="1550" t="n"/>
      <c r="O60" s="1550" t="n"/>
    </row>
    <row r="61">
      <c r="A61" s="2252">
        <f>A72</f>
        <v/>
      </c>
      <c r="B61" s="2252" t="n"/>
      <c r="C61" s="1967">
        <f>C59/(D56-0.0025)</f>
        <v/>
      </c>
      <c r="D61" s="2253">
        <f>C61/B2</f>
        <v/>
      </c>
      <c r="E61" s="1468" t="n"/>
      <c r="F61" s="1550" t="n"/>
      <c r="G61" s="1550" t="n"/>
      <c r="H61" s="1550" t="n"/>
      <c r="I61" s="1550" t="n"/>
      <c r="J61" s="1550" t="n"/>
      <c r="K61" s="1550" t="n"/>
      <c r="L61" s="1550" t="n"/>
      <c r="M61" s="1550" t="n"/>
      <c r="N61" s="1550" t="n"/>
      <c r="O61" s="1550" t="n"/>
    </row>
    <row r="62">
      <c r="A62" s="2254">
        <f>A70</f>
        <v/>
      </c>
      <c r="B62" s="2255" t="n"/>
      <c r="C62" s="1967">
        <f>C59/D56</f>
        <v/>
      </c>
      <c r="D62" s="2256">
        <f>C62/B2</f>
        <v/>
      </c>
      <c r="F62" s="1550" t="n"/>
      <c r="G62" s="1550" t="n"/>
      <c r="H62" s="1550" t="n"/>
      <c r="I62" s="1550" t="n"/>
      <c r="J62" s="1550" t="n"/>
      <c r="K62" s="1550" t="n"/>
      <c r="L62" s="1550" t="n"/>
      <c r="M62" s="1550" t="n"/>
      <c r="N62" s="1550" t="n"/>
      <c r="O62" s="1550" t="n"/>
    </row>
    <row r="63">
      <c r="A63" s="2257">
        <f>A71</f>
        <v/>
      </c>
      <c r="B63" s="2257" t="n"/>
      <c r="C63" s="1967">
        <f>C59/(D56+0.0025)</f>
        <v/>
      </c>
      <c r="D63" s="2258">
        <f>C63/B2</f>
        <v/>
      </c>
      <c r="E63" s="1458" t="n"/>
      <c r="F63" s="1550" t="n"/>
      <c r="G63" s="1550" t="n"/>
      <c r="H63" s="1550" t="n"/>
      <c r="I63" s="1550" t="n"/>
      <c r="J63" s="1550" t="n"/>
      <c r="K63" s="1550" t="n"/>
      <c r="L63" s="1550" t="n"/>
      <c r="M63" s="1550" t="n"/>
      <c r="N63" s="1550" t="n"/>
      <c r="O63" s="1550" t="n"/>
    </row>
    <row r="64">
      <c r="A64" s="899" t="inlineStr">
        <is>
          <t>Reconciled Value</t>
        </is>
      </c>
      <c r="B64" s="899" t="n"/>
      <c r="C64" s="1970">
        <f>C62</f>
        <v/>
      </c>
      <c r="D64" s="2259">
        <f>C64/B2</f>
        <v/>
      </c>
      <c r="E64" s="1599" t="n"/>
      <c r="F64" s="1550" t="n"/>
      <c r="G64" s="1550" t="n"/>
      <c r="H64" s="1550" t="n"/>
      <c r="I64" s="1550" t="n"/>
      <c r="J64" s="1550" t="n"/>
      <c r="K64" s="1550" t="n"/>
      <c r="L64" s="1550" t="n"/>
      <c r="M64" s="1550" t="n"/>
      <c r="N64" s="1550" t="n"/>
      <c r="O64" s="1550" t="n"/>
    </row>
    <row r="65">
      <c r="A65" s="2260" t="n">
        <v>5000</v>
      </c>
      <c r="B65" s="2261" t="n"/>
      <c r="C65" s="2262">
        <f>ROUND((C64/A65),0)*A65</f>
        <v/>
      </c>
      <c r="D65" s="2263">
        <f>C65/B2</f>
        <v/>
      </c>
      <c r="E65" s="1599" t="n"/>
      <c r="F65" s="1550" t="n"/>
      <c r="G65" s="1550" t="n"/>
      <c r="H65" s="1550" t="n"/>
      <c r="I65" s="1550" t="n"/>
      <c r="J65" s="1550" t="n"/>
      <c r="K65" s="1550" t="n"/>
      <c r="L65" s="1550" t="n"/>
      <c r="M65" s="1550" t="n"/>
      <c r="N65" s="1550" t="n"/>
      <c r="O65" s="1550" t="n"/>
    </row>
    <row r="66">
      <c r="B66" s="1550" t="n"/>
      <c r="C66" s="1550" t="n"/>
      <c r="D66" s="1550" t="n"/>
      <c r="E66" s="1550" t="n"/>
      <c r="F66" s="1550" t="n"/>
      <c r="G66" s="1550" t="n"/>
      <c r="H66" s="1550" t="n"/>
      <c r="I66" s="1550" t="n"/>
      <c r="J66" s="1550" t="n"/>
      <c r="K66" s="1550" t="n"/>
      <c r="L66" s="1550" t="n"/>
      <c r="M66" s="1550" t="n"/>
      <c r="N66" s="1550" t="n"/>
      <c r="O66" s="1550" t="n"/>
    </row>
    <row r="67">
      <c r="B67" s="1550" t="n"/>
      <c r="C67" s="1550" t="n"/>
      <c r="D67" s="1550" t="n"/>
      <c r="E67" s="1550" t="n"/>
      <c r="F67" s="1550" t="n"/>
      <c r="G67" s="1550" t="n"/>
      <c r="H67" s="1550" t="n"/>
      <c r="I67" s="1550" t="n"/>
      <c r="J67" s="1550" t="n"/>
      <c r="K67" s="1550" t="n"/>
      <c r="L67" s="1550" t="n"/>
      <c r="M67" s="1550" t="n"/>
      <c r="N67" s="1550" t="n"/>
      <c r="O67" s="1550" t="n"/>
    </row>
    <row r="68">
      <c r="B68" s="1550" t="n"/>
      <c r="C68" s="1550" t="n"/>
      <c r="D68" s="1550" t="n"/>
      <c r="E68" s="1550" t="n"/>
      <c r="F68" s="1550" t="n"/>
      <c r="G68" s="1550" t="n"/>
      <c r="H68" s="1550" t="n"/>
      <c r="I68" s="1550" t="n"/>
      <c r="J68" s="1550" t="n"/>
      <c r="K68" s="1550" t="n"/>
      <c r="L68" s="1550" t="n"/>
      <c r="M68" s="1550" t="n"/>
      <c r="N68" s="1550" t="n"/>
      <c r="O68" s="1550" t="n"/>
    </row>
    <row r="69" ht="15.75" customHeight="1" s="1439" thickBot="1">
      <c r="A69" s="1550" t="inlineStr">
        <is>
          <t>Do not overwright</t>
        </is>
      </c>
      <c r="B69" s="1550" t="n"/>
      <c r="C69" s="1550" t="n"/>
      <c r="D69" s="1550" t="n"/>
      <c r="E69" s="1550" t="n"/>
      <c r="F69" s="1550" t="n"/>
      <c r="G69" s="1550" t="n"/>
      <c r="H69" s="1550" t="n"/>
      <c r="I69" s="1550" t="n"/>
      <c r="J69" s="1550" t="n"/>
      <c r="K69" s="1550" t="n"/>
      <c r="L69" s="1550" t="n"/>
      <c r="M69" s="1550" t="n"/>
      <c r="N69" s="1550" t="n"/>
      <c r="O69" s="1550" t="n"/>
    </row>
    <row r="70">
      <c r="A70" s="1378">
        <f>CONCATENATE("Based on Most Probable Range of ", FIXED(F56, 2), "%")</f>
        <v/>
      </c>
      <c r="B70" s="1550" t="n"/>
      <c r="C70" s="1550" t="n"/>
      <c r="D70" s="1550" t="n"/>
      <c r="E70" s="1550" t="n"/>
      <c r="F70" s="1550" t="n"/>
      <c r="G70" s="1550" t="n"/>
      <c r="H70" s="1550" t="n"/>
      <c r="I70" s="1550" t="n"/>
      <c r="J70" s="1550" t="n"/>
      <c r="K70" s="1550" t="n"/>
      <c r="L70" s="1550" t="n"/>
      <c r="M70" s="1550" t="n"/>
      <c r="N70" s="1550" t="n"/>
      <c r="O70" s="1550" t="n"/>
    </row>
    <row r="71">
      <c r="A71" s="1379">
        <f>CONCATENATE("Based on High-Range of ", FIXED(F56+0.25, 2), "%")</f>
        <v/>
      </c>
      <c r="B71" s="1550" t="n"/>
      <c r="C71" s="1550" t="n"/>
      <c r="D71" s="1550" t="n"/>
      <c r="E71" s="1550" t="n"/>
      <c r="F71" s="1550" t="n"/>
      <c r="G71" s="1550" t="n"/>
      <c r="H71" s="1550" t="n"/>
      <c r="I71" s="1550" t="n"/>
      <c r="J71" s="1550" t="n"/>
      <c r="K71" s="1550" t="n"/>
      <c r="L71" s="1550" t="n"/>
      <c r="M71" s="1550" t="n"/>
      <c r="N71" s="1550" t="n"/>
      <c r="O71" s="1550" t="n"/>
    </row>
    <row r="72" ht="15.75" customHeight="1" s="1439" thickBot="1">
      <c r="A72" s="1380">
        <f>CONCATENATE("Based on Low-Range of ", FIXED(F56-0.25, 2), "%")</f>
        <v/>
      </c>
      <c r="B72" s="1550" t="n"/>
      <c r="C72" s="1550" t="n"/>
      <c r="D72" s="1550" t="n"/>
      <c r="E72" s="1550" t="n"/>
      <c r="F72" s="1550" t="n"/>
      <c r="G72" s="1550" t="n"/>
      <c r="H72" s="1550" t="n"/>
      <c r="I72" s="1550" t="n"/>
      <c r="J72" s="1550" t="n"/>
      <c r="K72" s="1550" t="n"/>
      <c r="L72" s="1550" t="n"/>
      <c r="M72" s="1550" t="n"/>
      <c r="N72" s="1550" t="n"/>
      <c r="O72" s="1550" t="n"/>
    </row>
    <row r="73">
      <c r="B73" s="1550" t="n"/>
      <c r="C73" s="1550" t="n"/>
      <c r="D73" s="1550" t="n"/>
      <c r="E73" s="1550" t="n"/>
      <c r="F73" s="1550" t="n"/>
      <c r="G73" s="1550" t="n"/>
      <c r="H73" s="1550" t="n"/>
      <c r="I73" s="1550" t="n"/>
      <c r="J73" s="1550" t="n"/>
      <c r="K73" s="1550" t="n"/>
      <c r="L73" s="1550" t="n"/>
      <c r="M73" s="1550" t="n"/>
      <c r="N73" s="1550" t="n"/>
      <c r="O73" s="1550" t="n"/>
    </row>
    <row r="74">
      <c r="B74" s="1550" t="n"/>
      <c r="C74" s="1550" t="n"/>
      <c r="D74" s="1550" t="n"/>
      <c r="E74" s="1550" t="n"/>
      <c r="F74" s="1550" t="n"/>
      <c r="G74" s="1550" t="n"/>
      <c r="H74" s="1550" t="n"/>
      <c r="I74" s="1550" t="n"/>
      <c r="J74" s="1550" t="n"/>
      <c r="K74" s="1550" t="n"/>
      <c r="L74" s="1550" t="n"/>
      <c r="M74" s="1550" t="n"/>
      <c r="N74" s="1550" t="n"/>
      <c r="O74" s="1550" t="n"/>
    </row>
    <row r="75">
      <c r="B75" s="1550" t="n"/>
      <c r="C75" s="1550" t="n"/>
      <c r="D75" s="1550" t="n"/>
      <c r="E75" s="1550" t="n"/>
      <c r="F75" s="1550" t="n"/>
      <c r="G75" s="1550" t="n"/>
      <c r="H75" s="1550" t="n"/>
      <c r="I75" s="1550" t="n"/>
      <c r="J75" s="1550" t="n"/>
      <c r="K75" s="1550" t="n"/>
      <c r="L75" s="1550" t="n"/>
      <c r="M75" s="1550" t="n"/>
      <c r="N75" s="1550" t="n"/>
      <c r="O75" s="1550" t="n"/>
    </row>
    <row r="76">
      <c r="B76" s="1550" t="n"/>
      <c r="C76" s="1550" t="n"/>
      <c r="D76" s="1550" t="n"/>
      <c r="E76" s="1550" t="n"/>
      <c r="F76" s="1550" t="n"/>
      <c r="G76" s="1550" t="n"/>
      <c r="H76" s="1550" t="n"/>
      <c r="I76" s="1550" t="n"/>
      <c r="J76" s="1550" t="n"/>
      <c r="K76" s="1550" t="n"/>
      <c r="L76" s="1550" t="n"/>
      <c r="M76" s="1550" t="n"/>
      <c r="N76" s="1550" t="n"/>
      <c r="O76" s="1550" t="n"/>
    </row>
    <row r="77">
      <c r="B77" s="1550" t="n"/>
      <c r="C77" s="1550" t="n"/>
      <c r="D77" s="1550" t="n"/>
      <c r="E77" s="1550" t="n"/>
      <c r="F77" s="1550" t="n"/>
      <c r="G77" s="1550" t="n"/>
      <c r="H77" s="1550" t="n"/>
      <c r="I77" s="1550" t="n"/>
      <c r="J77" s="1550" t="n"/>
      <c r="K77" s="1550" t="n"/>
      <c r="L77" s="1550" t="n"/>
      <c r="M77" s="1550" t="n"/>
      <c r="N77" s="1550" t="n"/>
      <c r="O77" s="1550" t="n"/>
    </row>
    <row r="78">
      <c r="B78" s="1550" t="n"/>
      <c r="C78" s="1550" t="n"/>
      <c r="D78" s="1550" t="n"/>
      <c r="E78" s="1550" t="n"/>
      <c r="F78" s="1550" t="n"/>
      <c r="G78" s="1550" t="n"/>
      <c r="H78" s="1550" t="n"/>
      <c r="I78" s="1550" t="n"/>
      <c r="J78" s="1550" t="n"/>
      <c r="K78" s="1550" t="n"/>
      <c r="L78" s="1550" t="n"/>
      <c r="M78" s="1550" t="n"/>
      <c r="N78" s="1550" t="n"/>
      <c r="O78" s="1550" t="n"/>
    </row>
    <row r="79">
      <c r="B79" s="1550" t="n"/>
      <c r="C79" s="1550" t="n"/>
      <c r="D79" s="1550" t="n"/>
      <c r="E79" s="1550" t="n"/>
      <c r="F79" s="1550" t="n"/>
      <c r="G79" s="1550" t="n"/>
      <c r="H79" s="1550" t="n"/>
      <c r="I79" s="1550" t="n"/>
      <c r="J79" s="1550" t="n"/>
      <c r="K79" s="1550" t="n"/>
      <c r="L79" s="1550" t="n"/>
      <c r="M79" s="1550" t="n"/>
      <c r="N79" s="1550" t="n"/>
      <c r="O79" s="1550" t="n"/>
    </row>
    <row r="80">
      <c r="B80" s="1550" t="n"/>
      <c r="C80" s="1550" t="n"/>
      <c r="D80" s="1550" t="n"/>
      <c r="E80" s="1550" t="n"/>
      <c r="F80" s="1550" t="n"/>
      <c r="G80" s="1550" t="n"/>
      <c r="H80" s="1550" t="n"/>
      <c r="I80" s="1550" t="n"/>
      <c r="J80" s="1550" t="n"/>
      <c r="K80" s="1550" t="n"/>
      <c r="L80" s="1550" t="n"/>
      <c r="M80" s="1550" t="n"/>
      <c r="N80" s="1550" t="n"/>
      <c r="O80" s="1550" t="n"/>
    </row>
    <row r="81" customFormat="1" s="1550"/>
    <row r="82" customFormat="1" s="1550"/>
    <row r="83" customFormat="1" s="1550"/>
    <row r="84" customFormat="1" s="1550"/>
    <row r="85" customFormat="1" s="1550"/>
    <row r="86" customFormat="1" s="1550"/>
    <row r="87" customFormat="1" s="1550"/>
    <row r="88" customFormat="1" s="1550"/>
    <row r="89" customFormat="1" s="1550"/>
    <row r="90" customFormat="1" s="1550"/>
    <row r="91" customFormat="1" s="1550"/>
    <row r="92" customFormat="1" s="1550"/>
    <row r="93" customFormat="1" s="1550"/>
    <row r="94" customFormat="1" s="1550"/>
    <row r="95" customFormat="1" s="1550"/>
    <row r="96" customFormat="1" s="1550"/>
    <row r="97" customFormat="1" s="1550"/>
    <row r="98" customFormat="1" s="1550"/>
    <row r="99" customFormat="1" s="1550"/>
    <row r="100" customFormat="1" s="1550"/>
    <row r="101" customFormat="1" s="1550"/>
    <row r="102" customFormat="1" s="1550"/>
  </sheetData>
  <mergeCells count="39">
    <mergeCell ref="D60:E60"/>
    <mergeCell ref="A24:E24"/>
    <mergeCell ref="D63:E63"/>
    <mergeCell ref="A49:E49"/>
    <mergeCell ref="D22:E22"/>
    <mergeCell ref="G3:O3"/>
    <mergeCell ref="A21:C21"/>
    <mergeCell ref="D31:E31"/>
    <mergeCell ref="D65:E65"/>
    <mergeCell ref="T51:V51"/>
    <mergeCell ref="D21:E21"/>
    <mergeCell ref="S50:V50"/>
    <mergeCell ref="D11:E11"/>
    <mergeCell ref="A14:C14"/>
    <mergeCell ref="D27:E27"/>
    <mergeCell ref="A22:C22"/>
    <mergeCell ref="D32:E32"/>
    <mergeCell ref="D61:E61"/>
    <mergeCell ref="D16:E16"/>
    <mergeCell ref="J4:K4"/>
    <mergeCell ref="D28:E28"/>
    <mergeCell ref="D62:E62"/>
    <mergeCell ref="A8:E8"/>
    <mergeCell ref="A15:C15"/>
    <mergeCell ref="D9:E9"/>
    <mergeCell ref="D25:E25"/>
    <mergeCell ref="A35:E35"/>
    <mergeCell ref="D30:E30"/>
    <mergeCell ref="D64:E64"/>
    <mergeCell ref="D15:E15"/>
    <mergeCell ref="D33:E33"/>
    <mergeCell ref="D29:E29"/>
    <mergeCell ref="D14:E14"/>
    <mergeCell ref="A13:E13"/>
    <mergeCell ref="A58:E58"/>
    <mergeCell ref="D26:E26"/>
    <mergeCell ref="M4:N4"/>
    <mergeCell ref="D59:E59"/>
    <mergeCell ref="A16:C16"/>
  </mergeCells>
  <dataValidations disablePrompts="1" count="3">
    <dataValidation sqref="A65" showDropDown="0" showInputMessage="1" showErrorMessage="1" allowBlank="1" prompt="Enter how you want value to round.  Example:  100,000, or 50,000.  Only number is needed.  Text will autopopulate."/>
    <dataValidation sqref="A62" showDropDown="0" showInputMessage="1" showErrorMessage="1" allowBlank="1" prompt="Autopopulates with the concluded capitalization rate from the CapRates tab Cell C13."/>
    <dataValidation sqref="A60" showDropDown="0" showInputMessage="1" showErrorMessage="1" allowBlank="1" prompt="Enter capitalization rate spread.  Example 0.25.  Only value is needed.  Text will autopopulate.  Will also autopopulate cell B44 and B46."/>
  </dataValidations>
  <pageMargins left="0.7" right="0.7" top="0.75" bottom="0.75" header="0.3" footer="0.3"/>
  <pageSetup orientation="portrait"/>
</worksheet>
</file>

<file path=xl/worksheets/sheet25.xml><?xml version="1.0" encoding="utf-8"?>
<worksheet xmlns="http://schemas.openxmlformats.org/spreadsheetml/2006/main">
  <sheetPr>
    <outlinePr summaryBelow="1" summaryRight="1"/>
    <pageSetUpPr/>
  </sheetPr>
  <dimension ref="A1:F302"/>
  <sheetViews>
    <sheetView workbookViewId="0">
      <pane ySplit="5" topLeftCell="A6" activePane="bottomLeft" state="frozen"/>
      <selection pane="bottomLeft" activeCell="A1" sqref="A1"/>
    </sheetView>
  </sheetViews>
  <sheetFormatPr baseColWidth="8" defaultRowHeight="15"/>
  <cols>
    <col width="12" customWidth="1" style="1439" min="1" max="1"/>
    <col width="30" customWidth="1" style="1439" min="2" max="2"/>
    <col width="22" customWidth="1" style="1439" min="3" max="3"/>
    <col width="38" customWidth="1" style="1439" min="4" max="4"/>
    <col width="52" customWidth="1" style="1439" min="5" max="5"/>
    <col width="55" customWidth="1" style="1439" min="6" max="6"/>
  </cols>
  <sheetData>
    <row r="1" ht="30" customHeight="1" s="1439">
      <c r="A1" s="2264" t="inlineStr">
        <is>
          <t>APPRAISAL RESOURCE DIRECTORY</t>
        </is>
      </c>
    </row>
    <row r="2" ht="20" customHeight="1" s="1439">
      <c r="A2" s="2265">
        <f>"Active Property:  "&amp;'Property Info'!B16&amp;"   |   City / Area:  "&amp;'Property Info'!B17&amp;"   |   County:  "&amp;'Property Info'!B18</f>
        <v/>
      </c>
    </row>
    <row r="3" ht="18" customHeight="1" s="1439">
      <c r="A3" s="2266" t="inlineStr">
        <is>
          <t>Tip: Filter or sort the Priority column — rows marked ★ Active match the current property's city/county.  Regional rows apply to all properties.</t>
        </is>
      </c>
    </row>
    <row r="4" ht="6" customHeight="1" s="1439"/>
    <row r="5" ht="22" customHeight="1" s="1439">
      <c r="A5" s="2267" t="inlineStr">
        <is>
          <t>Priority</t>
        </is>
      </c>
      <c r="B5" s="2267" t="inlineStr">
        <is>
          <t>Municipality / Area</t>
        </is>
      </c>
      <c r="C5" s="2267" t="inlineStr">
        <is>
          <t>Category</t>
        </is>
      </c>
      <c r="D5" s="2267" t="inlineStr">
        <is>
          <t>Resource Name</t>
        </is>
      </c>
      <c r="E5" s="2267" t="inlineStr">
        <is>
          <t>URL</t>
        </is>
      </c>
      <c r="F5" s="2267" t="inlineStr">
        <is>
          <t>Description</t>
        </is>
      </c>
    </row>
    <row r="6" ht="14" customHeight="1" s="1439">
      <c r="A6" s="2268">
        <f>IF(OR(ISNUMBER(SEARCH(LEFT('Property Info'!$B$17,MAX(1,FIND(",",'Property Info'!$B$17&amp;",")-1)),B6)),ISNUMBER(SEARCH('Property Info'!$B$18,B6))),"★ Active",IF(B6="REGIONAL / ALL MUNICIPALITIES","Regional","–"))</f>
        <v/>
      </c>
      <c r="B6" s="2268" t="inlineStr">
        <is>
          <t>Adams County (Unincorporated)</t>
        </is>
      </c>
      <c r="C6" s="2268" t="inlineStr">
        <is>
          <t>Property Assessment</t>
        </is>
      </c>
      <c r="D6" s="2268" t="inlineStr">
        <is>
          <t>Assessor Property Lookup</t>
        </is>
      </c>
      <c r="E6" s="2269" t="inlineStr">
        <is>
          <t>https://adcogov.org/property-look</t>
        </is>
      </c>
      <c r="F6" s="2270" t="inlineStr">
        <is>
          <t>Primary parcel/property search tool for all of Adams County</t>
        </is>
      </c>
    </row>
    <row r="7" ht="14" customHeight="1" s="1439">
      <c r="A7" s="2271">
        <f>IF(OR(ISNUMBER(SEARCH(LEFT('Property Info'!$B$17,MAX(1,FIND(",",'Property Info'!$B$17&amp;",")-1)),B7)),ISNUMBER(SEARCH('Property Info'!$B$18,B7))),"★ Active",IF(B7="REGIONAL / ALL MUNICIPALITIES","Regional","–"))</f>
        <v/>
      </c>
      <c r="B7" s="2271" t="inlineStr">
        <is>
          <t>Adams County (Unincorporated)</t>
        </is>
      </c>
      <c r="C7" s="2271" t="inlineStr">
        <is>
          <t>Property Assessment</t>
        </is>
      </c>
      <c r="D7" s="2271" t="inlineStr">
        <is>
          <t>Assessor GIS QuickSearch</t>
        </is>
      </c>
      <c r="E7" s="2269" t="inlineStr">
        <is>
          <t>https://gisapp.adcogov.org/quicksearch/</t>
        </is>
      </c>
      <c r="F7" s="2272" t="inlineStr">
        <is>
          <t>Address or parcel-based search with map</t>
        </is>
      </c>
    </row>
    <row r="8" ht="14" customHeight="1" s="1439">
      <c r="A8" s="2268">
        <f>IF(OR(ISNUMBER(SEARCH(LEFT('Property Info'!$B$17,MAX(1,FIND(",",'Property Info'!$B$17&amp;",")-1)),B8)),ISNUMBER(SEARCH('Property Info'!$B$18,B8))),"★ Active",IF(B8="REGIONAL / ALL MUNICIPALITIES","Regional","–"))</f>
        <v/>
      </c>
      <c r="B8" s="2268" t="inlineStr">
        <is>
          <t>Adams County (Unincorporated)</t>
        </is>
      </c>
      <c r="C8" s="2268" t="inlineStr">
        <is>
          <t>Property Assessment</t>
        </is>
      </c>
      <c r="D8" s="2268" t="inlineStr">
        <is>
          <t>Assessor Main Page</t>
        </is>
      </c>
      <c r="E8" s="2269" t="inlineStr">
        <is>
          <t>https://adcogov.org/assessor</t>
        </is>
      </c>
      <c r="F8" s="2270" t="inlineStr">
        <is>
          <t>Assessor office info and resources</t>
        </is>
      </c>
    </row>
    <row r="9" ht="14" customHeight="1" s="1439">
      <c r="A9" s="2271">
        <f>IF(OR(ISNUMBER(SEARCH(LEFT('Property Info'!$B$17,MAX(1,FIND(",",'Property Info'!$B$17&amp;",")-1)),B9)),ISNUMBER(SEARCH('Property Info'!$B$18,B9))),"★ Active",IF(B9="REGIONAL / ALL MUNICIPALITIES","Regional","–"))</f>
        <v/>
      </c>
      <c r="B9" s="2271" t="inlineStr">
        <is>
          <t>Adams County (Unincorporated)</t>
        </is>
      </c>
      <c r="C9" s="2271" t="inlineStr">
        <is>
          <t>Property Assessment</t>
        </is>
      </c>
      <c r="D9" s="2271" t="inlineStr">
        <is>
          <t>NOV / Online Appeals Portal</t>
        </is>
      </c>
      <c r="E9" s="2269" t="inlineStr">
        <is>
          <t>https://assessor.adcogov.org/</t>
        </is>
      </c>
      <c r="F9" s="2272" t="inlineStr">
        <is>
          <t>Notice of Valuation and assessment appeals</t>
        </is>
      </c>
    </row>
    <row r="10" ht="14" customHeight="1" s="1439">
      <c r="A10" s="2268">
        <f>IF(OR(ISNUMBER(SEARCH(LEFT('Property Info'!$B$17,MAX(1,FIND(",",'Property Info'!$B$17&amp;",")-1)),B10)),ISNUMBER(SEARCH('Property Info'!$B$18,B10))),"★ Active",IF(B10="REGIONAL / ALL MUNICIPALITIES","Regional","–"))</f>
        <v/>
      </c>
      <c r="B10" s="2268" t="inlineStr">
        <is>
          <t>Adams County (Unincorporated)</t>
        </is>
      </c>
      <c r="C10" s="2268" t="inlineStr">
        <is>
          <t>Property Assessment</t>
        </is>
      </c>
      <c r="D10" s="2268" t="inlineStr">
        <is>
          <t>Public Data Download</t>
        </is>
      </c>
      <c r="E10" s="2269" t="inlineStr">
        <is>
          <t>https://assessornovs.adcogov.org/adamscountynovs</t>
        </is>
      </c>
      <c r="F10" s="2270" t="inlineStr">
        <is>
          <t>Weekly-updated bulk assessor data download</t>
        </is>
      </c>
    </row>
    <row r="11" ht="14" customHeight="1" s="1439">
      <c r="A11" s="2271">
        <f>IF(OR(ISNUMBER(SEARCH(LEFT('Property Info'!$B$17,MAX(1,FIND(",",'Property Info'!$B$17&amp;",")-1)),B11)),ISNUMBER(SEARCH('Property Info'!$B$18,B11))),"★ Active",IF(B11="REGIONAL / ALL MUNICIPALITIES","Regional","–"))</f>
        <v/>
      </c>
      <c r="B11" s="2271" t="inlineStr">
        <is>
          <t>Adams County (Unincorporated)</t>
        </is>
      </c>
      <c r="C11" s="2271" t="inlineStr">
        <is>
          <t>Property Tax / Treasurer</t>
        </is>
      </c>
      <c r="D11" s="2271" t="inlineStr">
        <is>
          <t>Treasurer Division</t>
        </is>
      </c>
      <c r="E11" s="2269" t="inlineStr">
        <is>
          <t>https://adamscountyco.gov/our-county/elected-officials/treasurer-public-trustee/treasurer-division/</t>
        </is>
      </c>
      <c r="F11" s="2272" t="inlineStr">
        <is>
          <t>Main treasurer page</t>
        </is>
      </c>
    </row>
    <row r="12" ht="14" customHeight="1" s="1439">
      <c r="A12" s="2268">
        <f>IF(OR(ISNUMBER(SEARCH(LEFT('Property Info'!$B$17,MAX(1,FIND(",",'Property Info'!$B$17&amp;",")-1)),B12)),ISNUMBER(SEARCH('Property Info'!$B$18,B12))),"★ Active",IF(B12="REGIONAL / ALL MUNICIPALITIES","Regional","–"))</f>
        <v/>
      </c>
      <c r="B12" s="2268" t="inlineStr">
        <is>
          <t>Adams County (Unincorporated)</t>
        </is>
      </c>
      <c r="C12" s="2268" t="inlineStr">
        <is>
          <t>Property Tax / Treasurer</t>
        </is>
      </c>
      <c r="D12" s="2268" t="inlineStr">
        <is>
          <t>Online Tax Payment</t>
        </is>
      </c>
      <c r="E12" s="2269" t="inlineStr">
        <is>
          <t>https://adcotax.com/treasurer/web/login.jsp</t>
        </is>
      </c>
      <c r="F12" s="2270" t="inlineStr">
        <is>
          <t>Pay property taxes online</t>
        </is>
      </c>
    </row>
    <row r="13" ht="14" customHeight="1" s="1439">
      <c r="A13" s="2271">
        <f>IF(OR(ISNUMBER(SEARCH(LEFT('Property Info'!$B$17,MAX(1,FIND(",",'Property Info'!$B$17&amp;",")-1)),B13)),ISNUMBER(SEARCH('Property Info'!$B$18,B13))),"★ Active",IF(B13="REGIONAL / ALL MUNICIPALITIES","Regional","–"))</f>
        <v/>
      </c>
      <c r="B13" s="2271" t="inlineStr">
        <is>
          <t>Adams County (Unincorporated)</t>
        </is>
      </c>
      <c r="C13" s="2271" t="inlineStr">
        <is>
          <t>Property Tax / Treasurer</t>
        </is>
      </c>
      <c r="D13" s="2271" t="inlineStr">
        <is>
          <t>Property Tax Inquiry</t>
        </is>
      </c>
      <c r="E13" s="2269" t="inlineStr">
        <is>
          <t>https://adamsil.devnetwedge.com/</t>
        </is>
      </c>
      <c r="F13" s="2272" t="inlineStr">
        <is>
          <t>Look up tax balances and payment history</t>
        </is>
      </c>
    </row>
    <row r="14" ht="14" customHeight="1" s="1439">
      <c r="A14" s="2268">
        <f>IF(OR(ISNUMBER(SEARCH(LEFT('Property Info'!$B$17,MAX(1,FIND(",",'Property Info'!$B$17&amp;",")-1)),B14)),ISNUMBER(SEARCH('Property Info'!$B$18,B14))),"★ Active",IF(B14="REGIONAL / ALL MUNICIPALITIES","Regional","–"))</f>
        <v/>
      </c>
      <c r="B14" s="2268" t="inlineStr">
        <is>
          <t>Adams County (Unincorporated)</t>
        </is>
      </c>
      <c r="C14" s="2268" t="inlineStr">
        <is>
          <t>Property Tax / Treasurer</t>
        </is>
      </c>
      <c r="D14" s="2268" t="inlineStr">
        <is>
          <t>Taxing Authorities / Mill Levy</t>
        </is>
      </c>
      <c r="E14" s="2269" t="inlineStr">
        <is>
          <t>https://adamscountyco.gov/our-county/elected-officials/treasurer-public-trustee/treasurer-division/property-tax-information/taxing-authorities/</t>
        </is>
      </c>
      <c r="F14" s="2270" t="inlineStr">
        <is>
          <t>Mill levy lookup by taxing district</t>
        </is>
      </c>
    </row>
    <row r="15" ht="14" customHeight="1" s="1439">
      <c r="A15" s="2271">
        <f>IF(OR(ISNUMBER(SEARCH(LEFT('Property Info'!$B$17,MAX(1,FIND(",",'Property Info'!$B$17&amp;",")-1)),B15)),ISNUMBER(SEARCH('Property Info'!$B$18,B15))),"★ Active",IF(B15="REGIONAL / ALL MUNICIPALITIES","Regional","–"))</f>
        <v/>
      </c>
      <c r="B15" s="2271" t="inlineStr">
        <is>
          <t>Adams County (Unincorporated)</t>
        </is>
      </c>
      <c r="C15" s="2271" t="inlineStr">
        <is>
          <t>Property Tax / Treasurer</t>
        </is>
      </c>
      <c r="D15" s="2271" t="inlineStr">
        <is>
          <t>DOLA Division of Property Taxation</t>
        </is>
      </c>
      <c r="E15" s="2269" t="inlineStr">
        <is>
          <t>https://dpt.colorado.gov/locality/adams-county-treasurer</t>
        </is>
      </c>
      <c r="F15" s="2272" t="inlineStr">
        <is>
          <t>Colorado state-level property tax data for Adams County</t>
        </is>
      </c>
    </row>
    <row r="16" ht="14" customHeight="1" s="1439">
      <c r="A16" s="2268">
        <f>IF(OR(ISNUMBER(SEARCH(LEFT('Property Info'!$B$17,MAX(1,FIND(",",'Property Info'!$B$17&amp;",")-1)),B16)),ISNUMBER(SEARCH('Property Info'!$B$18,B16))),"★ Active",IF(B16="REGIONAL / ALL MUNICIPALITIES","Regional","–"))</f>
        <v/>
      </c>
      <c r="B16" s="2268" t="inlineStr">
        <is>
          <t>Adams County (Unincorporated)</t>
        </is>
      </c>
      <c r="C16" s="2268" t="inlineStr">
        <is>
          <t>Property Tax / Treasurer</t>
        </is>
      </c>
      <c r="D16" s="2268" t="inlineStr">
        <is>
          <t>DOLA Mill Levy Public Info (HB24-1302)</t>
        </is>
      </c>
      <c r="E16" s="2269" t="inlineStr">
        <is>
          <t>https://dlg.colorado.gov/hb24-1302-mill-levy-public-information</t>
        </is>
      </c>
      <c r="F16" s="2270" t="inlineStr">
        <is>
          <t>Statewide mill levy transparency portal</t>
        </is>
      </c>
    </row>
    <row r="17" ht="14" customHeight="1" s="1439">
      <c r="A17" s="2271">
        <f>IF(OR(ISNUMBER(SEARCH(LEFT('Property Info'!$B$17,MAX(1,FIND(",",'Property Info'!$B$17&amp;",")-1)),B17)),ISNUMBER(SEARCH('Property Info'!$B$18,B17))),"★ Active",IF(B17="REGIONAL / ALL MUNICIPALITIES","Regional","–"))</f>
        <v/>
      </c>
      <c r="B17" s="2271" t="inlineStr">
        <is>
          <t>Adams County (Unincorporated)</t>
        </is>
      </c>
      <c r="C17" s="2271" t="inlineStr">
        <is>
          <t>Deed / Title Records</t>
        </is>
      </c>
      <c r="D17" s="2271" t="inlineStr">
        <is>
          <t>Clerk &amp; Recorder Recording Page</t>
        </is>
      </c>
      <c r="E17" s="2269" t="inlineStr">
        <is>
          <t>https://adcogov.org/recording</t>
        </is>
      </c>
      <c r="F17" s="2272" t="inlineStr">
        <is>
          <t>Official recording office</t>
        </is>
      </c>
    </row>
    <row r="18" ht="14" customHeight="1" s="1439">
      <c r="A18" s="2268">
        <f>IF(OR(ISNUMBER(SEARCH(LEFT('Property Info'!$B$17,MAX(1,FIND(",",'Property Info'!$B$17&amp;",")-1)),B18)),ISNUMBER(SEARCH('Property Info'!$B$18,B18))),"★ Active",IF(B18="REGIONAL / ALL MUNICIPALITIES","Regional","–"))</f>
        <v/>
      </c>
      <c r="B18" s="2268" t="inlineStr">
        <is>
          <t>Adams County (Unincorporated)</t>
        </is>
      </c>
      <c r="C18" s="2268" t="inlineStr">
        <is>
          <t>Deed / Title Records</t>
        </is>
      </c>
      <c r="D18" s="2268" t="inlineStr">
        <is>
          <t>Landmark Web Document Search</t>
        </is>
      </c>
      <c r="E18" s="2269" t="inlineStr">
        <is>
          <t>https://recording.adcogov.org/landmarkweb</t>
        </is>
      </c>
      <c r="F18" s="2270" t="inlineStr">
        <is>
          <t>Grantor/Grantee deed search</t>
        </is>
      </c>
    </row>
    <row r="19" ht="14" customHeight="1" s="1439">
      <c r="A19" s="2271">
        <f>IF(OR(ISNUMBER(SEARCH(LEFT('Property Info'!$B$17,MAX(1,FIND(",",'Property Info'!$B$17&amp;",")-1)),B19)),ISNUMBER(SEARCH('Property Info'!$B$18,B19))),"★ Active",IF(B19="REGIONAL / ALL MUNICIPALITIES","Regional","–"))</f>
        <v/>
      </c>
      <c r="B19" s="2271" t="inlineStr">
        <is>
          <t>Adams County (Unincorporated)</t>
        </is>
      </c>
      <c r="C19" s="2271" t="inlineStr">
        <is>
          <t>Deed / Title Records</t>
        </is>
      </c>
      <c r="D19" s="2271" t="inlineStr">
        <is>
          <t>Public Records / Recorded Documents</t>
        </is>
      </c>
      <c r="E19" s="2269" t="inlineStr">
        <is>
          <t>https://adamscountyco.gov/service/find-public-records-recorded-documents/</t>
        </is>
      </c>
      <c r="F19" s="2272" t="inlineStr">
        <is>
          <t>How to find recorded docs</t>
        </is>
      </c>
    </row>
    <row r="20" ht="14" customHeight="1" s="1439">
      <c r="A20" s="2268">
        <f>IF(OR(ISNUMBER(SEARCH(LEFT('Property Info'!$B$17,MAX(1,FIND(",",'Property Info'!$B$17&amp;",")-1)),B20)),ISNUMBER(SEARCH('Property Info'!$B$18,B20))),"★ Active",IF(B20="REGIONAL / ALL MUNICIPALITIES","Regional","–"))</f>
        <v/>
      </c>
      <c r="B20" s="2268" t="inlineStr">
        <is>
          <t>Adams County (Unincorporated)</t>
        </is>
      </c>
      <c r="C20" s="2268" t="inlineStr">
        <is>
          <t>Deed / Title Records</t>
        </is>
      </c>
      <c r="D20" s="2268" t="inlineStr">
        <is>
          <t>E-Recording</t>
        </is>
      </c>
      <c r="E20" s="2269" t="inlineStr">
        <is>
          <t>https://www.adcogov.org/e-recording</t>
        </is>
      </c>
      <c r="F20" s="2270" t="inlineStr">
        <is>
          <t>Electronic document recording</t>
        </is>
      </c>
    </row>
    <row r="21" ht="14" customHeight="1" s="1439">
      <c r="A21" s="2271">
        <f>IF(OR(ISNUMBER(SEARCH(LEFT('Property Info'!$B$17,MAX(1,FIND(",",'Property Info'!$B$17&amp;",")-1)),B21)),ISNUMBER(SEARCH('Property Info'!$B$18,B21))),"★ Active",IF(B21="REGIONAL / ALL MUNICIPALITIES","Regional","–"))</f>
        <v/>
      </c>
      <c r="B21" s="2271" t="inlineStr">
        <is>
          <t>Adams County (Unincorporated)</t>
        </is>
      </c>
      <c r="C21" s="2271" t="inlineStr">
        <is>
          <t>GIS / Mapping</t>
        </is>
      </c>
      <c r="D21" s="2271" t="inlineStr">
        <is>
          <t>Advanced GIS Map Viewer</t>
        </is>
      </c>
      <c r="E21" s="2269" t="inlineStr">
        <is>
          <t>https://gisapp.adcogov.org/Html5Viewer/index.html?viewer=AdvancedExt.Advanced_HTML</t>
        </is>
      </c>
      <c r="F21" s="2272" t="inlineStr">
        <is>
          <t>Full-featured interactive map</t>
        </is>
      </c>
    </row>
    <row r="22" ht="14" customHeight="1" s="1439">
      <c r="A22" s="2268">
        <f>IF(OR(ISNUMBER(SEARCH(LEFT('Property Info'!$B$17,MAX(1,FIND(",",'Property Info'!$B$17&amp;",")-1)),B22)),ISNUMBER(SEARCH('Property Info'!$B$18,B22))),"★ Active",IF(B22="REGIONAL / ALL MUNICIPALITIES","Regional","–"))</f>
        <v/>
      </c>
      <c r="B22" s="2268" t="inlineStr">
        <is>
          <t>Adams County (Unincorporated)</t>
        </is>
      </c>
      <c r="C22" s="2268" t="inlineStr">
        <is>
          <t>GIS / Mapping</t>
        </is>
      </c>
      <c r="D22" s="2268" t="inlineStr">
        <is>
          <t>Open Data Hub (ArcGIS)</t>
        </is>
      </c>
      <c r="E22" s="2269" t="inlineStr">
        <is>
          <t>https://data-adcogov.opendata.arcgis.com/</t>
        </is>
      </c>
      <c r="F22" s="2270" t="inlineStr">
        <is>
          <t>Downloadable datasets including zoning,  parcels,  flood zones</t>
        </is>
      </c>
    </row>
    <row r="23" ht="14" customHeight="1" s="1439">
      <c r="A23" s="2271">
        <f>IF(OR(ISNUMBER(SEARCH(LEFT('Property Info'!$B$17,MAX(1,FIND(",",'Property Info'!$B$17&amp;",")-1)),B23)),ISNUMBER(SEARCH('Property Info'!$B$18,B23))),"★ Active",IF(B23="REGIONAL / ALL MUNICIPALITIES","Regional","–"))</f>
        <v/>
      </c>
      <c r="B23" s="2271" t="inlineStr">
        <is>
          <t>Adams County (Unincorporated)</t>
        </is>
      </c>
      <c r="C23" s="2271" t="inlineStr">
        <is>
          <t>GIS / Mapping</t>
        </is>
      </c>
      <c r="D23" s="2271" t="inlineStr">
        <is>
          <t>GIS Interactive Maps Page</t>
        </is>
      </c>
      <c r="E23" s="2269" t="inlineStr">
        <is>
          <t>https://adamscountyco.gov/service/gis-interactive-maps/</t>
        </is>
      </c>
      <c r="F23" s="2272" t="inlineStr">
        <is>
          <t>Links to all county GIS tools</t>
        </is>
      </c>
    </row>
    <row r="24" ht="14" customHeight="1" s="1439">
      <c r="A24" s="2268">
        <f>IF(OR(ISNUMBER(SEARCH(LEFT('Property Info'!$B$17,MAX(1,FIND(",",'Property Info'!$B$17&amp;",")-1)),B24)),ISNUMBER(SEARCH('Property Info'!$B$18,B24))),"★ Active",IF(B24="REGIONAL / ALL MUNICIPALITIES","Regional","–"))</f>
        <v/>
      </c>
      <c r="B24" s="2268" t="inlineStr">
        <is>
          <t>Adams County (Unincorporated)</t>
        </is>
      </c>
      <c r="C24" s="2268" t="inlineStr">
        <is>
          <t>Permits</t>
        </is>
      </c>
      <c r="D24" s="2268" t="inlineStr">
        <is>
          <t>E-Permit Center (Accela)</t>
        </is>
      </c>
      <c r="E24" s="2269" t="inlineStr">
        <is>
          <t>https://aca-prod.accela.com/ADAMSCO/Default.aspx</t>
        </is>
      </c>
      <c r="F24" s="2270" t="inlineStr">
        <is>
          <t>Online permit applications and search</t>
        </is>
      </c>
    </row>
    <row r="25" ht="14" customHeight="1" s="1439">
      <c r="A25" s="2271">
        <f>IF(OR(ISNUMBER(SEARCH(LEFT('Property Info'!$B$17,MAX(1,FIND(",",'Property Info'!$B$17&amp;",")-1)),B25)),ISNUMBER(SEARCH('Property Info'!$B$18,B25))),"★ Active",IF(B25="REGIONAL / ALL MUNICIPALITIES","Regional","–"))</f>
        <v/>
      </c>
      <c r="B25" s="2271" t="inlineStr">
        <is>
          <t>Adams County (Unincorporated)</t>
        </is>
      </c>
      <c r="C25" s="2271" t="inlineStr">
        <is>
          <t>Permits</t>
        </is>
      </c>
      <c r="D25" s="2271" t="inlineStr">
        <is>
          <t>E-Permit Center Landing</t>
        </is>
      </c>
      <c r="E25" s="2269" t="inlineStr">
        <is>
          <t>https://epermits.adcogov.org/</t>
        </is>
      </c>
      <c r="F25" s="2272" t="inlineStr">
        <is>
          <t>Permit portal landing page</t>
        </is>
      </c>
    </row>
    <row r="26" ht="14" customHeight="1" s="1439">
      <c r="A26" s="2268">
        <f>IF(OR(ISNUMBER(SEARCH(LEFT('Property Info'!$B$17,MAX(1,FIND(",",'Property Info'!$B$17&amp;",")-1)),B26)),ISNUMBER(SEARCH('Property Info'!$B$18,B26))),"★ Active",IF(B26="REGIONAL / ALL MUNICIPALITIES","Regional","–"))</f>
        <v/>
      </c>
      <c r="B26" s="2268" t="inlineStr">
        <is>
          <t>Adams County (Unincorporated)</t>
        </is>
      </c>
      <c r="C26" s="2268" t="inlineStr">
        <is>
          <t>Permits</t>
        </is>
      </c>
      <c r="D26" s="2268" t="inlineStr">
        <is>
          <t>Building Safety</t>
        </is>
      </c>
      <c r="E26" s="2269" t="inlineStr">
        <is>
          <t>https://adcogov.org/building-safety</t>
        </is>
      </c>
      <c r="F26" s="2270" t="inlineStr">
        <is>
          <t>Building department info</t>
        </is>
      </c>
    </row>
    <row r="27" ht="14" customHeight="1" s="1439">
      <c r="A27" s="2271">
        <f>IF(OR(ISNUMBER(SEARCH(LEFT('Property Info'!$B$17,MAX(1,FIND(",",'Property Info'!$B$17&amp;",")-1)),B27)),ISNUMBER(SEARCH('Property Info'!$B$18,B27))),"★ Active",IF(B27="REGIONAL / ALL MUNICIPALITIES","Regional","–"))</f>
        <v/>
      </c>
      <c r="B27" s="2271" t="inlineStr">
        <is>
          <t>Adams County (Unincorporated)</t>
        </is>
      </c>
      <c r="C27" s="2271" t="inlineStr">
        <is>
          <t>Code Enforcement</t>
        </is>
      </c>
      <c r="D27" s="2271" t="inlineStr">
        <is>
          <t>Eye on Adams (Permits + Violations)</t>
        </is>
      </c>
      <c r="E27" s="2269" t="inlineStr">
        <is>
          <t>https://adamscounty.buildingeye.com/</t>
        </is>
      </c>
      <c r="F27" s="2272" t="inlineStr">
        <is>
          <t>Track permits and code enforcement cases</t>
        </is>
      </c>
    </row>
    <row r="28" ht="14" customHeight="1" s="1439">
      <c r="A28" s="2268">
        <f>IF(OR(ISNUMBER(SEARCH(LEFT('Property Info'!$B$17,MAX(1,FIND(",",'Property Info'!$B$17&amp;",")-1)),B28)),ISNUMBER(SEARCH('Property Info'!$B$18,B28))),"★ Active",IF(B28="REGIONAL / ALL MUNICIPALITIES","Regional","–"))</f>
        <v/>
      </c>
      <c r="B28" s="2268" t="inlineStr">
        <is>
          <t>Adams County (Unincorporated)</t>
        </is>
      </c>
      <c r="C28" s="2268" t="inlineStr">
        <is>
          <t>Code Enforcement</t>
        </is>
      </c>
      <c r="D28" s="2268" t="inlineStr">
        <is>
          <t>Code Violations Enforcement Search</t>
        </is>
      </c>
      <c r="E28" s="2269" t="inlineStr">
        <is>
          <t>https://adamscounty.buildingeye.com/enforcement</t>
        </is>
      </c>
      <c r="F28" s="2270" t="inlineStr">
        <is>
          <t>Violation lookup only</t>
        </is>
      </c>
    </row>
    <row r="29" ht="14" customHeight="1" s="1439">
      <c r="A29" s="2271">
        <f>IF(OR(ISNUMBER(SEARCH(LEFT('Property Info'!$B$17,MAX(1,FIND(",",'Property Info'!$B$17&amp;",")-1)),B29)),ISNUMBER(SEARCH('Property Info'!$B$18,B29))),"★ Active",IF(B29="REGIONAL / ALL MUNICIPALITIES","Regional","–"))</f>
        <v/>
      </c>
      <c r="B29" s="2271" t="inlineStr">
        <is>
          <t>Adams County (Unincorporated)</t>
        </is>
      </c>
      <c r="C29" s="2271" t="inlineStr">
        <is>
          <t>Code Enforcement</t>
        </is>
      </c>
      <c r="D29" s="2271" t="inlineStr">
        <is>
          <t>Neighborhood Services</t>
        </is>
      </c>
      <c r="E29" s="2269" t="inlineStr">
        <is>
          <t>https://adcogov.org/neighborhood-services</t>
        </is>
      </c>
      <c r="F29" s="2272" t="inlineStr">
        <is>
          <t>Report and track code complaints</t>
        </is>
      </c>
    </row>
    <row r="30" ht="14" customHeight="1" s="1439">
      <c r="A30" s="2268">
        <f>IF(OR(ISNUMBER(SEARCH(LEFT('Property Info'!$B$17,MAX(1,FIND(",",'Property Info'!$B$17&amp;",")-1)),B30)),ISNUMBER(SEARCH('Property Info'!$B$18,B30))),"★ Active",IF(B30="REGIONAL / ALL MUNICIPALITIES","Regional","–"))</f>
        <v/>
      </c>
      <c r="B30" s="2268" t="inlineStr">
        <is>
          <t>Adams County (Unincorporated)</t>
        </is>
      </c>
      <c r="C30" s="2268" t="inlineStr">
        <is>
          <t>Zoning / Planning</t>
        </is>
      </c>
      <c r="D30" s="2268" t="inlineStr">
        <is>
          <t>Planning &amp; Development Main Page</t>
        </is>
      </c>
      <c r="E30" s="2269" t="inlineStr">
        <is>
          <t>https://adamscountyco.gov/our-county/community-economic-development/planning-development/</t>
        </is>
      </c>
      <c r="F30" s="2270" t="inlineStr">
        <is>
          <t>Unincorporated area zoning authority</t>
        </is>
      </c>
    </row>
    <row r="31" ht="14" customHeight="1" s="1439">
      <c r="A31" s="2271">
        <f>IF(OR(ISNUMBER(SEARCH(LEFT('Property Info'!$B$17,MAX(1,FIND(",",'Property Info'!$B$17&amp;",")-1)),B31)),ISNUMBER(SEARCH('Property Info'!$B$18,B31))),"★ Active",IF(B31="REGIONAL / ALL MUNICIPALITIES","Regional","–"))</f>
        <v/>
      </c>
      <c r="B31" s="2271" t="inlineStr">
        <is>
          <t>Adams County (Unincorporated)</t>
        </is>
      </c>
      <c r="C31" s="2271" t="inlineStr">
        <is>
          <t>Zoning / Planning</t>
        </is>
      </c>
      <c r="D31" s="2271" t="inlineStr">
        <is>
          <t>Zoning Dataset (ArcGIS Open Data)</t>
        </is>
      </c>
      <c r="E31" s="2269" t="inlineStr">
        <is>
          <t>https://data-adcogov.opendata.arcgis.com/datasets/ADCOGOV::zoning/about</t>
        </is>
      </c>
      <c r="F31" s="2272" t="inlineStr">
        <is>
          <t>Downloadable zoning GIS layer</t>
        </is>
      </c>
    </row>
    <row r="32" ht="14" customHeight="1" s="1439">
      <c r="A32" s="2268">
        <f>IF(OR(ISNUMBER(SEARCH(LEFT('Property Info'!$B$17,MAX(1,FIND(",",'Property Info'!$B$17&amp;",")-1)),B32)),ISNUMBER(SEARCH('Property Info'!$B$18,B32))),"★ Active",IF(B32="REGIONAL / ALL MUNICIPALITIES","Regional","–"))</f>
        <v/>
      </c>
      <c r="B32" s="2268" t="inlineStr">
        <is>
          <t>Adams County (Unincorporated)</t>
        </is>
      </c>
      <c r="C32" s="2268" t="inlineStr">
        <is>
          <t>Zoning / Planning</t>
        </is>
      </c>
      <c r="D32" s="2268" t="inlineStr">
        <is>
          <t>Development Standards &amp; Regulations</t>
        </is>
      </c>
      <c r="E32" s="2269" t="inlineStr">
        <is>
          <t>https://online.encodeplus.com/regs/adamscounty-co/doc-viewer.aspx?secid=6410</t>
        </is>
      </c>
      <c r="F32" s="2270" t="inlineStr">
        <is>
          <t>Online land development code</t>
        </is>
      </c>
    </row>
    <row r="33" ht="14" customHeight="1" s="1439">
      <c r="A33" s="2271">
        <f>IF(OR(ISNUMBER(SEARCH(LEFT('Property Info'!$B$17,MAX(1,FIND(",",'Property Info'!$B$17&amp;",")-1)),B33)),ISNUMBER(SEARCH('Property Info'!$B$18,B33))),"★ Active",IF(B33="REGIONAL / ALL MUNICIPALITIES","Regional","–"))</f>
        <v/>
      </c>
      <c r="B33" s="2271" t="inlineStr">
        <is>
          <t>Adams County (Unincorporated)</t>
        </is>
      </c>
      <c r="C33" s="2271" t="inlineStr">
        <is>
          <t>Flood Zone</t>
        </is>
      </c>
      <c r="D33" s="2271" t="inlineStr">
        <is>
          <t>Floodplain Management Page</t>
        </is>
      </c>
      <c r="E33" s="2269" t="inlineStr">
        <is>
          <t>https://adamscountyco.gov/our-county/community-economic-development/floodplain-management/</t>
        </is>
      </c>
      <c r="F33" s="2272" t="inlineStr">
        <is>
          <t>County floodplain administrator</t>
        </is>
      </c>
    </row>
    <row r="34" ht="14" customHeight="1" s="1439">
      <c r="A34" s="2268">
        <f>IF(OR(ISNUMBER(SEARCH(LEFT('Property Info'!$B$17,MAX(1,FIND(",",'Property Info'!$B$17&amp;",")-1)),B34)),ISNUMBER(SEARCH('Property Info'!$B$18,B34))),"★ Active",IF(B34="REGIONAL / ALL MUNICIPALITIES","Regional","–"))</f>
        <v/>
      </c>
      <c r="B34" s="2268" t="inlineStr">
        <is>
          <t>Adams County (Unincorporated)</t>
        </is>
      </c>
      <c r="C34" s="2268" t="inlineStr">
        <is>
          <t>Flood Zone</t>
        </is>
      </c>
      <c r="D34" s="2268" t="inlineStr">
        <is>
          <t>Flood Zones GIS Dataset</t>
        </is>
      </c>
      <c r="E34" s="2269" t="inlineStr">
        <is>
          <t>https://data-adcogov.opendata.arcgis.com/datasets/flood-zones</t>
        </is>
      </c>
      <c r="F34" s="2270" t="inlineStr">
        <is>
          <t>Downloadable FEMA flood zone layer</t>
        </is>
      </c>
    </row>
    <row r="35" ht="14" customHeight="1" s="1439">
      <c r="A35" s="2271">
        <f>IF(OR(ISNUMBER(SEARCH(LEFT('Property Info'!$B$17,MAX(1,FIND(",",'Property Info'!$B$17&amp;",")-1)),B35)),ISNUMBER(SEARCH('Property Info'!$B$18,B35))),"★ Active",IF(B35="REGIONAL / ALL MUNICIPALITIES","Regional","–"))</f>
        <v/>
      </c>
      <c r="B35" s="2271" t="inlineStr">
        <is>
          <t>Adams County (Unincorporated)</t>
        </is>
      </c>
      <c r="C35" s="2271" t="inlineStr">
        <is>
          <t>Flood Zone</t>
        </is>
      </c>
      <c r="D35" s="2271" t="inlineStr">
        <is>
          <t>FEMA Map Service Center</t>
        </is>
      </c>
      <c r="E35" s="2269" t="inlineStr">
        <is>
          <t>https://msc.fema.gov/</t>
        </is>
      </c>
      <c r="F35" s="2272" t="inlineStr">
        <is>
          <t>Official FEMA FIRM lookup by address</t>
        </is>
      </c>
    </row>
    <row r="36" ht="14" customHeight="1" s="1439">
      <c r="A36" s="2268">
        <f>IF(OR(ISNUMBER(SEARCH(LEFT('Property Info'!$B$17,MAX(1,FIND(",",'Property Info'!$B$17&amp;",")-1)),B36)),ISNUMBER(SEARCH('Property Info'!$B$18,B36))),"★ Active",IF(B36="REGIONAL / ALL MUNICIPALITIES","Regional","–"))</f>
        <v/>
      </c>
      <c r="B36" s="2268" t="inlineStr">
        <is>
          <t>Adams County (Unincorporated)</t>
        </is>
      </c>
      <c r="C36" s="2268" t="inlineStr">
        <is>
          <t>Flood Zone</t>
        </is>
      </c>
      <c r="D36" s="2268" t="inlineStr">
        <is>
          <t>Colorado Hazard Mapping / RiskMAP</t>
        </is>
      </c>
      <c r="E36" s="2269" t="inlineStr">
        <is>
          <t>https://coloradohazardmapping.com/hazardMapping/floodplainMapping</t>
        </is>
      </c>
      <c r="F36" s="2270" t="inlineStr">
        <is>
          <t>State-level flood mapping portal</t>
        </is>
      </c>
    </row>
    <row r="37" ht="14" customHeight="1" s="1439">
      <c r="A37" s="2271">
        <f>IF(OR(ISNUMBER(SEARCH(LEFT('Property Info'!$B$17,MAX(1,FIND(",",'Property Info'!$B$17&amp;",")-1)),B37)),ISNUMBER(SEARCH('Property Info'!$B$18,B37))),"★ Active",IF(B37="REGIONAL / ALL MUNICIPALITIES","Regional","–"))</f>
        <v/>
      </c>
      <c r="B37" s="2271" t="inlineStr">
        <is>
          <t>Adams County (Unincorporated)</t>
        </is>
      </c>
      <c r="C37" s="2271" t="inlineStr">
        <is>
          <t>Flood Zone</t>
        </is>
      </c>
      <c r="D37" s="2271" t="inlineStr">
        <is>
          <t>FEMA National Flood Hazard Layer</t>
        </is>
      </c>
      <c r="E37" s="2269" t="inlineStr">
        <is>
          <t>https://www.fema.gov/flood-maps/national-flood-hazard-layer</t>
        </is>
      </c>
      <c r="F37" s="2272" t="inlineStr">
        <is>
          <t>National FEMA flood layer viewer</t>
        </is>
      </c>
    </row>
    <row r="38" ht="14" customHeight="1" s="1439">
      <c r="A38" s="2268">
        <f>IF(OR(ISNUMBER(SEARCH(LEFT('Property Info'!$B$17,MAX(1,FIND(",",'Property Info'!$B$17&amp;",")-1)),B38)),ISNUMBER(SEARCH('Property Info'!$B$18,B38))),"★ Active",IF(B38="REGIONAL / ALL MUNICIPALITIES","Regional","–"))</f>
        <v/>
      </c>
      <c r="B38" s="2268" t="inlineStr">
        <is>
          <t>Adams County (Unincorporated)</t>
        </is>
      </c>
      <c r="C38" s="2268" t="inlineStr">
        <is>
          <t>Comprehensive Plan</t>
        </is>
      </c>
      <c r="D38" s="2268" t="inlineStr">
        <is>
          <t>Advancing Adams Comprehensive Plan</t>
        </is>
      </c>
      <c r="E38" s="2269" t="inlineStr">
        <is>
          <t>https://adamscountyco.gov/our-county/community-economic-development/advancing-adams/comprehensive-plan/</t>
        </is>
      </c>
      <c r="F38" s="2270" t="inlineStr">
        <is>
          <t>County master plan</t>
        </is>
      </c>
    </row>
    <row r="39" ht="14" customHeight="1" s="1439">
      <c r="A39" s="2271">
        <f>IF(OR(ISNUMBER(SEARCH(LEFT('Property Info'!$B$17,MAX(1,FIND(",",'Property Info'!$B$17&amp;",")-1)),B39)),ISNUMBER(SEARCH('Property Info'!$B$18,B39))),"★ Active",IF(B39="REGIONAL / ALL MUNICIPALITIES","Regional","–"))</f>
        <v/>
      </c>
      <c r="B39" s="2271" t="inlineStr">
        <is>
          <t>Adams County (Unincorporated)</t>
        </is>
      </c>
      <c r="C39" s="2271" t="inlineStr">
        <is>
          <t>Comprehensive Plan</t>
        </is>
      </c>
      <c r="D39" s="2271" t="inlineStr">
        <is>
          <t>Master Plans &amp; Maps</t>
        </is>
      </c>
      <c r="E39" s="2269" t="inlineStr">
        <is>
          <t>https://adcogov.org/master-plans-maps</t>
        </is>
      </c>
      <c r="F39" s="2272" t="inlineStr">
        <is>
          <t>All county master plans</t>
        </is>
      </c>
    </row>
    <row r="40" ht="14" customHeight="1" s="1439">
      <c r="A40" s="2268">
        <f>IF(OR(ISNUMBER(SEARCH(LEFT('Property Info'!$B$17,MAX(1,FIND(",",'Property Info'!$B$17&amp;",")-1)),B40)),ISNUMBER(SEARCH('Property Info'!$B$18,B40))),"★ Active",IF(B40="REGIONAL / ALL MUNICIPALITIES","Regional","–"))</f>
        <v/>
      </c>
      <c r="B40" s="2268" t="inlineStr">
        <is>
          <t>Adams County (Unincorporated)</t>
        </is>
      </c>
      <c r="C40" s="2268" t="inlineStr">
        <is>
          <t>Comprehensive Plan</t>
        </is>
      </c>
      <c r="D40" s="2268" t="inlineStr">
        <is>
          <t>Sustainable Adams County 2030 Plan</t>
        </is>
      </c>
      <c r="E40" s="2269" t="inlineStr">
        <is>
          <t>https://adamscountyco.gov/wp-content/uploads/2026/01/CED-2030-Sustainability-Plan-011426.pdf</t>
        </is>
      </c>
      <c r="F40" s="2270" t="inlineStr">
        <is>
          <t>2030 sustainability/land use plan PDF</t>
        </is>
      </c>
    </row>
    <row r="41" ht="14" customHeight="1" s="1439">
      <c r="A41" s="2271">
        <f>IF(OR(ISNUMBER(SEARCH(LEFT('Property Info'!$B$17,MAX(1,FIND(",",'Property Info'!$B$17&amp;",")-1)),B41)),ISNUMBER(SEARCH('Property Info'!$B$18,B41))),"★ Active",IF(B41="REGIONAL / ALL MUNICIPALITIES","Regional","–"))</f>
        <v/>
      </c>
      <c r="B41" s="2271" t="inlineStr">
        <is>
          <t>Adams County (Unincorporated)</t>
        </is>
      </c>
      <c r="C41" s="2271" t="inlineStr">
        <is>
          <t>Economic Development</t>
        </is>
      </c>
      <c r="D41" s="2271" t="inlineStr">
        <is>
          <t>Community &amp; Economic Development (CEDD)</t>
        </is>
      </c>
      <c r="E41" s="2269" t="inlineStr">
        <is>
          <t>https://adamscountyco.gov/our-county/community-economic-development/</t>
        </is>
      </c>
      <c r="F41" s="2272" t="inlineStr">
        <is>
          <t>County economic dev office</t>
        </is>
      </c>
    </row>
    <row r="42" ht="14" customHeight="1" s="1439">
      <c r="A42" s="2268">
        <f>IF(OR(ISNUMBER(SEARCH(LEFT('Property Info'!$B$17,MAX(1,FIND(",",'Property Info'!$B$17&amp;",")-1)),B42)),ISNUMBER(SEARCH('Property Info'!$B$18,B42))),"★ Active",IF(B42="REGIONAL / ALL MUNICIPALITIES","Regional","–"))</f>
        <v/>
      </c>
      <c r="B42" s="2268" t="inlineStr">
        <is>
          <t>Adams County (Unincorporated)</t>
        </is>
      </c>
      <c r="C42" s="2268" t="inlineStr">
        <is>
          <t>Economic Development</t>
        </is>
      </c>
      <c r="D42" s="2268" t="inlineStr">
        <is>
          <t>ChooseAdams</t>
        </is>
      </c>
      <c r="E42" s="2269" t="inlineStr">
        <is>
          <t>https://chooseadams.org/business-services/</t>
        </is>
      </c>
      <c r="F42" s="2270" t="inlineStr">
        <is>
          <t>Business attraction portal</t>
        </is>
      </c>
    </row>
    <row r="43" ht="14" customHeight="1" s="1439">
      <c r="A43" s="2271">
        <f>IF(OR(ISNUMBER(SEARCH(LEFT('Property Info'!$B$17,MAX(1,FIND(",",'Property Info'!$B$17&amp;",")-1)),B43)),ISNUMBER(SEARCH('Property Info'!$B$18,B43))),"★ Active",IF(B43="REGIONAL / ALL MUNICIPALITIES","Regional","–"))</f>
        <v/>
      </c>
      <c r="B43" s="2271" t="inlineStr">
        <is>
          <t>Adams County (Unincorporated)</t>
        </is>
      </c>
      <c r="C43" s="2271" t="inlineStr">
        <is>
          <t>Economic Development</t>
        </is>
      </c>
      <c r="D43" s="2271" t="inlineStr">
        <is>
          <t>Adams County EDC</t>
        </is>
      </c>
      <c r="E43" s="2269" t="inlineStr">
        <is>
          <t>https://adamscountyedc.com/</t>
        </is>
      </c>
      <c r="F43" s="2272" t="inlineStr">
        <is>
          <t>Economic Development Corporation</t>
        </is>
      </c>
    </row>
    <row r="44" ht="14" customHeight="1" s="1439">
      <c r="A44" s="2268">
        <f>IF(OR(ISNUMBER(SEARCH(LEFT('Property Info'!$B$17,MAX(1,FIND(",",'Property Info'!$B$17&amp;",")-1)),B44)),ISNUMBER(SEARCH('Property Info'!$B$18,B44))),"★ Active",IF(B44="REGIONAL / ALL MUNICIPALITIES","Regional","–"))</f>
        <v/>
      </c>
      <c r="B44" s="2268" t="inlineStr">
        <is>
          <t>Adams County (Unincorporated)</t>
        </is>
      </c>
      <c r="C44" s="2268" t="inlineStr">
        <is>
          <t>Economic Development</t>
        </is>
      </c>
      <c r="D44" s="2268" t="inlineStr">
        <is>
          <t>2025 Economic Profile</t>
        </is>
      </c>
      <c r="E44" s="2269" t="inlineStr">
        <is>
          <t>https://adamscountyco.gov/wp-content/uploads/2025/11/2025-Adams-County-Economic-Profile-CED.pdf</t>
        </is>
      </c>
      <c r="F44" s="2270" t="inlineStr">
        <is>
          <t>Annual economic profile PDF</t>
        </is>
      </c>
    </row>
    <row r="45" ht="14" customHeight="1" s="1439">
      <c r="A45" s="2271">
        <f>IF(OR(ISNUMBER(SEARCH(LEFT('Property Info'!$B$17,MAX(1,FIND(",",'Property Info'!$B$17&amp;",")-1)),B45)),ISNUMBER(SEARCH('Property Info'!$B$18,B45))),"★ Active",IF(B45="REGIONAL / ALL MUNICIPALITIES","Regional","–"))</f>
        <v/>
      </c>
      <c r="B45" s="2271" t="inlineStr">
        <is>
          <t>Adams County (Unincorporated)</t>
        </is>
      </c>
      <c r="C45" s="2271" t="inlineStr">
        <is>
          <t>Public Works / ROW</t>
        </is>
      </c>
      <c r="D45" s="2271" t="inlineStr">
        <is>
          <t>Public Works</t>
        </is>
      </c>
      <c r="E45" s="2269" t="inlineStr">
        <is>
          <t>https://adcogov.org/public-works</t>
        </is>
      </c>
      <c r="F45" s="2272" t="inlineStr">
        <is>
          <t>ROW permits and infrastructure info</t>
        </is>
      </c>
    </row>
    <row r="46" ht="14" customHeight="1" s="1439">
      <c r="A46" s="2268">
        <f>IF(OR(ISNUMBER(SEARCH(LEFT('Property Info'!$B$17,MAX(1,FIND(",",'Property Info'!$B$17&amp;",")-1)),B46)),ISNUMBER(SEARCH('Property Info'!$B$18,B46))),"★ Active",IF(B46="REGIONAL / ALL MUNICIPALITIES","Regional","–"))</f>
        <v/>
      </c>
      <c r="B46" s="2268" t="inlineStr">
        <is>
          <t>Brighton</t>
        </is>
      </c>
      <c r="C46" s="2268" t="inlineStr">
        <is>
          <t>Property Assessment</t>
        </is>
      </c>
      <c r="D46" s="2268" t="inlineStr">
        <is>
          <t>Adams County Assessor (Property Lookup)</t>
        </is>
      </c>
      <c r="E46" s="2269" t="inlineStr">
        <is>
          <t>https://adcogov.org/property-look</t>
        </is>
      </c>
      <c r="F46" s="2270" t="inlineStr">
        <is>
          <t>Brighton is fully within Adams County</t>
        </is>
      </c>
    </row>
    <row r="47" ht="14" customHeight="1" s="1439">
      <c r="A47" s="2271">
        <f>IF(OR(ISNUMBER(SEARCH(LEFT('Property Info'!$B$17,MAX(1,FIND(",",'Property Info'!$B$17&amp;",")-1)),B47)),ISNUMBER(SEARCH('Property Info'!$B$18,B47))),"★ Active",IF(B47="REGIONAL / ALL MUNICIPALITIES","Regional","–"))</f>
        <v/>
      </c>
      <c r="B47" s="2271" t="inlineStr">
        <is>
          <t>Brighton</t>
        </is>
      </c>
      <c r="C47" s="2271" t="inlineStr">
        <is>
          <t>Property Tax / Treasurer</t>
        </is>
      </c>
      <c r="D47" s="2271" t="inlineStr">
        <is>
          <t>Online Tax Payment</t>
        </is>
      </c>
      <c r="E47" s="2269" t="inlineStr">
        <is>
          <t>https://adcotax.com/treasurer/web/login.jsp</t>
        </is>
      </c>
      <c r="F47" s="2272" t="inlineStr">
        <is>
          <t>Adams County tax payment portal</t>
        </is>
      </c>
    </row>
    <row r="48" ht="14" customHeight="1" s="1439">
      <c r="A48" s="2268">
        <f>IF(OR(ISNUMBER(SEARCH(LEFT('Property Info'!$B$17,MAX(1,FIND(",",'Property Info'!$B$17&amp;",")-1)),B48)),ISNUMBER(SEARCH('Property Info'!$B$18,B48))),"★ Active",IF(B48="REGIONAL / ALL MUNICIPALITIES","Regional","–"))</f>
        <v/>
      </c>
      <c r="B48" s="2268" t="inlineStr">
        <is>
          <t>Brighton</t>
        </is>
      </c>
      <c r="C48" s="2268" t="inlineStr">
        <is>
          <t>Property Tax / Treasurer</t>
        </is>
      </c>
      <c r="D48" s="2268" t="inlineStr">
        <is>
          <t>Property Tax Inquiry</t>
        </is>
      </c>
      <c r="E48" s="2269" t="inlineStr">
        <is>
          <t>https://adamsil.devnetwedge.com/</t>
        </is>
      </c>
      <c r="F48" s="2270" t="inlineStr">
        <is>
          <t>Tax balance and history lookup</t>
        </is>
      </c>
    </row>
    <row r="49" ht="14" customHeight="1" s="1439">
      <c r="A49" s="2271">
        <f>IF(OR(ISNUMBER(SEARCH(LEFT('Property Info'!$B$17,MAX(1,FIND(",",'Property Info'!$B$17&amp;",")-1)),B49)),ISNUMBER(SEARCH('Property Info'!$B$18,B49))),"★ Active",IF(B49="REGIONAL / ALL MUNICIPALITIES","Regional","–"))</f>
        <v/>
      </c>
      <c r="B49" s="2271" t="inlineStr">
        <is>
          <t>Brighton</t>
        </is>
      </c>
      <c r="C49" s="2271" t="inlineStr">
        <is>
          <t>Deed / Title Records</t>
        </is>
      </c>
      <c r="D49" s="2271" t="inlineStr">
        <is>
          <t>Landmark Web Document Search</t>
        </is>
      </c>
      <c r="E49" s="2269" t="inlineStr">
        <is>
          <t>https://recording.adcogov.org/landmarkweb</t>
        </is>
      </c>
      <c r="F49" s="2272" t="inlineStr">
        <is>
          <t>Adams County deed/title records</t>
        </is>
      </c>
    </row>
    <row r="50" ht="14" customHeight="1" s="1439">
      <c r="A50" s="2268">
        <f>IF(OR(ISNUMBER(SEARCH(LEFT('Property Info'!$B$17,MAX(1,FIND(",",'Property Info'!$B$17&amp;",")-1)),B50)),ISNUMBER(SEARCH('Property Info'!$B$18,B50))),"★ Active",IF(B50="REGIONAL / ALL MUNICIPALITIES","Regional","–"))</f>
        <v/>
      </c>
      <c r="B50" s="2268" t="inlineStr">
        <is>
          <t>Brighton</t>
        </is>
      </c>
      <c r="C50" s="2268" t="inlineStr">
        <is>
          <t>GIS / Mapping</t>
        </is>
      </c>
      <c r="D50" s="2268" t="inlineStr">
        <is>
          <t>GIS Division</t>
        </is>
      </c>
      <c r="E50" s="2269" t="inlineStr">
        <is>
          <t>https://www.brightonco.gov/248/Geographic-Information-Systems</t>
        </is>
      </c>
      <c r="F50" s="2270" t="inlineStr">
        <is>
          <t>Brighton GIS maps and data</t>
        </is>
      </c>
    </row>
    <row r="51" ht="14" customHeight="1" s="1439">
      <c r="A51" s="2271">
        <f>IF(OR(ISNUMBER(SEARCH(LEFT('Property Info'!$B$17,MAX(1,FIND(",",'Property Info'!$B$17&amp;",")-1)),B51)),ISNUMBER(SEARCH('Property Info'!$B$18,B51))),"★ Active",IF(B51="REGIONAL / ALL MUNICIPALITIES","Regional","–"))</f>
        <v/>
      </c>
      <c r="B51" s="2271" t="inlineStr">
        <is>
          <t>Brighton</t>
        </is>
      </c>
      <c r="C51" s="2271" t="inlineStr">
        <is>
          <t>GIS / Mapping</t>
        </is>
      </c>
      <c r="D51" s="2271" t="inlineStr">
        <is>
          <t>Interactive Development Map</t>
        </is>
      </c>
      <c r="E51" s="2269" t="inlineStr">
        <is>
          <t>https://www.brightonco.gov/1596/Interactive-Development-Map</t>
        </is>
      </c>
      <c r="F51" s="2272" t="inlineStr">
        <is>
          <t>Active development projects map</t>
        </is>
      </c>
    </row>
    <row r="52" ht="14" customHeight="1" s="1439">
      <c r="A52" s="2268">
        <f>IF(OR(ISNUMBER(SEARCH(LEFT('Property Info'!$B$17,MAX(1,FIND(",",'Property Info'!$B$17&amp;",")-1)),B52)),ISNUMBER(SEARCH('Property Info'!$B$18,B52))),"★ Active",IF(B52="REGIONAL / ALL MUNICIPALITIES","Regional","–"))</f>
        <v/>
      </c>
      <c r="B52" s="2268" t="inlineStr">
        <is>
          <t>Brighton</t>
        </is>
      </c>
      <c r="C52" s="2268" t="inlineStr">
        <is>
          <t>Permits</t>
        </is>
      </c>
      <c r="D52" s="2268" t="inlineStr">
        <is>
          <t>Permitting Portal</t>
        </is>
      </c>
      <c r="E52" s="2269" t="inlineStr">
        <is>
          <t>https://www.brightonco.gov/222/Permitting</t>
        </is>
      </c>
      <c r="F52" s="2270" t="inlineStr">
        <is>
          <t>Building permit applications and search</t>
        </is>
      </c>
    </row>
    <row r="53" ht="14" customHeight="1" s="1439">
      <c r="A53" s="2271">
        <f>IF(OR(ISNUMBER(SEARCH(LEFT('Property Info'!$B$17,MAX(1,FIND(",",'Property Info'!$B$17&amp;",")-1)),B53)),ISNUMBER(SEARCH('Property Info'!$B$18,B53))),"★ Active",IF(B53="REGIONAL / ALL MUNICIPALITIES","Regional","–"))</f>
        <v/>
      </c>
      <c r="B53" s="2271" t="inlineStr">
        <is>
          <t>Brighton</t>
        </is>
      </c>
      <c r="C53" s="2271" t="inlineStr">
        <is>
          <t>Permits</t>
        </is>
      </c>
      <c r="D53" s="2271" t="inlineStr">
        <is>
          <t>Inspections</t>
        </is>
      </c>
      <c r="E53" s="2269" t="inlineStr">
        <is>
          <t>https://www.brightonco.gov/1130/Inspections</t>
        </is>
      </c>
      <c r="F53" s="2272" t="inlineStr">
        <is>
          <t>Schedule and track inspections</t>
        </is>
      </c>
    </row>
    <row r="54" ht="14" customHeight="1" s="1439">
      <c r="A54" s="2268">
        <f>IF(OR(ISNUMBER(SEARCH(LEFT('Property Info'!$B$17,MAX(1,FIND(",",'Property Info'!$B$17&amp;",")-1)),B54)),ISNUMBER(SEARCH('Property Info'!$B$18,B54))),"★ Active",IF(B54="REGIONAL / ALL MUNICIPALITIES","Regional","–"))</f>
        <v/>
      </c>
      <c r="B54" s="2268" t="inlineStr">
        <is>
          <t>Brighton</t>
        </is>
      </c>
      <c r="C54" s="2268" t="inlineStr">
        <is>
          <t>Permits</t>
        </is>
      </c>
      <c r="D54" s="2268" t="inlineStr">
        <is>
          <t>Land Use &amp; Development Applications</t>
        </is>
      </c>
      <c r="E54" s="2269" t="inlineStr">
        <is>
          <t>https://www.brightonco.gov/1142/Land-Use-Development-Applications</t>
        </is>
      </c>
      <c r="F54" s="2270" t="inlineStr">
        <is>
          <t>Development application tracker</t>
        </is>
      </c>
    </row>
    <row r="55" ht="14" customHeight="1" s="1439">
      <c r="A55" s="2271">
        <f>IF(OR(ISNUMBER(SEARCH(LEFT('Property Info'!$B$17,MAX(1,FIND(",",'Property Info'!$B$17&amp;",")-1)),B55)),ISNUMBER(SEARCH('Property Info'!$B$18,B55))),"★ Active",IF(B55="REGIONAL / ALL MUNICIPALITIES","Regional","–"))</f>
        <v/>
      </c>
      <c r="B55" s="2271" t="inlineStr">
        <is>
          <t>Brighton</t>
        </is>
      </c>
      <c r="C55" s="2271" t="inlineStr">
        <is>
          <t>Permits</t>
        </is>
      </c>
      <c r="D55" s="2271" t="inlineStr">
        <is>
          <t>Development Services</t>
        </is>
      </c>
      <c r="E55" s="2269" t="inlineStr">
        <is>
          <t>https://www.brightonco.gov/1162/Development-Services</t>
        </is>
      </c>
      <c r="F55" s="2272" t="inlineStr">
        <is>
          <t>Development services department</t>
        </is>
      </c>
    </row>
    <row r="56" ht="14" customHeight="1" s="1439">
      <c r="A56" s="2268">
        <f>IF(OR(ISNUMBER(SEARCH(LEFT('Property Info'!$B$17,MAX(1,FIND(",",'Property Info'!$B$17&amp;",")-1)),B56)),ISNUMBER(SEARCH('Property Info'!$B$18,B56))),"★ Active",IF(B56="REGIONAL / ALL MUNICIPALITIES","Regional","–"))</f>
        <v/>
      </c>
      <c r="B56" s="2268" t="inlineStr">
        <is>
          <t>Brighton</t>
        </is>
      </c>
      <c r="C56" s="2268" t="inlineStr">
        <is>
          <t>Permits</t>
        </is>
      </c>
      <c r="D56" s="2268" t="inlineStr">
        <is>
          <t>Permit Reports (Commercial/Residential)</t>
        </is>
      </c>
      <c r="E56" s="2269" t="inlineStr">
        <is>
          <t>https://brightonco.gov/1143/Reports</t>
        </is>
      </c>
      <c r="F56" s="2270" t="inlineStr">
        <is>
          <t>Issued permit statistics</t>
        </is>
      </c>
    </row>
    <row r="57" ht="14" customHeight="1" s="1439">
      <c r="A57" s="2271">
        <f>IF(OR(ISNUMBER(SEARCH(LEFT('Property Info'!$B$17,MAX(1,FIND(",",'Property Info'!$B$17&amp;",")-1)),B57)),ISNUMBER(SEARCH('Property Info'!$B$18,B57))),"★ Active",IF(B57="REGIONAL / ALL MUNICIPALITIES","Regional","–"))</f>
        <v/>
      </c>
      <c r="B57" s="2271" t="inlineStr">
        <is>
          <t>Brighton</t>
        </is>
      </c>
      <c r="C57" s="2271" t="inlineStr">
        <is>
          <t>Zoning / Planning</t>
        </is>
      </c>
      <c r="D57" s="2271" t="inlineStr">
        <is>
          <t>Planning &amp; Zoning Main Page</t>
        </is>
      </c>
      <c r="E57" s="2269" t="inlineStr">
        <is>
          <t>https://www.brightonco.gov/224/Planning-Zoning</t>
        </is>
      </c>
      <c r="F57" s="2272" t="inlineStr">
        <is>
          <t>Zoning information and staff contacts</t>
        </is>
      </c>
    </row>
    <row r="58" ht="14" customHeight="1" s="1439">
      <c r="A58" s="2268">
        <f>IF(OR(ISNUMBER(SEARCH(LEFT('Property Info'!$B$17,MAX(1,FIND(",",'Property Info'!$B$17&amp;",")-1)),B58)),ISNUMBER(SEARCH('Property Info'!$B$18,B58))),"★ Active",IF(B58="REGIONAL / ALL MUNICIPALITIES","Regional","–"))</f>
        <v/>
      </c>
      <c r="B58" s="2268" t="inlineStr">
        <is>
          <t>Brighton</t>
        </is>
      </c>
      <c r="C58" s="2268" t="inlineStr">
        <is>
          <t>Zoning / Planning</t>
        </is>
      </c>
      <c r="D58" s="2268" t="inlineStr">
        <is>
          <t>Land Use &amp; Development Code</t>
        </is>
      </c>
      <c r="E58" s="2269" t="inlineStr">
        <is>
          <t>https://www.brightonco.gov/363/Land-Use-Development-Code</t>
        </is>
      </c>
      <c r="F58" s="2270" t="inlineStr">
        <is>
          <t>Brighton's zoning code (Article 17 of Municipal Code)</t>
        </is>
      </c>
    </row>
    <row r="59" ht="14" customHeight="1" s="1439">
      <c r="A59" s="2271">
        <f>IF(OR(ISNUMBER(SEARCH(LEFT('Property Info'!$B$17,MAX(1,FIND(",",'Property Info'!$B$17&amp;",")-1)),B59)),ISNUMBER(SEARCH('Property Info'!$B$18,B59))),"★ Active",IF(B59="REGIONAL / ALL MUNICIPALITIES","Regional","–"))</f>
        <v/>
      </c>
      <c r="B59" s="2271" t="inlineStr">
        <is>
          <t>Brighton</t>
        </is>
      </c>
      <c r="C59" s="2271" t="inlineStr">
        <is>
          <t>Zoning / Planning</t>
        </is>
      </c>
      <c r="D59" s="2271" t="inlineStr">
        <is>
          <t>Long Range Planning / Comprehensive Plan</t>
        </is>
      </c>
      <c r="E59" s="2269" t="inlineStr">
        <is>
          <t>https://www.brightonco.gov/553/Long-Range-Planning</t>
        </is>
      </c>
      <c r="F59" s="2272" t="inlineStr">
        <is>
          <t>Be Brighton Comprehensive Plan</t>
        </is>
      </c>
    </row>
    <row r="60" ht="14" customHeight="1" s="1439">
      <c r="A60" s="2268">
        <f>IF(OR(ISNUMBER(SEARCH(LEFT('Property Info'!$B$17,MAX(1,FIND(",",'Property Info'!$B$17&amp;",")-1)),B60)),ISNUMBER(SEARCH('Property Info'!$B$18,B60))),"★ Active",IF(B60="REGIONAL / ALL MUNICIPALITIES","Regional","–"))</f>
        <v/>
      </c>
      <c r="B60" s="2268" t="inlineStr">
        <is>
          <t>Brighton</t>
        </is>
      </c>
      <c r="C60" s="2268" t="inlineStr">
        <is>
          <t>Flood Zone</t>
        </is>
      </c>
      <c r="D60" s="2268" t="inlineStr">
        <is>
          <t>FEMA Map Service Center</t>
        </is>
      </c>
      <c r="E60" s="2269" t="inlineStr">
        <is>
          <t>https://msc.fema.gov/</t>
        </is>
      </c>
      <c r="F60" s="2270" t="inlineStr">
        <is>
          <t>Address-specific FEMA FIRM lookup</t>
        </is>
      </c>
    </row>
    <row r="61" ht="14" customHeight="1" s="1439">
      <c r="A61" s="2271">
        <f>IF(OR(ISNUMBER(SEARCH(LEFT('Property Info'!$B$17,MAX(1,FIND(",",'Property Info'!$B$17&amp;",")-1)),B61)),ISNUMBER(SEARCH('Property Info'!$B$18,B61))),"★ Active",IF(B61="REGIONAL / ALL MUNICIPALITIES","Regional","–"))</f>
        <v/>
      </c>
      <c r="B61" s="2271" t="inlineStr">
        <is>
          <t>Brighton</t>
        </is>
      </c>
      <c r="C61" s="2271" t="inlineStr">
        <is>
          <t>Flood Zone</t>
        </is>
      </c>
      <c r="D61" s="2271" t="inlineStr">
        <is>
          <t>Adams County Floodplain Management</t>
        </is>
      </c>
      <c r="E61" s="2269" t="inlineStr">
        <is>
          <t>https://adamscountyco.gov/our-county/community-economic-development/floodplain-management/</t>
        </is>
      </c>
      <c r="F61" s="2272" t="inlineStr">
        <is>
          <t>County floodplain resources</t>
        </is>
      </c>
    </row>
    <row r="62" ht="14" customHeight="1" s="1439">
      <c r="A62" s="2268">
        <f>IF(OR(ISNUMBER(SEARCH(LEFT('Property Info'!$B$17,MAX(1,FIND(",",'Property Info'!$B$17&amp;",")-1)),B62)),ISNUMBER(SEARCH('Property Info'!$B$18,B62))),"★ Active",IF(B62="REGIONAL / ALL MUNICIPALITIES","Regional","–"))</f>
        <v/>
      </c>
      <c r="B62" s="2268" t="inlineStr">
        <is>
          <t>Brighton</t>
        </is>
      </c>
      <c r="C62" s="2268" t="inlineStr">
        <is>
          <t>Crime / Safety</t>
        </is>
      </c>
      <c r="D62" s="2268" t="inlineStr">
        <is>
          <t>Weekly Crime Reports &amp; Crime Map</t>
        </is>
      </c>
      <c r="E62" s="2269" t="inlineStr">
        <is>
          <t>https://www.brightonco.gov/1862/Weekly-Crime-Reports-Crime-Map</t>
        </is>
      </c>
      <c r="F62" s="2270" t="inlineStr">
        <is>
          <t>Brighton PD crime map and reports</t>
        </is>
      </c>
    </row>
    <row r="63" ht="14" customHeight="1" s="1439">
      <c r="A63" s="2271">
        <f>IF(OR(ISNUMBER(SEARCH(LEFT('Property Info'!$B$17,MAX(1,FIND(",",'Property Info'!$B$17&amp;",")-1)),B63)),ISNUMBER(SEARCH('Property Info'!$B$18,B63))),"★ Active",IF(B63="REGIONAL / ALL MUNICIPALITIES","Regional","–"))</f>
        <v/>
      </c>
      <c r="B63" s="2271" t="inlineStr">
        <is>
          <t>Brighton</t>
        </is>
      </c>
      <c r="C63" s="2271" t="inlineStr">
        <is>
          <t>Public Records</t>
        </is>
      </c>
      <c r="D63" s="2271" t="inlineStr">
        <is>
          <t>Requesting Records (CORA)</t>
        </is>
      </c>
      <c r="E63" s="2269" t="inlineStr">
        <is>
          <t>https://www.brightonco.gov/213/Requesting-Records-Information</t>
        </is>
      </c>
      <c r="F63" s="2272" t="inlineStr">
        <is>
          <t>Public records request process</t>
        </is>
      </c>
    </row>
    <row r="64" ht="14" customHeight="1" s="1439">
      <c r="A64" s="2268">
        <f>IF(OR(ISNUMBER(SEARCH(LEFT('Property Info'!$B$17,MAX(1,FIND(",",'Property Info'!$B$17&amp;",")-1)),B64)),ISNUMBER(SEARCH('Property Info'!$B$18,B64))),"★ Active",IF(B64="REGIONAL / ALL MUNICIPALITIES","Regional","–"))</f>
        <v/>
      </c>
      <c r="B64" s="2268" t="inlineStr">
        <is>
          <t>Brighton</t>
        </is>
      </c>
      <c r="C64" s="2268" t="inlineStr">
        <is>
          <t>School Districts</t>
        </is>
      </c>
      <c r="D64" s="2268" t="inlineStr">
        <is>
          <t>School District 27J (Brighton)</t>
        </is>
      </c>
      <c r="E64" s="2269" t="inlineStr">
        <is>
          <t>https://www.sd27j.org/</t>
        </is>
      </c>
      <c r="F64" s="2270" t="inlineStr">
        <is>
          <t>Primary school district for Brighton</t>
        </is>
      </c>
    </row>
    <row r="65" ht="14" customHeight="1" s="1439">
      <c r="A65" s="2271">
        <f>IF(OR(ISNUMBER(SEARCH(LEFT('Property Info'!$B$17,MAX(1,FIND(",",'Property Info'!$B$17&amp;",")-1)),B65)),ISNUMBER(SEARCH('Property Info'!$B$18,B65))),"★ Active",IF(B65="REGIONAL / ALL MUNICIPALITIES","Regional","–"))</f>
        <v/>
      </c>
      <c r="B65" s="2271" t="inlineStr">
        <is>
          <t>Commerce City</t>
        </is>
      </c>
      <c r="C65" s="2271" t="inlineStr">
        <is>
          <t>Property Assessment</t>
        </is>
      </c>
      <c r="D65" s="2271" t="inlineStr">
        <is>
          <t>Adams County Assessor (Property Lookup)</t>
        </is>
      </c>
      <c r="E65" s="2269" t="inlineStr">
        <is>
          <t>https://adcogov.org/property-look</t>
        </is>
      </c>
      <c r="F65" s="2272" t="inlineStr">
        <is>
          <t>Commerce City is fully within Adams County</t>
        </is>
      </c>
    </row>
    <row r="66" ht="14" customHeight="1" s="1439">
      <c r="A66" s="2268">
        <f>IF(OR(ISNUMBER(SEARCH(LEFT('Property Info'!$B$17,MAX(1,FIND(",",'Property Info'!$B$17&amp;",")-1)),B66)),ISNUMBER(SEARCH('Property Info'!$B$18,B66))),"★ Active",IF(B66="REGIONAL / ALL MUNICIPALITIES","Regional","–"))</f>
        <v/>
      </c>
      <c r="B66" s="2268" t="inlineStr">
        <is>
          <t>Commerce City</t>
        </is>
      </c>
      <c r="C66" s="2268" t="inlineStr">
        <is>
          <t>Property Tax / Treasurer</t>
        </is>
      </c>
      <c r="D66" s="2268" t="inlineStr">
        <is>
          <t>Online Tax Payment</t>
        </is>
      </c>
      <c r="E66" s="2269" t="inlineStr">
        <is>
          <t>https://adcotax.com/treasurer/web/login.jsp</t>
        </is>
      </c>
      <c r="F66" s="2270" t="inlineStr">
        <is>
          <t>Adams County tax payment portal</t>
        </is>
      </c>
    </row>
    <row r="67" ht="14" customHeight="1" s="1439">
      <c r="A67" s="2271">
        <f>IF(OR(ISNUMBER(SEARCH(LEFT('Property Info'!$B$17,MAX(1,FIND(",",'Property Info'!$B$17&amp;",")-1)),B67)),ISNUMBER(SEARCH('Property Info'!$B$18,B67))),"★ Active",IF(B67="REGIONAL / ALL MUNICIPALITIES","Regional","–"))</f>
        <v/>
      </c>
      <c r="B67" s="2271" t="inlineStr">
        <is>
          <t>Commerce City</t>
        </is>
      </c>
      <c r="C67" s="2271" t="inlineStr">
        <is>
          <t>Property Tax / Treasurer</t>
        </is>
      </c>
      <c r="D67" s="2271" t="inlineStr">
        <is>
          <t>Property Tax Inquiry</t>
        </is>
      </c>
      <c r="E67" s="2269" t="inlineStr">
        <is>
          <t>https://adamsil.devnetwedge.com/</t>
        </is>
      </c>
      <c r="F67" s="2272" t="inlineStr">
        <is>
          <t>Tax balance and history lookup</t>
        </is>
      </c>
    </row>
    <row r="68" ht="14" customHeight="1" s="1439">
      <c r="A68" s="2268">
        <f>IF(OR(ISNUMBER(SEARCH(LEFT('Property Info'!$B$17,MAX(1,FIND(",",'Property Info'!$B$17&amp;",")-1)),B68)),ISNUMBER(SEARCH('Property Info'!$B$18,B68))),"★ Active",IF(B68="REGIONAL / ALL MUNICIPALITIES","Regional","–"))</f>
        <v/>
      </c>
      <c r="B68" s="2268" t="inlineStr">
        <is>
          <t>Commerce City</t>
        </is>
      </c>
      <c r="C68" s="2268" t="inlineStr">
        <is>
          <t>Deed / Title Records</t>
        </is>
      </c>
      <c r="D68" s="2268" t="inlineStr">
        <is>
          <t>Landmark Web Document Search</t>
        </is>
      </c>
      <c r="E68" s="2269" t="inlineStr">
        <is>
          <t>https://recording.adcogov.org/landmarkweb</t>
        </is>
      </c>
      <c r="F68" s="2270" t="inlineStr">
        <is>
          <t>Adams County deed/title records</t>
        </is>
      </c>
    </row>
    <row r="69" ht="14" customHeight="1" s="1439">
      <c r="A69" s="2271">
        <f>IF(OR(ISNUMBER(SEARCH(LEFT('Property Info'!$B$17,MAX(1,FIND(",",'Property Info'!$B$17&amp;",")-1)),B69)),ISNUMBER(SEARCH('Property Info'!$B$18,B69))),"★ Active",IF(B69="REGIONAL / ALL MUNICIPALITIES","Regional","–"))</f>
        <v/>
      </c>
      <c r="B69" s="2271" t="inlineStr">
        <is>
          <t>Commerce City</t>
        </is>
      </c>
      <c r="C69" s="2271" t="inlineStr">
        <is>
          <t>GIS / Mapping</t>
        </is>
      </c>
      <c r="D69" s="2271" t="inlineStr">
        <is>
          <t>Maps Data &amp; GIS</t>
        </is>
      </c>
      <c r="E69" s="2269" t="inlineStr">
        <is>
          <t>https://www.c3gov.com/Residents/Maps-Data-GIS</t>
        </is>
      </c>
      <c r="F69" s="2272" t="inlineStr">
        <is>
          <t>City GIS maps and data</t>
        </is>
      </c>
    </row>
    <row r="70" ht="14" customHeight="1" s="1439">
      <c r="A70" s="2268">
        <f>IF(OR(ISNUMBER(SEARCH(LEFT('Property Info'!$B$17,MAX(1,FIND(",",'Property Info'!$B$17&amp;",")-1)),B70)),ISNUMBER(SEARCH('Property Info'!$B$18,B70))),"★ Active",IF(B70="REGIONAL / ALL MUNICIPALITIES","Regional","–"))</f>
        <v/>
      </c>
      <c r="B70" s="2268" t="inlineStr">
        <is>
          <t>Commerce City</t>
        </is>
      </c>
      <c r="C70" s="2268" t="inlineStr">
        <is>
          <t>GIS / Mapping</t>
        </is>
      </c>
      <c r="D70" s="2268" t="inlineStr">
        <is>
          <t>Commerce City Open Data (ArcGIS Hub)</t>
        </is>
      </c>
      <c r="E70" s="2269" t="inlineStr">
        <is>
          <t>https://data-c3.opendata.arcgis.com/</t>
        </is>
      </c>
      <c r="F70" s="2270" t="inlineStr">
        <is>
          <t>Downloadable GIS datasets</t>
        </is>
      </c>
    </row>
    <row r="71" ht="14" customHeight="1" s="1439">
      <c r="A71" s="2271">
        <f>IF(OR(ISNUMBER(SEARCH(LEFT('Property Info'!$B$17,MAX(1,FIND(",",'Property Info'!$B$17&amp;",")-1)),B71)),ISNUMBER(SEARCH('Property Info'!$B$18,B71))),"★ Active",IF(B71="REGIONAL / ALL MUNICIPALITIES","Regional","–"))</f>
        <v/>
      </c>
      <c r="B71" s="2271" t="inlineStr">
        <is>
          <t>Commerce City</t>
        </is>
      </c>
      <c r="C71" s="2271" t="inlineStr">
        <is>
          <t>Permits</t>
        </is>
      </c>
      <c r="D71" s="2271" t="inlineStr">
        <is>
          <t>eTRAKiT Permits Page</t>
        </is>
      </c>
      <c r="E71" s="2269" t="inlineStr">
        <is>
          <t>https://www.c3gov.com/doing-business/developing-in-commerce-city/building-permits</t>
        </is>
      </c>
      <c r="F71" s="2272" t="inlineStr">
        <is>
          <t>Building permit info and portal link</t>
        </is>
      </c>
    </row>
    <row r="72" ht="14" customHeight="1" s="1439">
      <c r="A72" s="2268">
        <f>IF(OR(ISNUMBER(SEARCH(LEFT('Property Info'!$B$17,MAX(1,FIND(",",'Property Info'!$B$17&amp;",")-1)),B72)),ISNUMBER(SEARCH('Property Info'!$B$18,B72))),"★ Active",IF(B72="REGIONAL / ALL MUNICIPALITIES","Regional","–"))</f>
        <v/>
      </c>
      <c r="B72" s="2268" t="inlineStr">
        <is>
          <t>Commerce City</t>
        </is>
      </c>
      <c r="C72" s="2268" t="inlineStr">
        <is>
          <t>Permits</t>
        </is>
      </c>
      <c r="D72" s="2268" t="inlineStr">
        <is>
          <t>eTRAKiT Login / Permit Search</t>
        </is>
      </c>
      <c r="E72" s="2269" t="inlineStr">
        <is>
          <t>https://comc.csqrcloud.com/community-etrakit/</t>
        </is>
      </c>
      <c r="F72" s="2270" t="inlineStr">
        <is>
          <t>Online permit search and applications</t>
        </is>
      </c>
    </row>
    <row r="73" ht="14" customHeight="1" s="1439">
      <c r="A73" s="2271">
        <f>IF(OR(ISNUMBER(SEARCH(LEFT('Property Info'!$B$17,MAX(1,FIND(",",'Property Info'!$B$17&amp;",")-1)),B73)),ISNUMBER(SEARCH('Property Info'!$B$18,B73))),"★ Active",IF(B73="REGIONAL / ALL MUNICIPALITIES","Regional","–"))</f>
        <v/>
      </c>
      <c r="B73" s="2271" t="inlineStr">
        <is>
          <t>Commerce City</t>
        </is>
      </c>
      <c r="C73" s="2271" t="inlineStr">
        <is>
          <t>Permits</t>
        </is>
      </c>
      <c r="D73" s="2271" t="inlineStr">
        <is>
          <t>Building Permit Process</t>
        </is>
      </c>
      <c r="E73" s="2269" t="inlineStr">
        <is>
          <t>https://www.c3gov.com/doing-business/developing-in-commerce-city/building-permits-inspections/step-2-permit-application-contractor-licensing-reviews/building-permit-process</t>
        </is>
      </c>
      <c r="F73" s="2272" t="inlineStr">
        <is>
          <t>Step-by-step permit guide</t>
        </is>
      </c>
    </row>
    <row r="74" ht="14" customHeight="1" s="1439">
      <c r="A74" s="2268">
        <f>IF(OR(ISNUMBER(SEARCH(LEFT('Property Info'!$B$17,MAX(1,FIND(",",'Property Info'!$B$17&amp;",")-1)),B74)),ISNUMBER(SEARCH('Property Info'!$B$18,B74))),"★ Active",IF(B74="REGIONAL / ALL MUNICIPALITIES","Regional","–"))</f>
        <v/>
      </c>
      <c r="B74" s="2268" t="inlineStr">
        <is>
          <t>Commerce City</t>
        </is>
      </c>
      <c r="C74" s="2268" t="inlineStr">
        <is>
          <t>Permits</t>
        </is>
      </c>
      <c r="D74" s="2268" t="inlineStr">
        <is>
          <t>Civil Plan Approval / Grading Permits</t>
        </is>
      </c>
      <c r="E74" s="2269" t="inlineStr">
        <is>
          <t>https://www.c3gov.com/doing-business/developing-in-commerce-city/civil-plan-approval-grading-permits</t>
        </is>
      </c>
      <c r="F74" s="2270" t="inlineStr">
        <is>
          <t>Civil/grading permits</t>
        </is>
      </c>
    </row>
    <row r="75" ht="14" customHeight="1" s="1439">
      <c r="A75" s="2271">
        <f>IF(OR(ISNUMBER(SEARCH(LEFT('Property Info'!$B$17,MAX(1,FIND(",",'Property Info'!$B$17&amp;",")-1)),B75)),ISNUMBER(SEARCH('Property Info'!$B$18,B75))),"★ Active",IF(B75="REGIONAL / ALL MUNICIPALITIES","Regional","–"))</f>
        <v/>
      </c>
      <c r="B75" s="2271" t="inlineStr">
        <is>
          <t>Commerce City</t>
        </is>
      </c>
      <c r="C75" s="2271" t="inlineStr">
        <is>
          <t>Code Enforcement</t>
        </is>
      </c>
      <c r="D75" s="2271" t="inlineStr">
        <is>
          <t>Code Enforcement</t>
        </is>
      </c>
      <c r="E75" s="2269" t="inlineStr">
        <is>
          <t>https://www.c3gov.com/Government/Departments-Divisions/Code-Enforcement</t>
        </is>
      </c>
      <c r="F75" s="2272" t="inlineStr">
        <is>
          <t>Code enforcement department</t>
        </is>
      </c>
    </row>
    <row r="76" ht="14" customHeight="1" s="1439">
      <c r="A76" s="2268">
        <f>IF(OR(ISNUMBER(SEARCH(LEFT('Property Info'!$B$17,MAX(1,FIND(",",'Property Info'!$B$17&amp;",")-1)),B76)),ISNUMBER(SEARCH('Property Info'!$B$18,B76))),"★ Active",IF(B76="REGIONAL / ALL MUNICIPALITIES","Regional","–"))</f>
        <v/>
      </c>
      <c r="B76" s="2268" t="inlineStr">
        <is>
          <t>Commerce City</t>
        </is>
      </c>
      <c r="C76" s="2268" t="inlineStr">
        <is>
          <t>Zoning / Planning</t>
        </is>
      </c>
      <c r="D76" s="2268" t="inlineStr">
        <is>
          <t>Land Use Approvals</t>
        </is>
      </c>
      <c r="E76" s="2269" t="inlineStr">
        <is>
          <t>https://www.c3gov.com/Business-Development/Developing-in-Commerce-City/Land-Use-Approvals</t>
        </is>
      </c>
      <c r="F76" s="2270" t="inlineStr">
        <is>
          <t>Entitlement and approval process</t>
        </is>
      </c>
    </row>
    <row r="77" ht="14" customHeight="1" s="1439">
      <c r="A77" s="2271">
        <f>IF(OR(ISNUMBER(SEARCH(LEFT('Property Info'!$B$17,MAX(1,FIND(",",'Property Info'!$B$17&amp;",")-1)),B77)),ISNUMBER(SEARCH('Property Info'!$B$18,B77))),"★ Active",IF(B77="REGIONAL / ALL MUNICIPALITIES","Regional","–"))</f>
        <v/>
      </c>
      <c r="B77" s="2271" t="inlineStr">
        <is>
          <t>Commerce City</t>
        </is>
      </c>
      <c r="C77" s="2271" t="inlineStr">
        <is>
          <t>Zoning / Planning</t>
        </is>
      </c>
      <c r="D77" s="2271" t="inlineStr">
        <is>
          <t>Land Use Standards</t>
        </is>
      </c>
      <c r="E77" s="2269" t="inlineStr">
        <is>
          <t>https://www.c3gov.com/Business-Development/Developing-in-Commerce-City/Land-Use-Standards</t>
        </is>
      </c>
      <c r="F77" s="2272" t="inlineStr">
        <is>
          <t>Land use regulations and standards</t>
        </is>
      </c>
    </row>
    <row r="78" ht="14" customHeight="1" s="1439">
      <c r="A78" s="2268">
        <f>IF(OR(ISNUMBER(SEARCH(LEFT('Property Info'!$B$17,MAX(1,FIND(",",'Property Info'!$B$17&amp;",")-1)),B78)),ISNUMBER(SEARCH('Property Info'!$B$18,B78))),"★ Active",IF(B78="REGIONAL / ALL MUNICIPALITIES","Regional","–"))</f>
        <v/>
      </c>
      <c r="B78" s="2268" t="inlineStr">
        <is>
          <t>Commerce City</t>
        </is>
      </c>
      <c r="C78" s="2268" t="inlineStr">
        <is>
          <t>Zoning / Planning</t>
        </is>
      </c>
      <c r="D78" s="2268" t="inlineStr">
        <is>
          <t>Land Development Code</t>
        </is>
      </c>
      <c r="E78" s="2269" t="inlineStr">
        <is>
          <t>https://www.c3gov.com/Government/City-Codes/Land-Development-Code</t>
        </is>
      </c>
      <c r="F78" s="2270" t="inlineStr">
        <is>
          <t>Zoning code (updated 2025)</t>
        </is>
      </c>
    </row>
    <row r="79" ht="14" customHeight="1" s="1439">
      <c r="A79" s="2271">
        <f>IF(OR(ISNUMBER(SEARCH(LEFT('Property Info'!$B$17,MAX(1,FIND(",",'Property Info'!$B$17&amp;",")-1)),B79)),ISNUMBER(SEARCH('Property Info'!$B$18,B79))),"★ Active",IF(B79="REGIONAL / ALL MUNICIPALITIES","Regional","–"))</f>
        <v/>
      </c>
      <c r="B79" s="2271" t="inlineStr">
        <is>
          <t>Commerce City</t>
        </is>
      </c>
      <c r="C79" s="2271" t="inlineStr">
        <is>
          <t>Zoning / Planning</t>
        </is>
      </c>
      <c r="D79" s="2271" t="inlineStr">
        <is>
          <t>Comprehensive Plan</t>
        </is>
      </c>
      <c r="E79" s="2269" t="inlineStr">
        <is>
          <t>https://www.c3gov.com/Government/City-Charter-Master-Plans/Comprehensive-Plan</t>
        </is>
      </c>
      <c r="F79" s="2272" t="inlineStr">
        <is>
          <t>City comprehensive plan</t>
        </is>
      </c>
    </row>
    <row r="80" ht="14" customHeight="1" s="1439">
      <c r="A80" s="2268">
        <f>IF(OR(ISNUMBER(SEARCH(LEFT('Property Info'!$B$17,MAX(1,FIND(",",'Property Info'!$B$17&amp;",")-1)),B80)),ISNUMBER(SEARCH('Property Info'!$B$18,B80))),"★ Active",IF(B80="REGIONAL / ALL MUNICIPALITIES","Regional","–"))</f>
        <v/>
      </c>
      <c r="B80" s="2268" t="inlineStr">
        <is>
          <t>Commerce City</t>
        </is>
      </c>
      <c r="C80" s="2268" t="inlineStr">
        <is>
          <t>Flood Zone</t>
        </is>
      </c>
      <c r="D80" s="2268" t="inlineStr">
        <is>
          <t>FEMA Map Service Center</t>
        </is>
      </c>
      <c r="E80" s="2269" t="inlineStr">
        <is>
          <t>https://msc.fema.gov/</t>
        </is>
      </c>
      <c r="F80" s="2270" t="inlineStr">
        <is>
          <t>Address-specific FEMA FIRM lookup</t>
        </is>
      </c>
    </row>
    <row r="81" ht="14" customHeight="1" s="1439">
      <c r="A81" s="2271">
        <f>IF(OR(ISNUMBER(SEARCH(LEFT('Property Info'!$B$17,MAX(1,FIND(",",'Property Info'!$B$17&amp;",")-1)),B81)),ISNUMBER(SEARCH('Property Info'!$B$18,B81))),"★ Active",IF(B81="REGIONAL / ALL MUNICIPALITIES","Regional","–"))</f>
        <v/>
      </c>
      <c r="B81" s="2271" t="inlineStr">
        <is>
          <t>Commerce City</t>
        </is>
      </c>
      <c r="C81" s="2271" t="inlineStr">
        <is>
          <t>Flood Zone</t>
        </is>
      </c>
      <c r="D81" s="2271" t="inlineStr">
        <is>
          <t>Adams County Floodplain Management</t>
        </is>
      </c>
      <c r="E81" s="2269" t="inlineStr">
        <is>
          <t>https://adamscountyco.gov/our-county/community-economic-development/floodplain-management/</t>
        </is>
      </c>
      <c r="F81" s="2272" t="inlineStr">
        <is>
          <t>County floodplain resources</t>
        </is>
      </c>
    </row>
    <row r="82" ht="14" customHeight="1" s="1439">
      <c r="A82" s="2268">
        <f>IF(OR(ISNUMBER(SEARCH(LEFT('Property Info'!$B$17,MAX(1,FIND(",",'Property Info'!$B$17&amp;",")-1)),B82)),ISNUMBER(SEARCH('Property Info'!$B$18,B82))),"★ Active",IF(B82="REGIONAL / ALL MUNICIPALITIES","Regional","–"))</f>
        <v/>
      </c>
      <c r="B82" s="2268" t="inlineStr">
        <is>
          <t>Commerce City</t>
        </is>
      </c>
      <c r="C82" s="2268" t="inlineStr">
        <is>
          <t>Economic Development</t>
        </is>
      </c>
      <c r="D82" s="2268" t="inlineStr">
        <is>
          <t>Economic Development Department</t>
        </is>
      </c>
      <c r="E82" s="2269" t="inlineStr">
        <is>
          <t>https://www.c3gov.com/Government/Departments-Divisions/Economic-Development</t>
        </is>
      </c>
      <c r="F82" s="2270" t="inlineStr">
        <is>
          <t>City economic development office</t>
        </is>
      </c>
    </row>
    <row r="83" ht="14" customHeight="1" s="1439">
      <c r="A83" s="2271">
        <f>IF(OR(ISNUMBER(SEARCH(LEFT('Property Info'!$B$17,MAX(1,FIND(",",'Property Info'!$B$17&amp;",")-1)),B83)),ISNUMBER(SEARCH('Property Info'!$B$18,B83))),"★ Active",IF(B83="REGIONAL / ALL MUNICIPALITIES","Regional","–"))</f>
        <v/>
      </c>
      <c r="B83" s="2271" t="inlineStr">
        <is>
          <t>Commerce City</t>
        </is>
      </c>
      <c r="C83" s="2271" t="inlineStr">
        <is>
          <t>Crime / Safety</t>
        </is>
      </c>
      <c r="D83" s="2271" t="inlineStr">
        <is>
          <t>Records and Crime Statistics</t>
        </is>
      </c>
      <c r="E83" s="2269" t="inlineStr">
        <is>
          <t>https://www.c3gov.com/Public-Safety/Police-Department/Records-and-Crime-Statistics</t>
        </is>
      </c>
      <c r="F83" s="2272" t="inlineStr">
        <is>
          <t>Crime reports and statistics</t>
        </is>
      </c>
    </row>
    <row r="84" ht="14" customHeight="1" s="1439">
      <c r="A84" s="2268">
        <f>IF(OR(ISNUMBER(SEARCH(LEFT('Property Info'!$B$17,MAX(1,FIND(",",'Property Info'!$B$17&amp;",")-1)),B84)),ISNUMBER(SEARCH('Property Info'!$B$18,B84))),"★ Active",IF(B84="REGIONAL / ALL MUNICIPALITIES","Regional","–"))</f>
        <v/>
      </c>
      <c r="B84" s="2268" t="inlineStr">
        <is>
          <t>Commerce City</t>
        </is>
      </c>
      <c r="C84" s="2268" t="inlineStr">
        <is>
          <t>School Districts</t>
        </is>
      </c>
      <c r="D84" s="2268" t="inlineStr">
        <is>
          <t>Adams 12 Five Star Schools</t>
        </is>
      </c>
      <c r="E84" s="2269" t="inlineStr">
        <is>
          <t>https://www.adams12.org/</t>
        </is>
      </c>
      <c r="F84" s="2270" t="inlineStr">
        <is>
          <t>Primary district for Commerce City</t>
        </is>
      </c>
    </row>
    <row r="85" ht="14" customHeight="1" s="1439">
      <c r="A85" s="2271">
        <f>IF(OR(ISNUMBER(SEARCH(LEFT('Property Info'!$B$17,MAX(1,FIND(",",'Property Info'!$B$17&amp;",")-1)),B85)),ISNUMBER(SEARCH('Property Info'!$B$18,B85))),"★ Active",IF(B85="REGIONAL / ALL MUNICIPALITIES","Regional","–"))</f>
        <v/>
      </c>
      <c r="B85" s="2271" t="inlineStr">
        <is>
          <t>Commerce City</t>
        </is>
      </c>
      <c r="C85" s="2271" t="inlineStr">
        <is>
          <t>School Districts</t>
        </is>
      </c>
      <c r="D85" s="2271" t="inlineStr">
        <is>
          <t>School District 27J</t>
        </is>
      </c>
      <c r="E85" s="2269" t="inlineStr">
        <is>
          <t>https://www.sd27j.org/</t>
        </is>
      </c>
      <c r="F85" s="2272" t="inlineStr">
        <is>
          <t>Serves northern portions of Commerce City</t>
        </is>
      </c>
    </row>
    <row r="86" ht="14" customHeight="1" s="1439">
      <c r="A86" s="2268">
        <f>IF(OR(ISNUMBER(SEARCH(LEFT('Property Info'!$B$17,MAX(1,FIND(",",'Property Info'!$B$17&amp;",")-1)),B86)),ISNUMBER(SEARCH('Property Info'!$B$18,B86))),"★ Active",IF(B86="REGIONAL / ALL MUNICIPALITIES","Regional","–"))</f>
        <v/>
      </c>
      <c r="B86" s="2268" t="inlineStr">
        <is>
          <t>Commerce City</t>
        </is>
      </c>
      <c r="C86" s="2268" t="inlineStr">
        <is>
          <t>School Districts</t>
        </is>
      </c>
      <c r="D86" s="2268" t="inlineStr">
        <is>
          <t>Mapleton School District 1</t>
        </is>
      </c>
      <c r="E86" s="2269" t="inlineStr">
        <is>
          <t>https://www.mapleton.us/</t>
        </is>
      </c>
      <c r="F86" s="2270" t="inlineStr">
        <is>
          <t>Serves portions of Commerce City</t>
        </is>
      </c>
    </row>
    <row r="87" ht="14" customHeight="1" s="1439">
      <c r="A87" s="2271">
        <f>IF(OR(ISNUMBER(SEARCH(LEFT('Property Info'!$B$17,MAX(1,FIND(",",'Property Info'!$B$17&amp;",")-1)),B87)),ISNUMBER(SEARCH('Property Info'!$B$18,B87))),"★ Active",IF(B87="REGIONAL / ALL MUNICIPALITIES","Regional","–"))</f>
        <v/>
      </c>
      <c r="B87" s="2271" t="inlineStr">
        <is>
          <t>Federal Heights</t>
        </is>
      </c>
      <c r="C87" s="2271" t="inlineStr">
        <is>
          <t>Property Assessment</t>
        </is>
      </c>
      <c r="D87" s="2271" t="inlineStr">
        <is>
          <t>Adams County Assessor (Property Lookup)</t>
        </is>
      </c>
      <c r="E87" s="2269" t="inlineStr">
        <is>
          <t>https://adcogov.org/property-look</t>
        </is>
      </c>
      <c r="F87" s="2272" t="inlineStr">
        <is>
          <t>Federal Heights is fully within Adams County</t>
        </is>
      </c>
    </row>
    <row r="88" ht="14" customHeight="1" s="1439">
      <c r="A88" s="2268">
        <f>IF(OR(ISNUMBER(SEARCH(LEFT('Property Info'!$B$17,MAX(1,FIND(",",'Property Info'!$B$17&amp;",")-1)),B88)),ISNUMBER(SEARCH('Property Info'!$B$18,B88))),"★ Active",IF(B88="REGIONAL / ALL MUNICIPALITIES","Regional","–"))</f>
        <v/>
      </c>
      <c r="B88" s="2268" t="inlineStr">
        <is>
          <t>Federal Heights</t>
        </is>
      </c>
      <c r="C88" s="2268" t="inlineStr">
        <is>
          <t>Property Tax / Treasurer</t>
        </is>
      </c>
      <c r="D88" s="2268" t="inlineStr">
        <is>
          <t>Online Tax Payment</t>
        </is>
      </c>
      <c r="E88" s="2269" t="inlineStr">
        <is>
          <t>https://adcotax.com/treasurer/web/login.jsp</t>
        </is>
      </c>
      <c r="F88" s="2270" t="inlineStr">
        <is>
          <t>Adams County tax payment portal</t>
        </is>
      </c>
    </row>
    <row r="89" ht="14" customHeight="1" s="1439">
      <c r="A89" s="2271">
        <f>IF(OR(ISNUMBER(SEARCH(LEFT('Property Info'!$B$17,MAX(1,FIND(",",'Property Info'!$B$17&amp;",")-1)),B89)),ISNUMBER(SEARCH('Property Info'!$B$18,B89))),"★ Active",IF(B89="REGIONAL / ALL MUNICIPALITIES","Regional","–"))</f>
        <v/>
      </c>
      <c r="B89" s="2271" t="inlineStr">
        <is>
          <t>Federal Heights</t>
        </is>
      </c>
      <c r="C89" s="2271" t="inlineStr">
        <is>
          <t>Property Tax / Treasurer</t>
        </is>
      </c>
      <c r="D89" s="2271" t="inlineStr">
        <is>
          <t>Property Tax Inquiry</t>
        </is>
      </c>
      <c r="E89" s="2269" t="inlineStr">
        <is>
          <t>https://adamsil.devnetwedge.com/</t>
        </is>
      </c>
      <c r="F89" s="2272" t="inlineStr">
        <is>
          <t>Tax balance and history lookup</t>
        </is>
      </c>
    </row>
    <row r="90" ht="14" customHeight="1" s="1439">
      <c r="A90" s="2268">
        <f>IF(OR(ISNUMBER(SEARCH(LEFT('Property Info'!$B$17,MAX(1,FIND(",",'Property Info'!$B$17&amp;",")-1)),B90)),ISNUMBER(SEARCH('Property Info'!$B$18,B90))),"★ Active",IF(B90="REGIONAL / ALL MUNICIPALITIES","Regional","–"))</f>
        <v/>
      </c>
      <c r="B90" s="2268" t="inlineStr">
        <is>
          <t>Federal Heights</t>
        </is>
      </c>
      <c r="C90" s="2268" t="inlineStr">
        <is>
          <t>Deed / Title Records</t>
        </is>
      </c>
      <c r="D90" s="2268" t="inlineStr">
        <is>
          <t>Landmark Web Document Search</t>
        </is>
      </c>
      <c r="E90" s="2269" t="inlineStr">
        <is>
          <t>https://recording.adcogov.org/landmarkweb</t>
        </is>
      </c>
      <c r="F90" s="2270" t="inlineStr">
        <is>
          <t>Adams County deed/title records</t>
        </is>
      </c>
    </row>
    <row r="91" ht="14" customHeight="1" s="1439">
      <c r="A91" s="2271">
        <f>IF(OR(ISNUMBER(SEARCH(LEFT('Property Info'!$B$17,MAX(1,FIND(",",'Property Info'!$B$17&amp;",")-1)),B91)),ISNUMBER(SEARCH('Property Info'!$B$18,B91))),"★ Active",IF(B91="REGIONAL / ALL MUNICIPALITIES","Regional","–"))</f>
        <v/>
      </c>
      <c r="B91" s="2271" t="inlineStr">
        <is>
          <t>Federal Heights</t>
        </is>
      </c>
      <c r="C91" s="2271" t="inlineStr">
        <is>
          <t>GIS / Mapping</t>
        </is>
      </c>
      <c r="D91" s="2271" t="inlineStr">
        <is>
          <t>City Maps</t>
        </is>
      </c>
      <c r="E91" s="2269" t="inlineStr">
        <is>
          <t>https://www.fedheights.org/?SEC=D1A883BE-0C29-4602-8CC9-5D6A08DA5503</t>
        </is>
      </c>
      <c r="F91" s="2272" t="inlineStr">
        <is>
          <t>City map resources</t>
        </is>
      </c>
    </row>
    <row r="92" ht="14" customHeight="1" s="1439">
      <c r="A92" s="2268">
        <f>IF(OR(ISNUMBER(SEARCH(LEFT('Property Info'!$B$17,MAX(1,FIND(",",'Property Info'!$B$17&amp;",")-1)),B92)),ISNUMBER(SEARCH('Property Info'!$B$18,B92))),"★ Active",IF(B92="REGIONAL / ALL MUNICIPALITIES","Regional","–"))</f>
        <v/>
      </c>
      <c r="B92" s="2268" t="inlineStr">
        <is>
          <t>Federal Heights</t>
        </is>
      </c>
      <c r="C92" s="2268" t="inlineStr">
        <is>
          <t>Permits</t>
        </is>
      </c>
      <c r="D92" s="2268" t="inlineStr">
        <is>
          <t>Building Department</t>
        </is>
      </c>
      <c r="E92" s="2269" t="inlineStr">
        <is>
          <t>https://www.fedheights.org/building</t>
        </is>
      </c>
      <c r="F92" s="2270" t="inlineStr">
        <is>
          <t>Building permits and inspections</t>
        </is>
      </c>
    </row>
    <row r="93" ht="14" customHeight="1" s="1439">
      <c r="A93" s="2271">
        <f>IF(OR(ISNUMBER(SEARCH(LEFT('Property Info'!$B$17,MAX(1,FIND(",",'Property Info'!$B$17&amp;",")-1)),B93)),ISNUMBER(SEARCH('Property Info'!$B$18,B93))),"★ Active",IF(B93="REGIONAL / ALL MUNICIPALITIES","Regional","–"))</f>
        <v/>
      </c>
      <c r="B93" s="2271" t="inlineStr">
        <is>
          <t>Federal Heights</t>
        </is>
      </c>
      <c r="C93" s="2271" t="inlineStr">
        <is>
          <t>Code Enforcement</t>
        </is>
      </c>
      <c r="D93" s="2271" t="inlineStr">
        <is>
          <t>Code Enforcement</t>
        </is>
      </c>
      <c r="E93" s="2269" t="inlineStr">
        <is>
          <t>https://www.fedheights.org/codeenforcement</t>
        </is>
      </c>
      <c r="F93" s="2272" t="inlineStr">
        <is>
          <t>Code enforcement department</t>
        </is>
      </c>
    </row>
    <row r="94" ht="14" customHeight="1" s="1439">
      <c r="A94" s="2268">
        <f>IF(OR(ISNUMBER(SEARCH(LEFT('Property Info'!$B$17,MAX(1,FIND(",",'Property Info'!$B$17&amp;",")-1)),B94)),ISNUMBER(SEARCH('Property Info'!$B$18,B94))),"★ Active",IF(B94="REGIONAL / ALL MUNICIPALITIES","Regional","–"))</f>
        <v/>
      </c>
      <c r="B94" s="2268" t="inlineStr">
        <is>
          <t>Federal Heights</t>
        </is>
      </c>
      <c r="C94" s="2268" t="inlineStr">
        <is>
          <t>Zoning / Planning</t>
        </is>
      </c>
      <c r="D94" s="2268" t="inlineStr">
        <is>
          <t>Planning Department</t>
        </is>
      </c>
      <c r="E94" s="2269" t="inlineStr">
        <is>
          <t>https://www.fedheights.org/planning</t>
        </is>
      </c>
      <c r="F94" s="2270" t="inlineStr">
        <is>
          <t>Planning and zoning info</t>
        </is>
      </c>
    </row>
    <row r="95" ht="14" customHeight="1" s="1439">
      <c r="A95" s="2271">
        <f>IF(OR(ISNUMBER(SEARCH(LEFT('Property Info'!$B$17,MAX(1,FIND(",",'Property Info'!$B$17&amp;",")-1)),B95)),ISNUMBER(SEARCH('Property Info'!$B$18,B95))),"★ Active",IF(B95="REGIONAL / ALL MUNICIPALITIES","Regional","–"))</f>
        <v/>
      </c>
      <c r="B95" s="2271" t="inlineStr">
        <is>
          <t>Federal Heights</t>
        </is>
      </c>
      <c r="C95" s="2271" t="inlineStr">
        <is>
          <t>Zoning / Planning</t>
        </is>
      </c>
      <c r="D95" s="2271" t="inlineStr">
        <is>
          <t>Zoning Information Page</t>
        </is>
      </c>
      <c r="E95" s="2269" t="inlineStr">
        <is>
          <t>https://www.fedheights.org/index.asp?SEC=D7AA9940-8607-468A-8215-7308DD3BF799&amp;Type=B_BASIC</t>
        </is>
      </c>
      <c r="F95" s="2272" t="inlineStr">
        <is>
          <t>Zoning district info and lookup</t>
        </is>
      </c>
    </row>
    <row r="96" ht="14" customHeight="1" s="1439">
      <c r="A96" s="2268">
        <f>IF(OR(ISNUMBER(SEARCH(LEFT('Property Info'!$B$17,MAX(1,FIND(",",'Property Info'!$B$17&amp;",")-1)),B96)),ISNUMBER(SEARCH('Property Info'!$B$18,B96))),"★ Active",IF(B96="REGIONAL / ALL MUNICIPALITIES","Regional","–"))</f>
        <v/>
      </c>
      <c r="B96" s="2268" t="inlineStr">
        <is>
          <t>Federal Heights</t>
        </is>
      </c>
      <c r="C96" s="2268" t="inlineStr">
        <is>
          <t>Zoning / Planning</t>
        </is>
      </c>
      <c r="D96" s="2268" t="inlineStr">
        <is>
          <t>Municipal Code (Municode)</t>
        </is>
      </c>
      <c r="E96" s="2269" t="inlineStr">
        <is>
          <t>https://library.municode.com/co/federal_heights</t>
        </is>
      </c>
      <c r="F96" s="2270" t="inlineStr">
        <is>
          <t>Full zoning and municipal code</t>
        </is>
      </c>
    </row>
    <row r="97" ht="14" customHeight="1" s="1439">
      <c r="A97" s="2271">
        <f>IF(OR(ISNUMBER(SEARCH(LEFT('Property Info'!$B$17,MAX(1,FIND(",",'Property Info'!$B$17&amp;",")-1)),B97)),ISNUMBER(SEARCH('Property Info'!$B$18,B97))),"★ Active",IF(B97="REGIONAL / ALL MUNICIPALITIES","Regional","–"))</f>
        <v/>
      </c>
      <c r="B97" s="2271" t="inlineStr">
        <is>
          <t>Federal Heights</t>
        </is>
      </c>
      <c r="C97" s="2271" t="inlineStr">
        <is>
          <t>Flood Zone</t>
        </is>
      </c>
      <c r="D97" s="2271" t="inlineStr">
        <is>
          <t>FEMA Map Service Center</t>
        </is>
      </c>
      <c r="E97" s="2269" t="inlineStr">
        <is>
          <t>https://msc.fema.gov/</t>
        </is>
      </c>
      <c r="F97" s="2272" t="inlineStr">
        <is>
          <t>Address-specific FEMA FIRM lookup</t>
        </is>
      </c>
    </row>
    <row r="98" ht="14" customHeight="1" s="1439">
      <c r="A98" s="2268">
        <f>IF(OR(ISNUMBER(SEARCH(LEFT('Property Info'!$B$17,MAX(1,FIND(",",'Property Info'!$B$17&amp;",")-1)),B98)),ISNUMBER(SEARCH('Property Info'!$B$18,B98))),"★ Active",IF(B98="REGIONAL / ALL MUNICIPALITIES","Regional","–"))</f>
        <v/>
      </c>
      <c r="B98" s="2268" t="inlineStr">
        <is>
          <t>Federal Heights</t>
        </is>
      </c>
      <c r="C98" s="2268" t="inlineStr">
        <is>
          <t>Economic Development</t>
        </is>
      </c>
      <c r="D98" s="2268" t="inlineStr">
        <is>
          <t>Economic Development / FHRA</t>
        </is>
      </c>
      <c r="E98" s="2269" t="inlineStr">
        <is>
          <t>https://www.fedheights.org/economicdevelopment</t>
        </is>
      </c>
      <c r="F98" s="2270" t="inlineStr">
        <is>
          <t>City economic development office</t>
        </is>
      </c>
    </row>
    <row r="99" ht="14" customHeight="1" s="1439">
      <c r="A99" s="2271">
        <f>IF(OR(ISNUMBER(SEARCH(LEFT('Property Info'!$B$17,MAX(1,FIND(",",'Property Info'!$B$17&amp;",")-1)),B99)),ISNUMBER(SEARCH('Property Info'!$B$18,B99))),"★ Active",IF(B99="REGIONAL / ALL MUNICIPALITIES","Regional","–"))</f>
        <v/>
      </c>
      <c r="B99" s="2271" t="inlineStr">
        <is>
          <t>Federal Heights</t>
        </is>
      </c>
      <c r="C99" s="2271" t="inlineStr">
        <is>
          <t>Utilities</t>
        </is>
      </c>
      <c r="D99" s="2271" t="inlineStr">
        <is>
          <t>Utilities Page</t>
        </is>
      </c>
      <c r="E99" s="2269" t="inlineStr">
        <is>
          <t>https://www.fedheights.org/utilities</t>
        </is>
      </c>
      <c r="F99" s="2272" t="inlineStr">
        <is>
          <t>Water/sewer utility info</t>
        </is>
      </c>
    </row>
    <row r="100" ht="14" customHeight="1" s="1439">
      <c r="A100" s="2268">
        <f>IF(OR(ISNUMBER(SEARCH(LEFT('Property Info'!$B$17,MAX(1,FIND(",",'Property Info'!$B$17&amp;",")-1)),B100)),ISNUMBER(SEARCH('Property Info'!$B$18,B100))),"★ Active",IF(B100="REGIONAL / ALL MUNICIPALITIES","Regional","–"))</f>
        <v/>
      </c>
      <c r="B100" s="2268" t="inlineStr">
        <is>
          <t>Federal Heights</t>
        </is>
      </c>
      <c r="C100" s="2268" t="inlineStr">
        <is>
          <t>Utilities</t>
        </is>
      </c>
      <c r="D100" s="2268" t="inlineStr">
        <is>
          <t>Public Works</t>
        </is>
      </c>
      <c r="E100" s="2269" t="inlineStr">
        <is>
          <t>https://www.fedheights.org/publicworks</t>
        </is>
      </c>
      <c r="F100" s="2270" t="inlineStr">
        <is>
          <t>Public works department</t>
        </is>
      </c>
    </row>
    <row r="101" ht="14" customHeight="1" s="1439">
      <c r="A101" s="2271">
        <f>IF(OR(ISNUMBER(SEARCH(LEFT('Property Info'!$B$17,MAX(1,FIND(",",'Property Info'!$B$17&amp;",")-1)),B101)),ISNUMBER(SEARCH('Property Info'!$B$18,B101))),"★ Active",IF(B101="REGIONAL / ALL MUNICIPALITIES","Regional","–"))</f>
        <v/>
      </c>
      <c r="B101" s="2271" t="inlineStr">
        <is>
          <t>Federal Heights</t>
        </is>
      </c>
      <c r="C101" s="2271" t="inlineStr">
        <is>
          <t>Utilities</t>
        </is>
      </c>
      <c r="D101" s="2271" t="inlineStr">
        <is>
          <t>Xcel Energy</t>
        </is>
      </c>
      <c r="E101" s="2269" t="inlineStr">
        <is>
          <t>https://www.xcelenergy.com/</t>
        </is>
      </c>
      <c r="F101" s="2272" t="inlineStr">
        <is>
          <t>Electric and gas provider for Federal Heights</t>
        </is>
      </c>
    </row>
    <row r="102" ht="14" customHeight="1" s="1439">
      <c r="A102" s="2268">
        <f>IF(OR(ISNUMBER(SEARCH(LEFT('Property Info'!$B$17,MAX(1,FIND(",",'Property Info'!$B$17&amp;",")-1)),B102)),ISNUMBER(SEARCH('Property Info'!$B$18,B102))),"★ Active",IF(B102="REGIONAL / ALL MUNICIPALITIES","Regional","–"))</f>
        <v/>
      </c>
      <c r="B102" s="2268" t="inlineStr">
        <is>
          <t>Federal Heights</t>
        </is>
      </c>
      <c r="C102" s="2268" t="inlineStr">
        <is>
          <t>School Districts</t>
        </is>
      </c>
      <c r="D102" s="2268" t="inlineStr">
        <is>
          <t>Adams 12 Five Star Schools</t>
        </is>
      </c>
      <c r="E102" s="2269" t="inlineStr">
        <is>
          <t>https://www.adams12.org/</t>
        </is>
      </c>
      <c r="F102" s="2270" t="inlineStr">
        <is>
          <t>Primary school district for Federal Heights</t>
        </is>
      </c>
    </row>
    <row r="103" ht="14" customHeight="1" s="1439">
      <c r="A103" s="2271">
        <f>IF(OR(ISNUMBER(SEARCH(LEFT('Property Info'!$B$17,MAX(1,FIND(",",'Property Info'!$B$17&amp;",")-1)),B103)),ISNUMBER(SEARCH('Property Info'!$B$18,B103))),"★ Active",IF(B103="REGIONAL / ALL MUNICIPALITIES","Regional","–"))</f>
        <v/>
      </c>
      <c r="B103" s="2271" t="inlineStr">
        <is>
          <t>Northglenn</t>
        </is>
      </c>
      <c r="C103" s="2271" t="inlineStr">
        <is>
          <t>Property Assessment</t>
        </is>
      </c>
      <c r="D103" s="2271" t="inlineStr">
        <is>
          <t>Adams County Assessor (Property Lookup)</t>
        </is>
      </c>
      <c r="E103" s="2269" t="inlineStr">
        <is>
          <t>https://adcogov.org/property-look</t>
        </is>
      </c>
      <c r="F103" s="2272" t="inlineStr">
        <is>
          <t>Northglenn is fully within Adams County</t>
        </is>
      </c>
    </row>
    <row r="104" ht="14" customHeight="1" s="1439">
      <c r="A104" s="2268">
        <f>IF(OR(ISNUMBER(SEARCH(LEFT('Property Info'!$B$17,MAX(1,FIND(",",'Property Info'!$B$17&amp;",")-1)),B104)),ISNUMBER(SEARCH('Property Info'!$B$18,B104))),"★ Active",IF(B104="REGIONAL / ALL MUNICIPALITIES","Regional","–"))</f>
        <v/>
      </c>
      <c r="B104" s="2268" t="inlineStr">
        <is>
          <t>Northglenn</t>
        </is>
      </c>
      <c r="C104" s="2268" t="inlineStr">
        <is>
          <t>Property Tax / Treasurer</t>
        </is>
      </c>
      <c r="D104" s="2268" t="inlineStr">
        <is>
          <t>Online Tax Payment</t>
        </is>
      </c>
      <c r="E104" s="2269" t="inlineStr">
        <is>
          <t>https://adcotax.com/treasurer/web/login.jsp</t>
        </is>
      </c>
      <c r="F104" s="2270" t="inlineStr">
        <is>
          <t>Adams County tax payment portal</t>
        </is>
      </c>
    </row>
    <row r="105" ht="14" customHeight="1" s="1439">
      <c r="A105" s="2271">
        <f>IF(OR(ISNUMBER(SEARCH(LEFT('Property Info'!$B$17,MAX(1,FIND(",",'Property Info'!$B$17&amp;",")-1)),B105)),ISNUMBER(SEARCH('Property Info'!$B$18,B105))),"★ Active",IF(B105="REGIONAL / ALL MUNICIPALITIES","Regional","–"))</f>
        <v/>
      </c>
      <c r="B105" s="2271" t="inlineStr">
        <is>
          <t>Northglenn</t>
        </is>
      </c>
      <c r="C105" s="2271" t="inlineStr">
        <is>
          <t>Property Tax / Treasurer</t>
        </is>
      </c>
      <c r="D105" s="2271" t="inlineStr">
        <is>
          <t>Property Tax Inquiry</t>
        </is>
      </c>
      <c r="E105" s="2269" t="inlineStr">
        <is>
          <t>https://adamsil.devnetwedge.com/</t>
        </is>
      </c>
      <c r="F105" s="2272" t="inlineStr">
        <is>
          <t>Tax balance and history lookup</t>
        </is>
      </c>
    </row>
    <row r="106" ht="14" customHeight="1" s="1439">
      <c r="A106" s="2268">
        <f>IF(OR(ISNUMBER(SEARCH(LEFT('Property Info'!$B$17,MAX(1,FIND(",",'Property Info'!$B$17&amp;",")-1)),B106)),ISNUMBER(SEARCH('Property Info'!$B$18,B106))),"★ Active",IF(B106="REGIONAL / ALL MUNICIPALITIES","Regional","–"))</f>
        <v/>
      </c>
      <c r="B106" s="2268" t="inlineStr">
        <is>
          <t>Northglenn</t>
        </is>
      </c>
      <c r="C106" s="2268" t="inlineStr">
        <is>
          <t>Deed / Title Records</t>
        </is>
      </c>
      <c r="D106" s="2268" t="inlineStr">
        <is>
          <t>Landmark Web Document Search</t>
        </is>
      </c>
      <c r="E106" s="2269" t="inlineStr">
        <is>
          <t>https://recording.adcogov.org/landmarkweb</t>
        </is>
      </c>
      <c r="F106" s="2270" t="inlineStr">
        <is>
          <t>Adams County deed/title records</t>
        </is>
      </c>
    </row>
    <row r="107" ht="14" customHeight="1" s="1439">
      <c r="A107" s="2271">
        <f>IF(OR(ISNUMBER(SEARCH(LEFT('Property Info'!$B$17,MAX(1,FIND(",",'Property Info'!$B$17&amp;",")-1)),B107)),ISNUMBER(SEARCH('Property Info'!$B$18,B107))),"★ Active",IF(B107="REGIONAL / ALL MUNICIPALITIES","Regional","–"))</f>
        <v/>
      </c>
      <c r="B107" s="2271" t="inlineStr">
        <is>
          <t>Northglenn</t>
        </is>
      </c>
      <c r="C107" s="2271" t="inlineStr">
        <is>
          <t>GIS / Mapping</t>
        </is>
      </c>
      <c r="D107" s="2271" t="inlineStr">
        <is>
          <t>Maps Page</t>
        </is>
      </c>
      <c r="E107" s="2269" t="inlineStr">
        <is>
          <t>https://www.northglenn.org/residents/about_northglenn/maps.php</t>
        </is>
      </c>
      <c r="F107" s="2272" t="inlineStr">
        <is>
          <t>City maps</t>
        </is>
      </c>
    </row>
    <row r="108" ht="14" customHeight="1" s="1439">
      <c r="A108" s="2268">
        <f>IF(OR(ISNUMBER(SEARCH(LEFT('Property Info'!$B$17,MAX(1,FIND(",",'Property Info'!$B$17&amp;",")-1)),B108)),ISNUMBER(SEARCH('Property Info'!$B$18,B108))),"★ Active",IF(B108="REGIONAL / ALL MUNICIPALITIES","Regional","–"))</f>
        <v/>
      </c>
      <c r="B108" s="2268" t="inlineStr">
        <is>
          <t>Northglenn</t>
        </is>
      </c>
      <c r="C108" s="2268" t="inlineStr">
        <is>
          <t>GIS / Mapping</t>
        </is>
      </c>
      <c r="D108" s="2268" t="inlineStr">
        <is>
          <t>Interactive Zoning Map (ArcGIS)</t>
        </is>
      </c>
      <c r="E108" s="2269" t="inlineStr">
        <is>
          <t>https://www.arcgis.com/home/webmap/viewer.html?webmap=39b7188473574a07bcc84ca0ec3807fc</t>
        </is>
      </c>
      <c r="F108" s="2270" t="inlineStr">
        <is>
          <t>Citywide zoning map viewer</t>
        </is>
      </c>
    </row>
    <row r="109" ht="14" customHeight="1" s="1439">
      <c r="A109" s="2271">
        <f>IF(OR(ISNUMBER(SEARCH(LEFT('Property Info'!$B$17,MAX(1,FIND(",",'Property Info'!$B$17&amp;",")-1)),B109)),ISNUMBER(SEARCH('Property Info'!$B$18,B109))),"★ Active",IF(B109="REGIONAL / ALL MUNICIPALITIES","Regional","–"))</f>
        <v/>
      </c>
      <c r="B109" s="2271" t="inlineStr">
        <is>
          <t>Northglenn</t>
        </is>
      </c>
      <c r="C109" s="2271" t="inlineStr">
        <is>
          <t>Permits</t>
        </is>
      </c>
      <c r="D109" s="2271" t="inlineStr">
        <is>
          <t>Building Department</t>
        </is>
      </c>
      <c r="E109" s="2269" t="inlineStr">
        <is>
          <t>https://www.northglenn.org/government/departments/building/</t>
        </is>
      </c>
      <c r="F109" s="2272" t="inlineStr">
        <is>
          <t>Building dept (contracted to SAFEbuilt)</t>
        </is>
      </c>
    </row>
    <row r="110" ht="14" customHeight="1" s="1439">
      <c r="A110" s="2268">
        <f>IF(OR(ISNUMBER(SEARCH(LEFT('Property Info'!$B$17,MAX(1,FIND(",",'Property Info'!$B$17&amp;",")-1)),B110)),ISNUMBER(SEARCH('Property Info'!$B$18,B110))),"★ Active",IF(B110="REGIONAL / ALL MUNICIPALITIES","Regional","–"))</f>
        <v/>
      </c>
      <c r="B110" s="2268" t="inlineStr">
        <is>
          <t>Northglenn</t>
        </is>
      </c>
      <c r="C110" s="2268" t="inlineStr">
        <is>
          <t>Permits</t>
        </is>
      </c>
      <c r="D110" s="2268" t="inlineStr">
        <is>
          <t>Permits Page</t>
        </is>
      </c>
      <c r="E110" s="2269" t="inlineStr">
        <is>
          <t>https://www.northglenn.org/government/departments/building/permits.php</t>
        </is>
      </c>
      <c r="F110" s="2270" t="inlineStr">
        <is>
          <t>Permit types and applications</t>
        </is>
      </c>
    </row>
    <row r="111" ht="14" customHeight="1" s="1439">
      <c r="A111" s="2271">
        <f>IF(OR(ISNUMBER(SEARCH(LEFT('Property Info'!$B$17,MAX(1,FIND(",",'Property Info'!$B$17&amp;",")-1)),B111)),ISNUMBER(SEARCH('Property Info'!$B$18,B111))),"★ Active",IF(B111="REGIONAL / ALL MUNICIPALITIES","Regional","–"))</f>
        <v/>
      </c>
      <c r="B111" s="2271" t="inlineStr">
        <is>
          <t>Northglenn</t>
        </is>
      </c>
      <c r="C111" s="2271" t="inlineStr">
        <is>
          <t>Permits</t>
        </is>
      </c>
      <c r="D111" s="2271" t="inlineStr">
        <is>
          <t>Building Permit Info</t>
        </is>
      </c>
      <c r="E111" s="2269" t="inlineStr">
        <is>
          <t>https://www.northglenn.org/government/licenses_and_permits/building_permit.php</t>
        </is>
      </c>
      <c r="F111" s="2272" t="inlineStr">
        <is>
          <t>How to apply for a building permit</t>
        </is>
      </c>
    </row>
    <row r="112" ht="14" customHeight="1" s="1439">
      <c r="A112" s="2268">
        <f>IF(OR(ISNUMBER(SEARCH(LEFT('Property Info'!$B$17,MAX(1,FIND(",",'Property Info'!$B$17&amp;",")-1)),B112)),ISNUMBER(SEARCH('Property Info'!$B$18,B112))),"★ Active",IF(B112="REGIONAL / ALL MUNICIPALITIES","Regional","–"))</f>
        <v/>
      </c>
      <c r="B112" s="2268" t="inlineStr">
        <is>
          <t>Northglenn</t>
        </is>
      </c>
      <c r="C112" s="2268" t="inlineStr">
        <is>
          <t>Zoning / Planning</t>
        </is>
      </c>
      <c r="D112" s="2268" t="inlineStr">
        <is>
          <t>QuickZone (Address Zoning Lookup)</t>
        </is>
      </c>
      <c r="E112" s="2269" t="inlineStr">
        <is>
          <t>https://secure.northglenn.org/quickzone</t>
        </is>
      </c>
      <c r="F112" s="2270" t="inlineStr">
        <is>
          <t>Instant zoning lookup by address — most user-friendly in county</t>
        </is>
      </c>
    </row>
    <row r="113" ht="14" customHeight="1" s="1439">
      <c r="A113" s="2271">
        <f>IF(OR(ISNUMBER(SEARCH(LEFT('Property Info'!$B$17,MAX(1,FIND(",",'Property Info'!$B$17&amp;",")-1)),B113)),ISNUMBER(SEARCH('Property Info'!$B$18,B113))),"★ Active",IF(B113="REGIONAL / ALL MUNICIPALITIES","Regional","–"))</f>
        <v/>
      </c>
      <c r="B113" s="2271" t="inlineStr">
        <is>
          <t>Northglenn</t>
        </is>
      </c>
      <c r="C113" s="2271" t="inlineStr">
        <is>
          <t>Zoning / Planning</t>
        </is>
      </c>
      <c r="D113" s="2271" t="inlineStr">
        <is>
          <t>Land Use and Zoning Main Page</t>
        </is>
      </c>
      <c r="E113" s="2269" t="inlineStr">
        <is>
          <t>https://www.northglenn.org/government/land_use_and_zoning/</t>
        </is>
      </c>
      <c r="F113" s="2272" t="inlineStr">
        <is>
          <t>Zoning department</t>
        </is>
      </c>
    </row>
    <row r="114" ht="14" customHeight="1" s="1439">
      <c r="A114" s="2268">
        <f>IF(OR(ISNUMBER(SEARCH(LEFT('Property Info'!$B$17,MAX(1,FIND(",",'Property Info'!$B$17&amp;",")-1)),B114)),ISNUMBER(SEARCH('Property Info'!$B$18,B114))),"★ Active",IF(B114="REGIONAL / ALL MUNICIPALITIES","Regional","–"))</f>
        <v/>
      </c>
      <c r="B114" s="2268" t="inlineStr">
        <is>
          <t>Northglenn</t>
        </is>
      </c>
      <c r="C114" s="2268" t="inlineStr">
        <is>
          <t>Zoning / Planning</t>
        </is>
      </c>
      <c r="D114" s="2268" t="inlineStr">
        <is>
          <t>Zoning Map</t>
        </is>
      </c>
      <c r="E114" s="2269" t="inlineStr">
        <is>
          <t>https://www.northglenn.org/government/land_use_and_zoning/zoning_map.php</t>
        </is>
      </c>
      <c r="F114" s="2270" t="inlineStr">
        <is>
          <t>Official citywide zoning map</t>
        </is>
      </c>
    </row>
    <row r="115" ht="14" customHeight="1" s="1439">
      <c r="A115" s="2271">
        <f>IF(OR(ISNUMBER(SEARCH(LEFT('Property Info'!$B$17,MAX(1,FIND(",",'Property Info'!$B$17&amp;",")-1)),B115)),ISNUMBER(SEARCH('Property Info'!$B$18,B115))),"★ Active",IF(B115="REGIONAL / ALL MUNICIPALITIES","Regional","–"))</f>
        <v/>
      </c>
      <c r="B115" s="2271" t="inlineStr">
        <is>
          <t>Northglenn</t>
        </is>
      </c>
      <c r="C115" s="2271" t="inlineStr">
        <is>
          <t>Zoning / Planning</t>
        </is>
      </c>
      <c r="D115" s="2271" t="inlineStr">
        <is>
          <t>Comprehensive Plan</t>
        </is>
      </c>
      <c r="E115" s="2269" t="inlineStr">
        <is>
          <t>https://www.northglenn.org/government/land_use_and_zoning/comprehensive_plan.php</t>
        </is>
      </c>
      <c r="F115" s="2272" t="inlineStr">
        <is>
          <t>City comprehensive plan</t>
        </is>
      </c>
    </row>
    <row r="116" ht="14" customHeight="1" s="1439">
      <c r="A116" s="2268">
        <f>IF(OR(ISNUMBER(SEARCH(LEFT('Property Info'!$B$17,MAX(1,FIND(",",'Property Info'!$B$17&amp;",")-1)),B116)),ISNUMBER(SEARCH('Property Info'!$B$18,B116))),"★ Active",IF(B116="REGIONAL / ALL MUNICIPALITIES","Regional","–"))</f>
        <v/>
      </c>
      <c r="B116" s="2268" t="inlineStr">
        <is>
          <t>Northglenn</t>
        </is>
      </c>
      <c r="C116" s="2268" t="inlineStr">
        <is>
          <t>Zoning / Planning</t>
        </is>
      </c>
      <c r="D116" s="2268" t="inlineStr">
        <is>
          <t>Planning and Development Department</t>
        </is>
      </c>
      <c r="E116" s="2269" t="inlineStr">
        <is>
          <t>https://www.northglenn.org/government/departments/planning_department/index.php</t>
        </is>
      </c>
      <c r="F116" s="2270" t="inlineStr">
        <is>
          <t>Planning department</t>
        </is>
      </c>
    </row>
    <row r="117" ht="14" customHeight="1" s="1439">
      <c r="A117" s="2271">
        <f>IF(OR(ISNUMBER(SEARCH(LEFT('Property Info'!$B$17,MAX(1,FIND(",",'Property Info'!$B$17&amp;",")-1)),B117)),ISNUMBER(SEARCH('Property Info'!$B$18,B117))),"★ Active",IF(B117="REGIONAL / ALL MUNICIPALITIES","Regional","–"))</f>
        <v/>
      </c>
      <c r="B117" s="2271" t="inlineStr">
        <is>
          <t>Northglenn</t>
        </is>
      </c>
      <c r="C117" s="2271" t="inlineStr">
        <is>
          <t>Flood Zone</t>
        </is>
      </c>
      <c r="D117" s="2271" t="inlineStr">
        <is>
          <t>FEMA Map Service Center</t>
        </is>
      </c>
      <c r="E117" s="2269" t="inlineStr">
        <is>
          <t>https://msc.fema.gov/</t>
        </is>
      </c>
      <c r="F117" s="2272" t="inlineStr">
        <is>
          <t>Address-specific FEMA FIRM lookup</t>
        </is>
      </c>
    </row>
    <row r="118" ht="14" customHeight="1" s="1439">
      <c r="A118" s="2268">
        <f>IF(OR(ISNUMBER(SEARCH(LEFT('Property Info'!$B$17,MAX(1,FIND(",",'Property Info'!$B$17&amp;",")-1)),B118)),ISNUMBER(SEARCH('Property Info'!$B$18,B118))),"★ Active",IF(B118="REGIONAL / ALL MUNICIPALITIES","Regional","–"))</f>
        <v/>
      </c>
      <c r="B118" s="2268" t="inlineStr">
        <is>
          <t>Northglenn</t>
        </is>
      </c>
      <c r="C118" s="2268" t="inlineStr">
        <is>
          <t>Flood Zone</t>
        </is>
      </c>
      <c r="D118" s="2268" t="inlineStr">
        <is>
          <t>Adams County Floodplain Management</t>
        </is>
      </c>
      <c r="E118" s="2269" t="inlineStr">
        <is>
          <t>https://adamscountyco.gov/our-county/community-economic-development/floodplain-management/</t>
        </is>
      </c>
      <c r="F118" s="2270" t="inlineStr">
        <is>
          <t>County floodplain resources</t>
        </is>
      </c>
    </row>
    <row r="119" ht="14" customHeight="1" s="1439">
      <c r="A119" s="2271">
        <f>IF(OR(ISNUMBER(SEARCH(LEFT('Property Info'!$B$17,MAX(1,FIND(",",'Property Info'!$B$17&amp;",")-1)),B119)),ISNUMBER(SEARCH('Property Info'!$B$18,B119))),"★ Active",IF(B119="REGIONAL / ALL MUNICIPALITIES","Regional","–"))</f>
        <v/>
      </c>
      <c r="B119" s="2271" t="inlineStr">
        <is>
          <t>Northglenn</t>
        </is>
      </c>
      <c r="C119" s="2271" t="inlineStr">
        <is>
          <t>Economic Development</t>
        </is>
      </c>
      <c r="D119" s="2271" t="inlineStr">
        <is>
          <t>Business Help / Economic Development</t>
        </is>
      </c>
      <c r="E119" s="2269" t="inlineStr">
        <is>
          <t>https://www.northglenn.org/biz/</t>
        </is>
      </c>
      <c r="F119" s="2272" t="inlineStr">
        <is>
          <t>City business resources</t>
        </is>
      </c>
    </row>
    <row r="120" ht="14" customHeight="1" s="1439">
      <c r="A120" s="2268">
        <f>IF(OR(ISNUMBER(SEARCH(LEFT('Property Info'!$B$17,MAX(1,FIND(",",'Property Info'!$B$17&amp;",")-1)),B120)),ISNUMBER(SEARCH('Property Info'!$B$18,B120))),"★ Active",IF(B120="REGIONAL / ALL MUNICIPALITIES","Regional","–"))</f>
        <v/>
      </c>
      <c r="B120" s="2268" t="inlineStr">
        <is>
          <t>Northglenn</t>
        </is>
      </c>
      <c r="C120" s="2268" t="inlineStr">
        <is>
          <t>Business License</t>
        </is>
      </c>
      <c r="D120" s="2268" t="inlineStr">
        <is>
          <t>Business License</t>
        </is>
      </c>
      <c r="E120" s="2269" t="inlineStr">
        <is>
          <t>https://www.northglenn.org/government/licenses_and_permits/business_license.php</t>
        </is>
      </c>
      <c r="F120" s="2270" t="inlineStr">
        <is>
          <t>Business license portal</t>
        </is>
      </c>
    </row>
    <row r="121" ht="14" customHeight="1" s="1439">
      <c r="A121" s="2271">
        <f>IF(OR(ISNUMBER(SEARCH(LEFT('Property Info'!$B$17,MAX(1,FIND(",",'Property Info'!$B$17&amp;",")-1)),B121)),ISNUMBER(SEARCH('Property Info'!$B$18,B121))),"★ Active",IF(B121="REGIONAL / ALL MUNICIPALITIES","Regional","–"))</f>
        <v/>
      </c>
      <c r="B121" s="2271" t="inlineStr">
        <is>
          <t>Northglenn</t>
        </is>
      </c>
      <c r="C121" s="2271" t="inlineStr">
        <is>
          <t>Short-Term Rental</t>
        </is>
      </c>
      <c r="D121" s="2271" t="inlineStr">
        <is>
          <t>Short-Term Rental License</t>
        </is>
      </c>
      <c r="E121" s="2269" t="inlineStr">
        <is>
          <t>https://www.northglenn.org/government/licenses_and_permits/short_term_rental_license.php</t>
        </is>
      </c>
      <c r="F121" s="2272" t="inlineStr">
        <is>
          <t>STR license requirements</t>
        </is>
      </c>
    </row>
    <row r="122" ht="14" customHeight="1" s="1439">
      <c r="A122" s="2268">
        <f>IF(OR(ISNUMBER(SEARCH(LEFT('Property Info'!$B$17,MAX(1,FIND(",",'Property Info'!$B$17&amp;",")-1)),B122)),ISNUMBER(SEARCH('Property Info'!$B$18,B122))),"★ Active",IF(B122="REGIONAL / ALL MUNICIPALITIES","Regional","–"))</f>
        <v/>
      </c>
      <c r="B122" s="2268" t="inlineStr">
        <is>
          <t>Northglenn</t>
        </is>
      </c>
      <c r="C122" s="2268" t="inlineStr">
        <is>
          <t>Crime / Safety</t>
        </is>
      </c>
      <c r="D122" s="2268" t="inlineStr">
        <is>
          <t>Crime Maps</t>
        </is>
      </c>
      <c r="E122" s="2269" t="inlineStr">
        <is>
          <t>https://secure.northglenn.org/maps/crime</t>
        </is>
      </c>
      <c r="F122" s="2270" t="inlineStr">
        <is>
          <t>Interactive crime map</t>
        </is>
      </c>
    </row>
    <row r="123" ht="14" customHeight="1" s="1439">
      <c r="A123" s="2271">
        <f>IF(OR(ISNUMBER(SEARCH(LEFT('Property Info'!$B$17,MAX(1,FIND(",",'Property Info'!$B$17&amp;",")-1)),B123)),ISNUMBER(SEARCH('Property Info'!$B$18,B123))),"★ Active",IF(B123="REGIONAL / ALL MUNICIPALITIES","Regional","–"))</f>
        <v/>
      </c>
      <c r="B123" s="2271" t="inlineStr">
        <is>
          <t>Northglenn</t>
        </is>
      </c>
      <c r="C123" s="2271" t="inlineStr">
        <is>
          <t>Crime / Safety</t>
        </is>
      </c>
      <c r="D123" s="2271" t="inlineStr">
        <is>
          <t>Crime Stats</t>
        </is>
      </c>
      <c r="E123" s="2269" t="inlineStr">
        <is>
          <t>https://www.northglenn.org/public_safety/police/crime_stats.php</t>
        </is>
      </c>
      <c r="F123" s="2272" t="inlineStr">
        <is>
          <t>Crime statistics</t>
        </is>
      </c>
    </row>
    <row r="124" ht="14" customHeight="1" s="1439">
      <c r="A124" s="2268">
        <f>IF(OR(ISNUMBER(SEARCH(LEFT('Property Info'!$B$17,MAX(1,FIND(",",'Property Info'!$B$17&amp;",")-1)),B124)),ISNUMBER(SEARCH('Property Info'!$B$18,B124))),"★ Active",IF(B124="REGIONAL / ALL MUNICIPALITIES","Regional","–"))</f>
        <v/>
      </c>
      <c r="B124" s="2268" t="inlineStr">
        <is>
          <t>Northglenn</t>
        </is>
      </c>
      <c r="C124" s="2268" t="inlineStr">
        <is>
          <t>Utilities</t>
        </is>
      </c>
      <c r="D124" s="2268" t="inlineStr">
        <is>
          <t>Water</t>
        </is>
      </c>
      <c r="E124" s="2269" t="inlineStr">
        <is>
          <t>https://www.northglenn.org/residents/water/</t>
        </is>
      </c>
      <c r="F124" s="2270" t="inlineStr">
        <is>
          <t>City water utility</t>
        </is>
      </c>
    </row>
    <row r="125" ht="14" customHeight="1" s="1439">
      <c r="A125" s="2271">
        <f>IF(OR(ISNUMBER(SEARCH(LEFT('Property Info'!$B$17,MAX(1,FIND(",",'Property Info'!$B$17&amp;",")-1)),B125)),ISNUMBER(SEARCH('Property Info'!$B$18,B125))),"★ Active",IF(B125="REGIONAL / ALL MUNICIPALITIES","Regional","–"))</f>
        <v/>
      </c>
      <c r="B125" s="2271" t="inlineStr">
        <is>
          <t>Northglenn</t>
        </is>
      </c>
      <c r="C125" s="2271" t="inlineStr">
        <is>
          <t>School Districts</t>
        </is>
      </c>
      <c r="D125" s="2271" t="inlineStr">
        <is>
          <t>Adams 12 Five Star Schools</t>
        </is>
      </c>
      <c r="E125" s="2269" t="inlineStr">
        <is>
          <t>https://www.adams12.org/</t>
        </is>
      </c>
      <c r="F125" s="2272" t="inlineStr">
        <is>
          <t>Primary school district for Northglenn</t>
        </is>
      </c>
    </row>
    <row r="126" ht="14" customHeight="1" s="1439">
      <c r="A126" s="2268">
        <f>IF(OR(ISNUMBER(SEARCH(LEFT('Property Info'!$B$17,MAX(1,FIND(",",'Property Info'!$B$17&amp;",")-1)),B126)),ISNUMBER(SEARCH('Property Info'!$B$18,B126))),"★ Active",IF(B126="REGIONAL / ALL MUNICIPALITIES","Regional","–"))</f>
        <v/>
      </c>
      <c r="B126" s="2268" t="inlineStr">
        <is>
          <t>Northglenn</t>
        </is>
      </c>
      <c r="C126" s="2268" t="inlineStr">
        <is>
          <t>School Districts</t>
        </is>
      </c>
      <c r="D126" s="2268" t="inlineStr">
        <is>
          <t>Schools Listing</t>
        </is>
      </c>
      <c r="E126" s="2269" t="inlineStr">
        <is>
          <t>https://www.northglenn.org/residents/schools.php</t>
        </is>
      </c>
      <c r="F126" s="2270" t="inlineStr">
        <is>
          <t>Northglenn school directory</t>
        </is>
      </c>
    </row>
    <row r="127" ht="14" customHeight="1" s="1439">
      <c r="A127" s="2271">
        <f>IF(OR(ISNUMBER(SEARCH(LEFT('Property Info'!$B$17,MAX(1,FIND(",",'Property Info'!$B$17&amp;",")-1)),B127)),ISNUMBER(SEARCH('Property Info'!$B$18,B127))),"★ Active",IF(B127="REGIONAL / ALL MUNICIPALITIES","Regional","–"))</f>
        <v/>
      </c>
      <c r="B127" s="2271" t="inlineStr">
        <is>
          <t>Thornton</t>
        </is>
      </c>
      <c r="C127" s="2271" t="inlineStr">
        <is>
          <t>Property Assessment</t>
        </is>
      </c>
      <c r="D127" s="2271" t="inlineStr">
        <is>
          <t>Thornton CityView Property Locator</t>
        </is>
      </c>
      <c r="E127" s="2269" t="inlineStr">
        <is>
          <t>https://cityviewportal.thorntonco.gov/Property</t>
        </is>
      </c>
      <c r="F127" s="2272" t="inlineStr">
        <is>
          <t>City-run parcel info portal with permit history</t>
        </is>
      </c>
    </row>
    <row r="128" ht="14" customHeight="1" s="1439">
      <c r="A128" s="2268">
        <f>IF(OR(ISNUMBER(SEARCH(LEFT('Property Info'!$B$17,MAX(1,FIND(",",'Property Info'!$B$17&amp;",")-1)),B128)),ISNUMBER(SEARCH('Property Info'!$B$18,B128))),"★ Active",IF(B128="REGIONAL / ALL MUNICIPALITIES","Regional","–"))</f>
        <v/>
      </c>
      <c r="B128" s="2268" t="inlineStr">
        <is>
          <t>Thornton</t>
        </is>
      </c>
      <c r="C128" s="2268" t="inlineStr">
        <is>
          <t>Property Assessment</t>
        </is>
      </c>
      <c r="D128" s="2268" t="inlineStr">
        <is>
          <t>Adams County Assessor (Property Lookup)</t>
        </is>
      </c>
      <c r="E128" s="2269" t="inlineStr">
        <is>
          <t>https://adcogov.org/property-look</t>
        </is>
      </c>
      <c r="F128" s="2270" t="inlineStr">
        <is>
          <t>County assessment data</t>
        </is>
      </c>
    </row>
    <row r="129" ht="14" customHeight="1" s="1439">
      <c r="A129" s="2271">
        <f>IF(OR(ISNUMBER(SEARCH(LEFT('Property Info'!$B$17,MAX(1,FIND(",",'Property Info'!$B$17&amp;",")-1)),B129)),ISNUMBER(SEARCH('Property Info'!$B$18,B129))),"★ Active",IF(B129="REGIONAL / ALL MUNICIPALITIES","Regional","–"))</f>
        <v/>
      </c>
      <c r="B129" s="2271" t="inlineStr">
        <is>
          <t>Thornton</t>
        </is>
      </c>
      <c r="C129" s="2271" t="inlineStr">
        <is>
          <t>Property Tax / Treasurer</t>
        </is>
      </c>
      <c r="D129" s="2271" t="inlineStr">
        <is>
          <t>Online Tax Payment</t>
        </is>
      </c>
      <c r="E129" s="2269" t="inlineStr">
        <is>
          <t>https://adcotax.com/treasurer/web/login.jsp</t>
        </is>
      </c>
      <c r="F129" s="2272" t="inlineStr">
        <is>
          <t>Adams County tax payment portal</t>
        </is>
      </c>
    </row>
    <row r="130" ht="14" customHeight="1" s="1439">
      <c r="A130" s="2268">
        <f>IF(OR(ISNUMBER(SEARCH(LEFT('Property Info'!$B$17,MAX(1,FIND(",",'Property Info'!$B$17&amp;",")-1)),B130)),ISNUMBER(SEARCH('Property Info'!$B$18,B130))),"★ Active",IF(B130="REGIONAL / ALL MUNICIPALITIES","Regional","–"))</f>
        <v/>
      </c>
      <c r="B130" s="2268" t="inlineStr">
        <is>
          <t>Thornton</t>
        </is>
      </c>
      <c r="C130" s="2268" t="inlineStr">
        <is>
          <t>Property Tax / Treasurer</t>
        </is>
      </c>
      <c r="D130" s="2268" t="inlineStr">
        <is>
          <t>Property Tax Inquiry</t>
        </is>
      </c>
      <c r="E130" s="2269" t="inlineStr">
        <is>
          <t>https://adamsil.devnetwedge.com/</t>
        </is>
      </c>
      <c r="F130" s="2270" t="inlineStr">
        <is>
          <t>Tax balance and history lookup</t>
        </is>
      </c>
    </row>
    <row r="131" ht="14" customHeight="1" s="1439">
      <c r="A131" s="2271">
        <f>IF(OR(ISNUMBER(SEARCH(LEFT('Property Info'!$B$17,MAX(1,FIND(",",'Property Info'!$B$17&amp;",")-1)),B131)),ISNUMBER(SEARCH('Property Info'!$B$18,B131))),"★ Active",IF(B131="REGIONAL / ALL MUNICIPALITIES","Regional","–"))</f>
        <v/>
      </c>
      <c r="B131" s="2271" t="inlineStr">
        <is>
          <t>Thornton</t>
        </is>
      </c>
      <c r="C131" s="2271" t="inlineStr">
        <is>
          <t>Deed / Title Records</t>
        </is>
      </c>
      <c r="D131" s="2271" t="inlineStr">
        <is>
          <t>Landmark Web Document Search</t>
        </is>
      </c>
      <c r="E131" s="2269" t="inlineStr">
        <is>
          <t>https://recording.adcogov.org/landmarkweb</t>
        </is>
      </c>
      <c r="F131" s="2272" t="inlineStr">
        <is>
          <t>Adams County deed/title records</t>
        </is>
      </c>
    </row>
    <row r="132" ht="14" customHeight="1" s="1439">
      <c r="A132" s="2268">
        <f>IF(OR(ISNUMBER(SEARCH(LEFT('Property Info'!$B$17,MAX(1,FIND(",",'Property Info'!$B$17&amp;",")-1)),B132)),ISNUMBER(SEARCH('Property Info'!$B$18,B132))),"★ Active",IF(B132="REGIONAL / ALL MUNICIPALITIES","Regional","–"))</f>
        <v/>
      </c>
      <c r="B132" s="2268" t="inlineStr">
        <is>
          <t>Thornton</t>
        </is>
      </c>
      <c r="C132" s="2268" t="inlineStr">
        <is>
          <t>GIS / Mapping</t>
        </is>
      </c>
      <c r="D132" s="2268" t="inlineStr">
        <is>
          <t>Open Data Site (ArcGIS)</t>
        </is>
      </c>
      <c r="E132" s="2269" t="inlineStr">
        <is>
          <t>https://data-cityofthornton.opendata.arcgis.com/</t>
        </is>
      </c>
      <c r="F132" s="2270" t="inlineStr">
        <is>
          <t>Downloadable GIS datasets including zoning</t>
        </is>
      </c>
    </row>
    <row r="133" ht="14" customHeight="1" s="1439">
      <c r="A133" s="2271">
        <f>IF(OR(ISNUMBER(SEARCH(LEFT('Property Info'!$B$17,MAX(1,FIND(",",'Property Info'!$B$17&amp;",")-1)),B133)),ISNUMBER(SEARCH('Property Info'!$B$18,B133))),"★ Active",IF(B133="REGIONAL / ALL MUNICIPALITIES","Regional","–"))</f>
        <v/>
      </c>
      <c r="B133" s="2271" t="inlineStr">
        <is>
          <t>Thornton</t>
        </is>
      </c>
      <c r="C133" s="2271" t="inlineStr">
        <is>
          <t>GIS / Mapping</t>
        </is>
      </c>
      <c r="D133" s="2271" t="inlineStr">
        <is>
          <t>Interactive GIS Map Viewer</t>
        </is>
      </c>
      <c r="E133" s="2269" t="inlineStr">
        <is>
          <t>https://maps.thorntonco.gov/portal/apps/webappviewer/index.html?id=3ca678047c5b48568a9322c364808f7e</t>
        </is>
      </c>
      <c r="F133" s="2272" t="inlineStr">
        <is>
          <t>Full interactive city GIS map</t>
        </is>
      </c>
    </row>
    <row r="134" ht="14" customHeight="1" s="1439">
      <c r="A134" s="2268">
        <f>IF(OR(ISNUMBER(SEARCH(LEFT('Property Info'!$B$17,MAX(1,FIND(",",'Property Info'!$B$17&amp;",")-1)),B134)),ISNUMBER(SEARCH('Property Info'!$B$18,B134))),"★ Active",IF(B134="REGIONAL / ALL MUNICIPALITIES","Regional","–"))</f>
        <v/>
      </c>
      <c r="B134" s="2268" t="inlineStr">
        <is>
          <t>Thornton</t>
        </is>
      </c>
      <c r="C134" s="2268" t="inlineStr">
        <is>
          <t>GIS / Mapping</t>
        </is>
      </c>
      <c r="D134" s="2268" t="inlineStr">
        <is>
          <t>Development Code Hub (ArcGIS)</t>
        </is>
      </c>
      <c r="E134" s="2269" t="inlineStr">
        <is>
          <t>https://city-of-thornton-development-code-cityofthornton.hub.arcgis.com/</t>
        </is>
      </c>
      <c r="F134" s="2270" t="inlineStr">
        <is>
          <t>Zoning and development code in map format</t>
        </is>
      </c>
    </row>
    <row r="135" ht="14" customHeight="1" s="1439">
      <c r="A135" s="2271">
        <f>IF(OR(ISNUMBER(SEARCH(LEFT('Property Info'!$B$17,MAX(1,FIND(",",'Property Info'!$B$17&amp;",")-1)),B135)),ISNUMBER(SEARCH('Property Info'!$B$18,B135))),"★ Active",IF(B135="REGIONAL / ALL MUNICIPALITIES","Regional","–"))</f>
        <v/>
      </c>
      <c r="B135" s="2271" t="inlineStr">
        <is>
          <t>Thornton</t>
        </is>
      </c>
      <c r="C135" s="2271" t="inlineStr">
        <is>
          <t>Permits</t>
        </is>
      </c>
      <c r="D135" s="2271" t="inlineStr">
        <is>
          <t>CityView Portal</t>
        </is>
      </c>
      <c r="E135" s="2269" t="inlineStr">
        <is>
          <t>https://cityviewportal.thorntonco.gov/</t>
        </is>
      </c>
      <c r="F135" s="2272" t="inlineStr">
        <is>
          <t>Permits search and property info</t>
        </is>
      </c>
    </row>
    <row r="136" ht="14" customHeight="1" s="1439">
      <c r="A136" s="2268">
        <f>IF(OR(ISNUMBER(SEARCH(LEFT('Property Info'!$B$17,MAX(1,FIND(",",'Property Info'!$B$17&amp;",")-1)),B136)),ISNUMBER(SEARCH('Property Info'!$B$18,B136))),"★ Active",IF(B136="REGIONAL / ALL MUNICIPALITIES","Regional","–"))</f>
        <v/>
      </c>
      <c r="B136" s="2268" t="inlineStr">
        <is>
          <t>Thornton</t>
        </is>
      </c>
      <c r="C136" s="2268" t="inlineStr">
        <is>
          <t>Permits</t>
        </is>
      </c>
      <c r="D136" s="2268" t="inlineStr">
        <is>
          <t>Permits &amp; Inspections Portal</t>
        </is>
      </c>
      <c r="E136" s="2269" t="inlineStr">
        <is>
          <t>https://permits.thorntonco.gov/</t>
        </is>
      </c>
      <c r="F136" s="2270" t="inlineStr">
        <is>
          <t>Online permit applications and tracking</t>
        </is>
      </c>
    </row>
    <row r="137" ht="14" customHeight="1" s="1439">
      <c r="A137" s="2271">
        <f>IF(OR(ISNUMBER(SEARCH(LEFT('Property Info'!$B$17,MAX(1,FIND(",",'Property Info'!$B$17&amp;",")-1)),B137)),ISNUMBER(SEARCH('Property Info'!$B$18,B137))),"★ Active",IF(B137="REGIONAL / ALL MUNICIPALITIES","Regional","–"))</f>
        <v/>
      </c>
      <c r="B137" s="2271" t="inlineStr">
        <is>
          <t>Thornton</t>
        </is>
      </c>
      <c r="C137" s="2271" t="inlineStr">
        <is>
          <t>Code Enforcement</t>
        </is>
      </c>
      <c r="D137" s="2271" t="inlineStr">
        <is>
          <t>Code Compliance</t>
        </is>
      </c>
      <c r="E137" s="2269" t="inlineStr">
        <is>
          <t>https://www.thorntonco.gov/city-services/code-compliance</t>
        </is>
      </c>
      <c r="F137" s="2272" t="inlineStr">
        <is>
          <t>Code compliance department</t>
        </is>
      </c>
    </row>
    <row r="138" ht="14" customHeight="1" s="1439">
      <c r="A138" s="2268">
        <f>IF(OR(ISNUMBER(SEARCH(LEFT('Property Info'!$B$17,MAX(1,FIND(",",'Property Info'!$B$17&amp;",")-1)),B138)),ISNUMBER(SEARCH('Property Info'!$B$18,B138))),"★ Active",IF(B138="REGIONAL / ALL MUNICIPALITIES","Regional","–"))</f>
        <v/>
      </c>
      <c r="B138" s="2268" t="inlineStr">
        <is>
          <t>Thornton</t>
        </is>
      </c>
      <c r="C138" s="2268" t="inlineStr">
        <is>
          <t>Zoning / Planning</t>
        </is>
      </c>
      <c r="D138" s="2268" t="inlineStr">
        <is>
          <t>Current Planning &amp; Zoning</t>
        </is>
      </c>
      <c r="E138" s="2269" t="inlineStr">
        <is>
          <t>https://www.thorntonco.gov/business-development/city-development/current-planning-zoning</t>
        </is>
      </c>
      <c r="F138" s="2270" t="inlineStr">
        <is>
          <t>Zoning department main page</t>
        </is>
      </c>
    </row>
    <row r="139" ht="14" customHeight="1" s="1439">
      <c r="A139" s="2271">
        <f>IF(OR(ISNUMBER(SEARCH(LEFT('Property Info'!$B$17,MAX(1,FIND(",",'Property Info'!$B$17&amp;",")-1)),B139)),ISNUMBER(SEARCH('Property Info'!$B$18,B139))),"★ Active",IF(B139="REGIONAL / ALL MUNICIPALITIES","Regional","–"))</f>
        <v/>
      </c>
      <c r="B139" s="2271" t="inlineStr">
        <is>
          <t>Thornton</t>
        </is>
      </c>
      <c r="C139" s="2271" t="inlineStr">
        <is>
          <t>Zoning / Planning</t>
        </is>
      </c>
      <c r="D139" s="2271" t="inlineStr">
        <is>
          <t>Zoning Districts Uses and Regulations</t>
        </is>
      </c>
      <c r="E139" s="2269" t="inlineStr">
        <is>
          <t>https://www.thorntonco.gov/business-development/city-development/current-planning-zoning/zoning-districts-uses-and-regulations</t>
        </is>
      </c>
      <c r="F139" s="2272" t="inlineStr">
        <is>
          <t>Detailed zoning district regulations</t>
        </is>
      </c>
    </row>
    <row r="140" ht="14" customHeight="1" s="1439">
      <c r="A140" s="2268">
        <f>IF(OR(ISNUMBER(SEARCH(LEFT('Property Info'!$B$17,MAX(1,FIND(",",'Property Info'!$B$17&amp;",")-1)),B140)),ISNUMBER(SEARCH('Property Info'!$B$18,B140))),"★ Active",IF(B140="REGIONAL / ALL MUNICIPALITIES","Regional","–"))</f>
        <v/>
      </c>
      <c r="B140" s="2268" t="inlineStr">
        <is>
          <t>Thornton</t>
        </is>
      </c>
      <c r="C140" s="2268" t="inlineStr">
        <is>
          <t>Zoning / Planning</t>
        </is>
      </c>
      <c r="D140" s="2268" t="inlineStr">
        <is>
          <t>Active Development</t>
        </is>
      </c>
      <c r="E140" s="2269" t="inlineStr">
        <is>
          <t>https://www.thorntonco.gov/business-development/active-development</t>
        </is>
      </c>
      <c r="F140" s="2270" t="inlineStr">
        <is>
          <t>Active and pending development projects</t>
        </is>
      </c>
    </row>
    <row r="141" ht="14" customHeight="1" s="1439">
      <c r="A141" s="2271">
        <f>IF(OR(ISNUMBER(SEARCH(LEFT('Property Info'!$B$17,MAX(1,FIND(",",'Property Info'!$B$17&amp;",")-1)),B141)),ISNUMBER(SEARCH('Property Info'!$B$18,B141))),"★ Active",IF(B141="REGIONAL / ALL MUNICIPALITIES","Regional","–"))</f>
        <v/>
      </c>
      <c r="B141" s="2271" t="inlineStr">
        <is>
          <t>Thornton</t>
        </is>
      </c>
      <c r="C141" s="2271" t="inlineStr">
        <is>
          <t>Zoning / Planning</t>
        </is>
      </c>
      <c r="D141" s="2271" t="inlineStr">
        <is>
          <t>Long Range Planning</t>
        </is>
      </c>
      <c r="E141" s="2269" t="inlineStr">
        <is>
          <t>https://www.thorntonco.gov/business-development/city-development/long-range-planning</t>
        </is>
      </c>
      <c r="F141" s="2272" t="inlineStr">
        <is>
          <t>Long range planning division</t>
        </is>
      </c>
    </row>
    <row r="142" ht="14" customHeight="1" s="1439">
      <c r="A142" s="2268">
        <f>IF(OR(ISNUMBER(SEARCH(LEFT('Property Info'!$B$17,MAX(1,FIND(",",'Property Info'!$B$17&amp;",")-1)),B142)),ISNUMBER(SEARCH('Property Info'!$B$18,B142))),"★ Active",IF(B142="REGIONAL / ALL MUNICIPALITIES","Regional","–"))</f>
        <v/>
      </c>
      <c r="B142" s="2268" t="inlineStr">
        <is>
          <t>Thornton</t>
        </is>
      </c>
      <c r="C142" s="2268" t="inlineStr">
        <is>
          <t>Zoning / Planning</t>
        </is>
      </c>
      <c r="D142" s="2268" t="inlineStr">
        <is>
          <t>Comprehensive Plan</t>
        </is>
      </c>
      <c r="E142" s="2269" t="inlineStr">
        <is>
          <t>https://www.thorntonco.gov/business-development/city-development/long-range-planning/plans/thornton-comprehensive-plan</t>
        </is>
      </c>
      <c r="F142" s="2270" t="inlineStr">
        <is>
          <t>City comprehensive plan</t>
        </is>
      </c>
    </row>
    <row r="143" ht="14" customHeight="1" s="1439">
      <c r="A143" s="2271">
        <f>IF(OR(ISNUMBER(SEARCH(LEFT('Property Info'!$B$17,MAX(1,FIND(",",'Property Info'!$B$17&amp;",")-1)),B143)),ISNUMBER(SEARCH('Property Info'!$B$18,B143))),"★ Active",IF(B143="REGIONAL / ALL MUNICIPALITIES","Regional","–"))</f>
        <v/>
      </c>
      <c r="B143" s="2271" t="inlineStr">
        <is>
          <t>Thornton</t>
        </is>
      </c>
      <c r="C143" s="2271" t="inlineStr">
        <is>
          <t>Zoning / Planning</t>
        </is>
      </c>
      <c r="D143" s="2271" t="inlineStr">
        <is>
          <t>Functional Strategic &amp; Master Plans</t>
        </is>
      </c>
      <c r="E143" s="2269" t="inlineStr">
        <is>
          <t>https://www.thorntonco.gov/business-development/city-development/long-range-planning/plans/functional-strategic-master-plans</t>
        </is>
      </c>
      <c r="F143" s="2272" t="inlineStr">
        <is>
          <t>All city master plans</t>
        </is>
      </c>
    </row>
    <row r="144" ht="14" customHeight="1" s="1439">
      <c r="A144" s="2268">
        <f>IF(OR(ISNUMBER(SEARCH(LEFT('Property Info'!$B$17,MAX(1,FIND(",",'Property Info'!$B$17&amp;",")-1)),B144)),ISNUMBER(SEARCH('Property Info'!$B$18,B144))),"★ Active",IF(B144="REGIONAL / ALL MUNICIPALITIES","Regional","–"))</f>
        <v/>
      </c>
      <c r="B144" s="2268" t="inlineStr">
        <is>
          <t>Thornton</t>
        </is>
      </c>
      <c r="C144" s="2268" t="inlineStr">
        <is>
          <t>Flood Zone</t>
        </is>
      </c>
      <c r="D144" s="2268" t="inlineStr">
        <is>
          <t>FEMA Map Service Center</t>
        </is>
      </c>
      <c r="E144" s="2269" t="inlineStr">
        <is>
          <t>https://msc.fema.gov/</t>
        </is>
      </c>
      <c r="F144" s="2270" t="inlineStr">
        <is>
          <t>Address-specific FEMA FIRM lookup</t>
        </is>
      </c>
    </row>
    <row r="145" ht="14" customHeight="1" s="1439">
      <c r="A145" s="2271">
        <f>IF(OR(ISNUMBER(SEARCH(LEFT('Property Info'!$B$17,MAX(1,FIND(",",'Property Info'!$B$17&amp;",")-1)),B145)),ISNUMBER(SEARCH('Property Info'!$B$18,B145))),"★ Active",IF(B145="REGIONAL / ALL MUNICIPALITIES","Regional","–"))</f>
        <v/>
      </c>
      <c r="B145" s="2271" t="inlineStr">
        <is>
          <t>Thornton</t>
        </is>
      </c>
      <c r="C145" s="2271" t="inlineStr">
        <is>
          <t>Flood Zone</t>
        </is>
      </c>
      <c r="D145" s="2271" t="inlineStr">
        <is>
          <t>Adams County Floodplain Management</t>
        </is>
      </c>
      <c r="E145" s="2269" t="inlineStr">
        <is>
          <t>https://adamscountyco.gov/our-county/community-economic-development/floodplain-management/</t>
        </is>
      </c>
      <c r="F145" s="2272" t="inlineStr">
        <is>
          <t>County floodplain resources</t>
        </is>
      </c>
    </row>
    <row r="146" ht="14" customHeight="1" s="1439">
      <c r="A146" s="2268">
        <f>IF(OR(ISNUMBER(SEARCH(LEFT('Property Info'!$B$17,MAX(1,FIND(",",'Property Info'!$B$17&amp;",")-1)),B146)),ISNUMBER(SEARCH('Property Info'!$B$18,B146))),"★ Active",IF(B146="REGIONAL / ALL MUNICIPALITIES","Regional","–"))</f>
        <v/>
      </c>
      <c r="B146" s="2268" t="inlineStr">
        <is>
          <t>Thornton</t>
        </is>
      </c>
      <c r="C146" s="2268" t="inlineStr">
        <is>
          <t>Economic Development</t>
        </is>
      </c>
      <c r="D146" s="2268" t="inlineStr">
        <is>
          <t>City Development</t>
        </is>
      </c>
      <c r="E146" s="2269" t="inlineStr">
        <is>
          <t>https://www.thorntonco.gov/business-development/city-development</t>
        </is>
      </c>
      <c r="F146" s="2270" t="inlineStr">
        <is>
          <t>Business and development services</t>
        </is>
      </c>
    </row>
    <row r="147" ht="14" customHeight="1" s="1439">
      <c r="A147" s="2271">
        <f>IF(OR(ISNUMBER(SEARCH(LEFT('Property Info'!$B$17,MAX(1,FIND(",",'Property Info'!$B$17&amp;",")-1)),B147)),ISNUMBER(SEARCH('Property Info'!$B$18,B147))),"★ Active",IF(B147="REGIONAL / ALL MUNICIPALITIES","Regional","–"))</f>
        <v/>
      </c>
      <c r="B147" s="2271" t="inlineStr">
        <is>
          <t>Thornton</t>
        </is>
      </c>
      <c r="C147" s="2271" t="inlineStr">
        <is>
          <t>Business License</t>
        </is>
      </c>
      <c r="D147" s="2271" t="inlineStr">
        <is>
          <t>Business Licenses</t>
        </is>
      </c>
      <c r="E147" s="2269" t="inlineStr">
        <is>
          <t>https://www.thorntonco.gov/business-development/business-licenses</t>
        </is>
      </c>
      <c r="F147" s="2272" t="inlineStr">
        <is>
          <t>Business license portal</t>
        </is>
      </c>
    </row>
    <row r="148" ht="14" customHeight="1" s="1439">
      <c r="A148" s="2268">
        <f>IF(OR(ISNUMBER(SEARCH(LEFT('Property Info'!$B$17,MAX(1,FIND(",",'Property Info'!$B$17&amp;",")-1)),B148)),ISNUMBER(SEARCH('Property Info'!$B$18,B148))),"★ Active",IF(B148="REGIONAL / ALL MUNICIPALITIES","Regional","–"))</f>
        <v/>
      </c>
      <c r="B148" s="2268" t="inlineStr">
        <is>
          <t>Thornton</t>
        </is>
      </c>
      <c r="C148" s="2268" t="inlineStr">
        <is>
          <t>Short-Term Rental</t>
        </is>
      </c>
      <c r="D148" s="2268" t="inlineStr">
        <is>
          <t>STR Ordinance</t>
        </is>
      </c>
      <c r="E148" s="2269" t="inlineStr">
        <is>
          <t>https://www.thorntonco.gov/media/file/short-term-rental-ordinance</t>
        </is>
      </c>
      <c r="F148" s="2270" t="inlineStr">
        <is>
          <t>$180 annual fee; primary residence only</t>
        </is>
      </c>
    </row>
    <row r="149" ht="14" customHeight="1" s="1439">
      <c r="A149" s="2271">
        <f>IF(OR(ISNUMBER(SEARCH(LEFT('Property Info'!$B$17,MAX(1,FIND(",",'Property Info'!$B$17&amp;",")-1)),B149)),ISNUMBER(SEARCH('Property Info'!$B$18,B149))),"★ Active",IF(B149="REGIONAL / ALL MUNICIPALITIES","Regional","–"))</f>
        <v/>
      </c>
      <c r="B149" s="2271" t="inlineStr">
        <is>
          <t>Thornton</t>
        </is>
      </c>
      <c r="C149" s="2271" t="inlineStr">
        <is>
          <t>Crime / Safety</t>
        </is>
      </c>
      <c r="D149" s="2271" t="inlineStr">
        <is>
          <t>Thornton PD Crime Info</t>
        </is>
      </c>
      <c r="E149" s="2269" t="inlineStr">
        <is>
          <t>https://www.thorntonpd.org/crime-info</t>
        </is>
      </c>
      <c r="F149" s="2272" t="inlineStr">
        <is>
          <t>Crime statistics and reports</t>
        </is>
      </c>
    </row>
    <row r="150" ht="14" customHeight="1" s="1439">
      <c r="A150" s="2268">
        <f>IF(OR(ISNUMBER(SEARCH(LEFT('Property Info'!$B$17,MAX(1,FIND(",",'Property Info'!$B$17&amp;",")-1)),B150)),ISNUMBER(SEARCH('Property Info'!$B$18,B150))),"★ Active",IF(B150="REGIONAL / ALL MUNICIPALITIES","Regional","–"))</f>
        <v/>
      </c>
      <c r="B150" s="2268" t="inlineStr">
        <is>
          <t>Thornton</t>
        </is>
      </c>
      <c r="C150" s="2268" t="inlineStr">
        <is>
          <t>Utilities</t>
        </is>
      </c>
      <c r="D150" s="2268" t="inlineStr">
        <is>
          <t>Water</t>
        </is>
      </c>
      <c r="E150" s="2269" t="inlineStr">
        <is>
          <t>https://www.thorntonco.gov/city-services/water</t>
        </is>
      </c>
      <c r="F150" s="2270" t="inlineStr">
        <is>
          <t>City water services</t>
        </is>
      </c>
    </row>
    <row r="151" ht="14" customHeight="1" s="1439">
      <c r="A151" s="2271">
        <f>IF(OR(ISNUMBER(SEARCH(LEFT('Property Info'!$B$17,MAX(1,FIND(",",'Property Info'!$B$17&amp;",")-1)),B151)),ISNUMBER(SEARCH('Property Info'!$B$18,B151))),"★ Active",IF(B151="REGIONAL / ALL MUNICIPALITIES","Regional","–"))</f>
        <v/>
      </c>
      <c r="B151" s="2271" t="inlineStr">
        <is>
          <t>Thornton</t>
        </is>
      </c>
      <c r="C151" s="2271" t="inlineStr">
        <is>
          <t>Utilities</t>
        </is>
      </c>
      <c r="D151" s="2271" t="inlineStr">
        <is>
          <t>Thornton Water Authority</t>
        </is>
      </c>
      <c r="E151" s="2269" t="inlineStr">
        <is>
          <t>https://www.thorntonwater.com/</t>
        </is>
      </c>
      <c r="F151" s="2272" t="inlineStr">
        <is>
          <t>Thornton water authority</t>
        </is>
      </c>
    </row>
    <row r="152" ht="14" customHeight="1" s="1439">
      <c r="A152" s="2268">
        <f>IF(OR(ISNUMBER(SEARCH(LEFT('Property Info'!$B$17,MAX(1,FIND(",",'Property Info'!$B$17&amp;",")-1)),B152)),ISNUMBER(SEARCH('Property Info'!$B$18,B152))),"★ Active",IF(B152="REGIONAL / ALL MUNICIPALITIES","Regional","–"))</f>
        <v/>
      </c>
      <c r="B152" s="2268" t="inlineStr">
        <is>
          <t>Thornton</t>
        </is>
      </c>
      <c r="C152" s="2268" t="inlineStr">
        <is>
          <t>Utilities</t>
        </is>
      </c>
      <c r="D152" s="2268" t="inlineStr">
        <is>
          <t>Utility Billing</t>
        </is>
      </c>
      <c r="E152" s="2269" t="inlineStr">
        <is>
          <t>https://www.thorntonco.gov/city-services/utility-billing</t>
        </is>
      </c>
      <c r="F152" s="2270" t="inlineStr">
        <is>
          <t>Utility billing portal</t>
        </is>
      </c>
    </row>
    <row r="153" ht="14" customHeight="1" s="1439">
      <c r="A153" s="2271">
        <f>IF(OR(ISNUMBER(SEARCH(LEFT('Property Info'!$B$17,MAX(1,FIND(",",'Property Info'!$B$17&amp;",")-1)),B153)),ISNUMBER(SEARCH('Property Info'!$B$18,B153))),"★ Active",IF(B153="REGIONAL / ALL MUNICIPALITIES","Regional","–"))</f>
        <v/>
      </c>
      <c r="B153" s="2271" t="inlineStr">
        <is>
          <t>Thornton</t>
        </is>
      </c>
      <c r="C153" s="2271" t="inlineStr">
        <is>
          <t>Utilities</t>
        </is>
      </c>
      <c r="D153" s="2271" t="inlineStr">
        <is>
          <t>Electric &amp; Gas Utility Services</t>
        </is>
      </c>
      <c r="E153" s="2269" t="inlineStr">
        <is>
          <t>https://www.thorntonco.gov/electric-gas-utility-services</t>
        </is>
      </c>
      <c r="F153" s="2272" t="inlineStr">
        <is>
          <t>Xcel Energy or United Power depending on location</t>
        </is>
      </c>
    </row>
    <row r="154" ht="14" customHeight="1" s="1439">
      <c r="A154" s="2268">
        <f>IF(OR(ISNUMBER(SEARCH(LEFT('Property Info'!$B$17,MAX(1,FIND(",",'Property Info'!$B$17&amp;",")-1)),B154)),ISNUMBER(SEARCH('Property Info'!$B$18,B154))),"★ Active",IF(B154="REGIONAL / ALL MUNICIPALITIES","Regional","–"))</f>
        <v/>
      </c>
      <c r="B154" s="2268" t="inlineStr">
        <is>
          <t>Thornton</t>
        </is>
      </c>
      <c r="C154" s="2268" t="inlineStr">
        <is>
          <t>Utilities</t>
        </is>
      </c>
      <c r="D154" s="2268" t="inlineStr">
        <is>
          <t>United Power</t>
        </is>
      </c>
      <c r="E154" s="2269" t="inlineStr">
        <is>
          <t>https://www.unitedpower.com/</t>
        </is>
      </c>
      <c r="F154" s="2270" t="inlineStr">
        <is>
          <t>Electric co-op serving parts of Thornton</t>
        </is>
      </c>
    </row>
    <row r="155" ht="14" customHeight="1" s="1439">
      <c r="A155" s="2271">
        <f>IF(OR(ISNUMBER(SEARCH(LEFT('Property Info'!$B$17,MAX(1,FIND(",",'Property Info'!$B$17&amp;",")-1)),B155)),ISNUMBER(SEARCH('Property Info'!$B$18,B155))),"★ Active",IF(B155="REGIONAL / ALL MUNICIPALITIES","Regional","–"))</f>
        <v/>
      </c>
      <c r="B155" s="2271" t="inlineStr">
        <is>
          <t>Thornton</t>
        </is>
      </c>
      <c r="C155" s="2271" t="inlineStr">
        <is>
          <t>Utilities</t>
        </is>
      </c>
      <c r="D155" s="2271" t="inlineStr">
        <is>
          <t>Xcel Energy</t>
        </is>
      </c>
      <c r="E155" s="2269" t="inlineStr">
        <is>
          <t>https://www.xcelenergy.com/</t>
        </is>
      </c>
      <c r="F155" s="2272" t="inlineStr">
        <is>
          <t>Electric/gas provider for parts of Thornton</t>
        </is>
      </c>
    </row>
    <row r="156" ht="14" customHeight="1" s="1439">
      <c r="A156" s="2268">
        <f>IF(OR(ISNUMBER(SEARCH(LEFT('Property Info'!$B$17,MAX(1,FIND(",",'Property Info'!$B$17&amp;",")-1)),B156)),ISNUMBER(SEARCH('Property Info'!$B$18,B156))),"★ Active",IF(B156="REGIONAL / ALL MUNICIPALITIES","Regional","–"))</f>
        <v/>
      </c>
      <c r="B156" s="2268" t="inlineStr">
        <is>
          <t>Thornton</t>
        </is>
      </c>
      <c r="C156" s="2268" t="inlineStr">
        <is>
          <t>School Districts</t>
        </is>
      </c>
      <c r="D156" s="2268" t="inlineStr">
        <is>
          <t>Adams 12 Five Star Schools</t>
        </is>
      </c>
      <c r="E156" s="2269" t="inlineStr">
        <is>
          <t>https://www.adams12.org/</t>
        </is>
      </c>
      <c r="F156" s="2270" t="inlineStr">
        <is>
          <t>Primary school district for Thornton</t>
        </is>
      </c>
    </row>
    <row r="157" ht="14" customHeight="1" s="1439">
      <c r="A157" s="2271">
        <f>IF(OR(ISNUMBER(SEARCH(LEFT('Property Info'!$B$17,MAX(1,FIND(",",'Property Info'!$B$17&amp;",")-1)),B157)),ISNUMBER(SEARCH('Property Info'!$B$18,B157))),"★ Active",IF(B157="REGIONAL / ALL MUNICIPALITIES","Regional","–"))</f>
        <v/>
      </c>
      <c r="B157" s="2271" t="inlineStr">
        <is>
          <t>Thornton</t>
        </is>
      </c>
      <c r="C157" s="2271" t="inlineStr">
        <is>
          <t>School Districts</t>
        </is>
      </c>
      <c r="D157" s="2271" t="inlineStr">
        <is>
          <t>School District 27J</t>
        </is>
      </c>
      <c r="E157" s="2269" t="inlineStr">
        <is>
          <t>https://www.sd27j.org/</t>
        </is>
      </c>
      <c r="F157" s="2272" t="inlineStr">
        <is>
          <t>Serves northeast Thornton</t>
        </is>
      </c>
    </row>
    <row r="158" ht="14" customHeight="1" s="1439">
      <c r="A158" s="2268">
        <f>IF(OR(ISNUMBER(SEARCH(LEFT('Property Info'!$B$17,MAX(1,FIND(",",'Property Info'!$B$17&amp;",")-1)),B158)),ISNUMBER(SEARCH('Property Info'!$B$18,B158))),"★ Active",IF(B158="REGIONAL / ALL MUNICIPALITIES","Regional","–"))</f>
        <v/>
      </c>
      <c r="B158" s="2268" t="inlineStr">
        <is>
          <t>Westminster</t>
        </is>
      </c>
      <c r="C158" s="2268" t="inlineStr">
        <is>
          <t>Property Assessment</t>
        </is>
      </c>
      <c r="D158" s="2268" t="inlineStr">
        <is>
          <t>Westminster eTRAKiT Parcel Search</t>
        </is>
      </c>
      <c r="E158" s="2269" t="inlineStr">
        <is>
          <t>https://develop.cityofwestminster.us/ETRAKIT/Search/parcel.aspx</t>
        </is>
      </c>
      <c r="F158" s="2270" t="inlineStr">
        <is>
          <t>City parcel/permit search</t>
        </is>
      </c>
    </row>
    <row r="159" ht="14" customHeight="1" s="1439">
      <c r="A159" s="2271">
        <f>IF(OR(ISNUMBER(SEARCH(LEFT('Property Info'!$B$17,MAX(1,FIND(",",'Property Info'!$B$17&amp;",")-1)),B159)),ISNUMBER(SEARCH('Property Info'!$B$18,B159))),"★ Active",IF(B159="REGIONAL / ALL MUNICIPALITIES","Regional","–"))</f>
        <v/>
      </c>
      <c r="B159" s="2271" t="inlineStr">
        <is>
          <t>Westminster</t>
        </is>
      </c>
      <c r="C159" s="2271" t="inlineStr">
        <is>
          <t>Property Assessment</t>
        </is>
      </c>
      <c r="D159" s="2271" t="inlineStr">
        <is>
          <t>Adams County Assessor (Adams Co. portion)</t>
        </is>
      </c>
      <c r="E159" s="2269" t="inlineStr">
        <is>
          <t>https://adcogov.org/property-look</t>
        </is>
      </c>
      <c r="F159" s="2272" t="inlineStr">
        <is>
          <t>For parcels in eastern Westminster (Adams County)</t>
        </is>
      </c>
    </row>
    <row r="160" ht="14" customHeight="1" s="1439">
      <c r="A160" s="2268">
        <f>IF(OR(ISNUMBER(SEARCH(LEFT('Property Info'!$B$17,MAX(1,FIND(",",'Property Info'!$B$17&amp;",")-1)),B160)),ISNUMBER(SEARCH('Property Info'!$B$18,B160))),"★ Active",IF(B160="REGIONAL / ALL MUNICIPALITIES","Regional","–"))</f>
        <v/>
      </c>
      <c r="B160" s="2268" t="inlineStr">
        <is>
          <t>Westminster</t>
        </is>
      </c>
      <c r="C160" s="2268" t="inlineStr">
        <is>
          <t>Property Assessment</t>
        </is>
      </c>
      <c r="D160" s="2268" t="inlineStr">
        <is>
          <t>Jefferson County Assessor (Jefferson Co. portion)</t>
        </is>
      </c>
      <c r="E160" s="2269" t="inlineStr">
        <is>
          <t>https://propertysearch.jeffco.us/</t>
        </is>
      </c>
      <c r="F160" s="2270" t="inlineStr">
        <is>
          <t>For parcels in western Westminster (Jefferson County)</t>
        </is>
      </c>
    </row>
    <row r="161" ht="14" customHeight="1" s="1439">
      <c r="A161" s="2271">
        <f>IF(OR(ISNUMBER(SEARCH(LEFT('Property Info'!$B$17,MAX(1,FIND(",",'Property Info'!$B$17&amp;",")-1)),B161)),ISNUMBER(SEARCH('Property Info'!$B$18,B161))),"★ Active",IF(B161="REGIONAL / ALL MUNICIPALITIES","Regional","–"))</f>
        <v/>
      </c>
      <c r="B161" s="2271" t="inlineStr">
        <is>
          <t>Westminster</t>
        </is>
      </c>
      <c r="C161" s="2271" t="inlineStr">
        <is>
          <t>Property Tax / Treasurer</t>
        </is>
      </c>
      <c r="D161" s="2271" t="inlineStr">
        <is>
          <t>Adams County Tax Payment (Adams Co. portion)</t>
        </is>
      </c>
      <c r="E161" s="2269" t="inlineStr">
        <is>
          <t>https://adcotax.com/treasurer/web/login.jsp</t>
        </is>
      </c>
      <c r="F161" s="2272" t="inlineStr">
        <is>
          <t>For Adams County parcels</t>
        </is>
      </c>
    </row>
    <row r="162" ht="14" customHeight="1" s="1439">
      <c r="A162" s="2268">
        <f>IF(OR(ISNUMBER(SEARCH(LEFT('Property Info'!$B$17,MAX(1,FIND(",",'Property Info'!$B$17&amp;",")-1)),B162)),ISNUMBER(SEARCH('Property Info'!$B$18,B162))),"★ Active",IF(B162="REGIONAL / ALL MUNICIPALITIES","Regional","–"))</f>
        <v/>
      </c>
      <c r="B162" s="2268" t="inlineStr">
        <is>
          <t>Westminster</t>
        </is>
      </c>
      <c r="C162" s="2268" t="inlineStr">
        <is>
          <t>Property Tax / Treasurer</t>
        </is>
      </c>
      <c r="D162" s="2268" t="inlineStr">
        <is>
          <t>Jefferson County Treasurer (Jefferson Co. portion)</t>
        </is>
      </c>
      <c r="E162" s="2269" t="inlineStr">
        <is>
          <t>https://jeffco.us/1293/Treasurer</t>
        </is>
      </c>
      <c r="F162" s="2270" t="inlineStr">
        <is>
          <t>For Jefferson County parcels</t>
        </is>
      </c>
    </row>
    <row r="163" ht="14" customHeight="1" s="1439">
      <c r="A163" s="2271">
        <f>IF(OR(ISNUMBER(SEARCH(LEFT('Property Info'!$B$17,MAX(1,FIND(",",'Property Info'!$B$17&amp;",")-1)),B163)),ISNUMBER(SEARCH('Property Info'!$B$18,B163))),"★ Active",IF(B163="REGIONAL / ALL MUNICIPALITIES","Regional","–"))</f>
        <v/>
      </c>
      <c r="B163" s="2271" t="inlineStr">
        <is>
          <t>Westminster</t>
        </is>
      </c>
      <c r="C163" s="2271" t="inlineStr">
        <is>
          <t>Deed / Title Records</t>
        </is>
      </c>
      <c r="D163" s="2271" t="inlineStr">
        <is>
          <t>Adams Co. Landmark Web Document Search</t>
        </is>
      </c>
      <c r="E163" s="2269" t="inlineStr">
        <is>
          <t>https://recording.adcogov.org/landmarkweb</t>
        </is>
      </c>
      <c r="F163" s="2272" t="inlineStr">
        <is>
          <t>For Adams County parcels</t>
        </is>
      </c>
    </row>
    <row r="164" ht="14" customHeight="1" s="1439">
      <c r="A164" s="2268">
        <f>IF(OR(ISNUMBER(SEARCH(LEFT('Property Info'!$B$17,MAX(1,FIND(",",'Property Info'!$B$17&amp;",")-1)),B164)),ISNUMBER(SEARCH('Property Info'!$B$18,B164))),"★ Active",IF(B164="REGIONAL / ALL MUNICIPALITIES","Regional","–"))</f>
        <v/>
      </c>
      <c r="B164" s="2268" t="inlineStr">
        <is>
          <t>Westminster</t>
        </is>
      </c>
      <c r="C164" s="2268" t="inlineStr">
        <is>
          <t>Deed / Title Records</t>
        </is>
      </c>
      <c r="D164" s="2268" t="inlineStr">
        <is>
          <t>Jefferson County Clerk &amp; Recorder</t>
        </is>
      </c>
      <c r="E164" s="2269" t="inlineStr">
        <is>
          <t>https://www.jeffco.us/1288/Clerk-Recorder</t>
        </is>
      </c>
      <c r="F164" s="2270" t="inlineStr">
        <is>
          <t>For Jefferson County parcels</t>
        </is>
      </c>
    </row>
    <row r="165" ht="14" customHeight="1" s="1439">
      <c r="A165" s="2271">
        <f>IF(OR(ISNUMBER(SEARCH(LEFT('Property Info'!$B$17,MAX(1,FIND(",",'Property Info'!$B$17&amp;",")-1)),B165)),ISNUMBER(SEARCH('Property Info'!$B$18,B165))),"★ Active",IF(B165="REGIONAL / ALL MUNICIPALITIES","Regional","–"))</f>
        <v/>
      </c>
      <c r="B165" s="2271" t="inlineStr">
        <is>
          <t>Westminster</t>
        </is>
      </c>
      <c r="C165" s="2271" t="inlineStr">
        <is>
          <t>GIS / Mapping</t>
        </is>
      </c>
      <c r="D165" s="2271" t="inlineStr">
        <is>
          <t>Westminster Open Data Hub (ArcGIS)</t>
        </is>
      </c>
      <c r="E165" s="2269" t="inlineStr">
        <is>
          <t>https://opendata-westminster.hub.arcgis.com/</t>
        </is>
      </c>
      <c r="F165" s="2272" t="inlineStr">
        <is>
          <t>Downloadable GIS datasets</t>
        </is>
      </c>
    </row>
    <row r="166" ht="14" customHeight="1" s="1439">
      <c r="A166" s="2268">
        <f>IF(OR(ISNUMBER(SEARCH(LEFT('Property Info'!$B$17,MAX(1,FIND(",",'Property Info'!$B$17&amp;",")-1)),B166)),ISNUMBER(SEARCH('Property Info'!$B$18,B166))),"★ Active",IF(B166="REGIONAL / ALL MUNICIPALITIES","Regional","–"))</f>
        <v/>
      </c>
      <c r="B166" s="2268" t="inlineStr">
        <is>
          <t>Westminster</t>
        </is>
      </c>
      <c r="C166" s="2268" t="inlineStr">
        <is>
          <t>GIS / Mapping</t>
        </is>
      </c>
      <c r="D166" s="2268" t="inlineStr">
        <is>
          <t>Westminster Zoning Map (ArcGIS)</t>
        </is>
      </c>
      <c r="E166" s="2269" t="inlineStr">
        <is>
          <t>https://maps.cityofwestminster.us/portal/apps/webappviewer/index.html?id=840164f9c48d49109f884695afe3f714</t>
        </is>
      </c>
      <c r="F166" s="2270" t="inlineStr">
        <is>
          <t>Official interactive zoning map</t>
        </is>
      </c>
    </row>
    <row r="167" ht="14" customHeight="1" s="1439">
      <c r="A167" s="2271">
        <f>IF(OR(ISNUMBER(SEARCH(LEFT('Property Info'!$B$17,MAX(1,FIND(",",'Property Info'!$B$17&amp;",")-1)),B167)),ISNUMBER(SEARCH('Property Info'!$B$18,B167))),"★ Active",IF(B167="REGIONAL / ALL MUNICIPALITIES","Regional","–"))</f>
        <v/>
      </c>
      <c r="B167" s="2271" t="inlineStr">
        <is>
          <t>Westminster</t>
        </is>
      </c>
      <c r="C167" s="2271" t="inlineStr">
        <is>
          <t>GIS / Mapping</t>
        </is>
      </c>
      <c r="D167" s="2271" t="inlineStr">
        <is>
          <t>Maps Page</t>
        </is>
      </c>
      <c r="E167" s="2269" t="inlineStr">
        <is>
          <t>https://www.westminsterco.gov/471/Maps</t>
        </is>
      </c>
      <c r="F167" s="2272" t="inlineStr">
        <is>
          <t>City maps</t>
        </is>
      </c>
    </row>
    <row r="168" ht="14" customHeight="1" s="1439">
      <c r="A168" s="2268">
        <f>IF(OR(ISNUMBER(SEARCH(LEFT('Property Info'!$B$17,MAX(1,FIND(",",'Property Info'!$B$17&amp;",")-1)),B168)),ISNUMBER(SEARCH('Property Info'!$B$18,B168))),"★ Active",IF(B168="REGIONAL / ALL MUNICIPALITIES","Regional","–"))</f>
        <v/>
      </c>
      <c r="B168" s="2268" t="inlineStr">
        <is>
          <t>Westminster</t>
        </is>
      </c>
      <c r="C168" s="2268" t="inlineStr">
        <is>
          <t>Permits</t>
        </is>
      </c>
      <c r="D168" s="2268" t="inlineStr">
        <is>
          <t>eTRAKiT Portal</t>
        </is>
      </c>
      <c r="E168" s="2269" t="inlineStr">
        <is>
          <t>https://develop.cityofwestminster.us/etrakit/</t>
        </is>
      </c>
      <c r="F168" s="2270" t="inlineStr">
        <is>
          <t>Online permit search and applications</t>
        </is>
      </c>
    </row>
    <row r="169" ht="14" customHeight="1" s="1439">
      <c r="A169" s="2271">
        <f>IF(OR(ISNUMBER(SEARCH(LEFT('Property Info'!$B$17,MAX(1,FIND(",",'Property Info'!$B$17&amp;",")-1)),B169)),ISNUMBER(SEARCH('Property Info'!$B$18,B169))),"★ Active",IF(B169="REGIONAL / ALL MUNICIPALITIES","Regional","–"))</f>
        <v/>
      </c>
      <c r="B169" s="2271" t="inlineStr">
        <is>
          <t>Westminster</t>
        </is>
      </c>
      <c r="C169" s="2271" t="inlineStr">
        <is>
          <t>Permits</t>
        </is>
      </c>
      <c r="D169" s="2271" t="inlineStr">
        <is>
          <t>Permit Search</t>
        </is>
      </c>
      <c r="E169" s="2269" t="inlineStr">
        <is>
          <t>https://develop.cityofwestminster.us/etrakit/Search/permit.aspx</t>
        </is>
      </c>
      <c r="F169" s="2272" t="inlineStr">
        <is>
          <t>Direct permit lookup</t>
        </is>
      </c>
    </row>
    <row r="170" ht="14" customHeight="1" s="1439">
      <c r="A170" s="2268">
        <f>IF(OR(ISNUMBER(SEARCH(LEFT('Property Info'!$B$17,MAX(1,FIND(",",'Property Info'!$B$17&amp;",")-1)),B170)),ISNUMBER(SEARCH('Property Info'!$B$18,B170))),"★ Active",IF(B170="REGIONAL / ALL MUNICIPALITIES","Regional","–"))</f>
        <v/>
      </c>
      <c r="B170" s="2268" t="inlineStr">
        <is>
          <t>Westminster</t>
        </is>
      </c>
      <c r="C170" s="2268" t="inlineStr">
        <is>
          <t>Permits</t>
        </is>
      </c>
      <c r="D170" s="2268" t="inlineStr">
        <is>
          <t>Apply for a Permit</t>
        </is>
      </c>
      <c r="E170" s="2269" t="inlineStr">
        <is>
          <t>https://www.westminsterco.gov/617/Apply-for-a-Permit-Project</t>
        </is>
      </c>
      <c r="F170" s="2270" t="inlineStr">
        <is>
          <t>Permit application guide</t>
        </is>
      </c>
    </row>
    <row r="171" ht="14" customHeight="1" s="1439">
      <c r="A171" s="2271">
        <f>IF(OR(ISNUMBER(SEARCH(LEFT('Property Info'!$B$17,MAX(1,FIND(",",'Property Info'!$B$17&amp;",")-1)),B171)),ISNUMBER(SEARCH('Property Info'!$B$18,B171))),"★ Active",IF(B171="REGIONAL / ALL MUNICIPALITIES","Regional","–"))</f>
        <v/>
      </c>
      <c r="B171" s="2271" t="inlineStr">
        <is>
          <t>Westminster</t>
        </is>
      </c>
      <c r="C171" s="2271" t="inlineStr">
        <is>
          <t>Permits</t>
        </is>
      </c>
      <c r="D171" s="2271" t="inlineStr">
        <is>
          <t>Building Division</t>
        </is>
      </c>
      <c r="E171" s="2269" t="inlineStr">
        <is>
          <t>https://www.westminsterco.gov/621/Building-Division</t>
        </is>
      </c>
      <c r="F171" s="2272" t="inlineStr">
        <is>
          <t>Building department</t>
        </is>
      </c>
    </row>
    <row r="172" ht="14" customHeight="1" s="1439">
      <c r="A172" s="2268">
        <f>IF(OR(ISNUMBER(SEARCH(LEFT('Property Info'!$B$17,MAX(1,FIND(",",'Property Info'!$B$17&amp;",")-1)),B172)),ISNUMBER(SEARCH('Property Info'!$B$18,B172))),"★ Active",IF(B172="REGIONAL / ALL MUNICIPALITIES","Regional","–"))</f>
        <v/>
      </c>
      <c r="B172" s="2268" t="inlineStr">
        <is>
          <t>Westminster</t>
        </is>
      </c>
      <c r="C172" s="2268" t="inlineStr">
        <is>
          <t>Permits</t>
        </is>
      </c>
      <c r="D172" s="2268" t="inlineStr">
        <is>
          <t>Right-of-Way Permits</t>
        </is>
      </c>
      <c r="E172" s="2269" t="inlineStr">
        <is>
          <t>https://www.westminsterco.gov/746/Right-of-Way-Permits</t>
        </is>
      </c>
      <c r="F172" s="2270" t="inlineStr">
        <is>
          <t>ROW encroachment permits</t>
        </is>
      </c>
    </row>
    <row r="173" ht="14" customHeight="1" s="1439">
      <c r="A173" s="2271">
        <f>IF(OR(ISNUMBER(SEARCH(LEFT('Property Info'!$B$17,MAX(1,FIND(",",'Property Info'!$B$17&amp;",")-1)),B173)),ISNUMBER(SEARCH('Property Info'!$B$18,B173))),"★ Active",IF(B173="REGIONAL / ALL MUNICIPALITIES","Regional","–"))</f>
        <v/>
      </c>
      <c r="B173" s="2271" t="inlineStr">
        <is>
          <t>Westminster</t>
        </is>
      </c>
      <c r="C173" s="2271" t="inlineStr">
        <is>
          <t>Zoning / Planning</t>
        </is>
      </c>
      <c r="D173" s="2271" t="inlineStr">
        <is>
          <t>Planning Main Page</t>
        </is>
      </c>
      <c r="E173" s="2269" t="inlineStr">
        <is>
          <t>https://www.westminsterco.gov/707/Planning</t>
        </is>
      </c>
      <c r="F173" s="2272" t="inlineStr">
        <is>
          <t>Planning department</t>
        </is>
      </c>
    </row>
    <row r="174" ht="14" customHeight="1" s="1439">
      <c r="A174" s="2268">
        <f>IF(OR(ISNUMBER(SEARCH(LEFT('Property Info'!$B$17,MAX(1,FIND(",",'Property Info'!$B$17&amp;",")-1)),B174)),ISNUMBER(SEARCH('Property Info'!$B$18,B174))),"★ Active",IF(B174="REGIONAL / ALL MUNICIPALITIES","Regional","–"))</f>
        <v/>
      </c>
      <c r="B174" s="2268" t="inlineStr">
        <is>
          <t>Westminster</t>
        </is>
      </c>
      <c r="C174" s="2268" t="inlineStr">
        <is>
          <t>Zoning / Planning</t>
        </is>
      </c>
      <c r="D174" s="2268" t="inlineStr">
        <is>
          <t>Develop in Westminster</t>
        </is>
      </c>
      <c r="E174" s="2269" t="inlineStr">
        <is>
          <t>https://www.westminsterco.gov/703/Develop-in-Westminster</t>
        </is>
      </c>
      <c r="F174" s="2270" t="inlineStr">
        <is>
          <t>Development guide</t>
        </is>
      </c>
    </row>
    <row r="175" ht="14" customHeight="1" s="1439">
      <c r="A175" s="2271">
        <f>IF(OR(ISNUMBER(SEARCH(LEFT('Property Info'!$B$17,MAX(1,FIND(",",'Property Info'!$B$17&amp;",")-1)),B175)),ISNUMBER(SEARCH('Property Info'!$B$18,B175))),"★ Active",IF(B175="REGIONAL / ALL MUNICIPALITIES","Regional","–"))</f>
        <v/>
      </c>
      <c r="B175" s="2271" t="inlineStr">
        <is>
          <t>Westminster</t>
        </is>
      </c>
      <c r="C175" s="2271" t="inlineStr">
        <is>
          <t>Zoning / Planning</t>
        </is>
      </c>
      <c r="D175" s="2271" t="inlineStr">
        <is>
          <t>Comprehensive Plan Executive Summary</t>
        </is>
      </c>
      <c r="E175" s="2269" t="inlineStr">
        <is>
          <t>https://www.westminsterco.gov/DocumentCenter/View/1467/Executive-Summary-PDF</t>
        </is>
      </c>
      <c r="F175" s="2272" t="inlineStr">
        <is>
          <t>City comprehensive plan summary</t>
        </is>
      </c>
    </row>
    <row r="176" ht="14" customHeight="1" s="1439">
      <c r="A176" s="2268">
        <f>IF(OR(ISNUMBER(SEARCH(LEFT('Property Info'!$B$17,MAX(1,FIND(",",'Property Info'!$B$17&amp;",")-1)),B176)),ISNUMBER(SEARCH('Property Info'!$B$18,B176))),"★ Active",IF(B176="REGIONAL / ALL MUNICIPALITIES","Regional","–"))</f>
        <v/>
      </c>
      <c r="B176" s="2268" t="inlineStr">
        <is>
          <t>Westminster</t>
        </is>
      </c>
      <c r="C176" s="2268" t="inlineStr">
        <is>
          <t>Flood Zone</t>
        </is>
      </c>
      <c r="D176" s="2268" t="inlineStr">
        <is>
          <t>FEMA Map Service Center</t>
        </is>
      </c>
      <c r="E176" s="2269" t="inlineStr">
        <is>
          <t>https://msc.fema.gov/</t>
        </is>
      </c>
      <c r="F176" s="2270" t="inlineStr">
        <is>
          <t>Address-specific FEMA FIRM lookup</t>
        </is>
      </c>
    </row>
    <row r="177" ht="14" customHeight="1" s="1439">
      <c r="A177" s="2271">
        <f>IF(OR(ISNUMBER(SEARCH(LEFT('Property Info'!$B$17,MAX(1,FIND(",",'Property Info'!$B$17&amp;",")-1)),B177)),ISNUMBER(SEARCH('Property Info'!$B$18,B177))),"★ Active",IF(B177="REGIONAL / ALL MUNICIPALITIES","Regional","–"))</f>
        <v/>
      </c>
      <c r="B177" s="2271" t="inlineStr">
        <is>
          <t>Westminster</t>
        </is>
      </c>
      <c r="C177" s="2271" t="inlineStr">
        <is>
          <t>Flood Zone</t>
        </is>
      </c>
      <c r="D177" s="2271" t="inlineStr">
        <is>
          <t>Adams County Floodplain (eastern Westminster)</t>
        </is>
      </c>
      <c r="E177" s="2269" t="inlineStr">
        <is>
          <t>https://adamscountyco.gov/our-county/community-economic-development/floodplain-management/</t>
        </is>
      </c>
      <c r="F177" s="2272" t="inlineStr">
        <is>
          <t>For Adams County portion</t>
        </is>
      </c>
    </row>
    <row r="178" ht="14" customHeight="1" s="1439">
      <c r="A178" s="2268">
        <f>IF(OR(ISNUMBER(SEARCH(LEFT('Property Info'!$B$17,MAX(1,FIND(",",'Property Info'!$B$17&amp;",")-1)),B178)),ISNUMBER(SEARCH('Property Info'!$B$18,B178))),"★ Active",IF(B178="REGIONAL / ALL MUNICIPALITIES","Regional","–"))</f>
        <v/>
      </c>
      <c r="B178" s="2268" t="inlineStr">
        <is>
          <t>Westminster</t>
        </is>
      </c>
      <c r="C178" s="2268" t="inlineStr">
        <is>
          <t>Economic Development</t>
        </is>
      </c>
      <c r="D178" s="2268" t="inlineStr">
        <is>
          <t>Westminster Economic Development</t>
        </is>
      </c>
      <c r="E178" s="2269" t="inlineStr">
        <is>
          <t>https://www.westminstereconomicdevelopment.org/</t>
        </is>
      </c>
      <c r="F178" s="2270" t="inlineStr">
        <is>
          <t>Economic development office</t>
        </is>
      </c>
    </row>
    <row r="179" ht="14" customHeight="1" s="1439">
      <c r="A179" s="2271">
        <f>IF(OR(ISNUMBER(SEARCH(LEFT('Property Info'!$B$17,MAX(1,FIND(",",'Property Info'!$B$17&amp;",")-1)),B179)),ISNUMBER(SEARCH('Property Info'!$B$18,B179))),"★ Active",IF(B179="REGIONAL / ALL MUNICIPALITIES","Regional","–"))</f>
        <v/>
      </c>
      <c r="B179" s="2271" t="inlineStr">
        <is>
          <t>Westminster</t>
        </is>
      </c>
      <c r="C179" s="2271" t="inlineStr">
        <is>
          <t>Economic Development</t>
        </is>
      </c>
      <c r="D179" s="2271" t="inlineStr">
        <is>
          <t>Proposed Developments Map</t>
        </is>
      </c>
      <c r="E179" s="2269" t="inlineStr">
        <is>
          <t>https://www.westminstereconomicdevelopment.org/area-maps/</t>
        </is>
      </c>
      <c r="F179" s="2272" t="inlineStr">
        <is>
          <t>Development pipeline and comp plan maps</t>
        </is>
      </c>
    </row>
    <row r="180" ht="14" customHeight="1" s="1439">
      <c r="A180" s="2268">
        <f>IF(OR(ISNUMBER(SEARCH(LEFT('Property Info'!$B$17,MAX(1,FIND(",",'Property Info'!$B$17&amp;",")-1)),B180)),ISNUMBER(SEARCH('Property Info'!$B$18,B180))),"★ Active",IF(B180="REGIONAL / ALL MUNICIPALITIES","Regional","–"))</f>
        <v/>
      </c>
      <c r="B180" s="2268" t="inlineStr">
        <is>
          <t>Westminster</t>
        </is>
      </c>
      <c r="C180" s="2268" t="inlineStr">
        <is>
          <t>Economic Development</t>
        </is>
      </c>
      <c r="D180" s="2268" t="inlineStr">
        <is>
          <t>Utilities &amp; Tax Info</t>
        </is>
      </c>
      <c r="E180" s="2269" t="inlineStr">
        <is>
          <t>https://www.westminstereconomicdevelopment.org/about-westminster/water-utilities-taxes/</t>
        </is>
      </c>
      <c r="F180" s="2270" t="inlineStr">
        <is>
          <t>Utility providers and tax information</t>
        </is>
      </c>
    </row>
    <row r="181" ht="14" customHeight="1" s="1439">
      <c r="A181" s="2271">
        <f>IF(OR(ISNUMBER(SEARCH(LEFT('Property Info'!$B$17,MAX(1,FIND(",",'Property Info'!$B$17&amp;",")-1)),B181)),ISNUMBER(SEARCH('Property Info'!$B$18,B181))),"★ Active",IF(B181="REGIONAL / ALL MUNICIPALITIES","Regional","–"))</f>
        <v/>
      </c>
      <c r="B181" s="2271" t="inlineStr">
        <is>
          <t>Westminster</t>
        </is>
      </c>
      <c r="C181" s="2271" t="inlineStr">
        <is>
          <t>Short-Term Rental</t>
        </is>
      </c>
      <c r="D181" s="2271" t="inlineStr">
        <is>
          <t>Short-Term Rentals</t>
        </is>
      </c>
      <c r="E181" s="2269" t="inlineStr">
        <is>
          <t>https://www.westminsterco.gov/Short-TermRentals</t>
        </is>
      </c>
      <c r="F181" s="2272" t="inlineStr">
        <is>
          <t>STR regulations and licensing</t>
        </is>
      </c>
    </row>
    <row r="182" ht="14" customHeight="1" s="1439">
      <c r="A182" s="2268">
        <f>IF(OR(ISNUMBER(SEARCH(LEFT('Property Info'!$B$17,MAX(1,FIND(",",'Property Info'!$B$17&amp;",")-1)),B182)),ISNUMBER(SEARCH('Property Info'!$B$18,B182))),"★ Active",IF(B182="REGIONAL / ALL MUNICIPALITIES","Regional","–"))</f>
        <v/>
      </c>
      <c r="B182" s="2268" t="inlineStr">
        <is>
          <t>Westminster</t>
        </is>
      </c>
      <c r="C182" s="2268" t="inlineStr">
        <is>
          <t>Crime / Safety</t>
        </is>
      </c>
      <c r="D182" s="2268" t="inlineStr">
        <is>
          <t>CrimeMapping.com (Westminster PD)</t>
        </is>
      </c>
      <c r="E182" s="2269" t="inlineStr">
        <is>
          <t>https://www.crimemapping.com/map/co/westminster</t>
        </is>
      </c>
      <c r="F182" s="2270" t="inlineStr">
        <is>
          <t>Interactive crime map</t>
        </is>
      </c>
    </row>
    <row r="183" ht="14" customHeight="1" s="1439">
      <c r="A183" s="2271">
        <f>IF(OR(ISNUMBER(SEARCH(LEFT('Property Info'!$B$17,MAX(1,FIND(",",'Property Info'!$B$17&amp;",")-1)),B183)),ISNUMBER(SEARCH('Property Info'!$B$18,B183))),"★ Active",IF(B183="REGIONAL / ALL MUNICIPALITIES","Regional","–"))</f>
        <v/>
      </c>
      <c r="B183" s="2271" t="inlineStr">
        <is>
          <t>Westminster</t>
        </is>
      </c>
      <c r="C183" s="2271" t="inlineStr">
        <is>
          <t>Crime / Safety</t>
        </is>
      </c>
      <c r="D183" s="2271" t="inlineStr">
        <is>
          <t>Westminster PD News / Crime Mapping</t>
        </is>
      </c>
      <c r="E183" s="2269" t="inlineStr">
        <is>
          <t>https://www.westminsterpdnews.com/crime-mapping</t>
        </is>
      </c>
      <c r="F183" s="2272" t="inlineStr">
        <is>
          <t>PD crime map</t>
        </is>
      </c>
    </row>
    <row r="184" ht="14" customHeight="1" s="1439">
      <c r="A184" s="2268">
        <f>IF(OR(ISNUMBER(SEARCH(LEFT('Property Info'!$B$17,MAX(1,FIND(",",'Property Info'!$B$17&amp;",")-1)),B184)),ISNUMBER(SEARCH('Property Info'!$B$18,B184))),"★ Active",IF(B184="REGIONAL / ALL MUNICIPALITIES","Regional","–"))</f>
        <v/>
      </c>
      <c r="B184" s="2268" t="inlineStr">
        <is>
          <t>Westminster</t>
        </is>
      </c>
      <c r="C184" s="2268" t="inlineStr">
        <is>
          <t>Utilities</t>
        </is>
      </c>
      <c r="D184" s="2268" t="inlineStr">
        <is>
          <t>Public Works &amp; Utilities (Water)</t>
        </is>
      </c>
      <c r="E184" s="2269" t="inlineStr">
        <is>
          <t>https://www.westminsterco.gov/water</t>
        </is>
      </c>
      <c r="F184" s="2270" t="inlineStr">
        <is>
          <t>City water utility</t>
        </is>
      </c>
    </row>
    <row r="185" ht="14" customHeight="1" s="1439">
      <c r="A185" s="2271">
        <f>IF(OR(ISNUMBER(SEARCH(LEFT('Property Info'!$B$17,MAX(1,FIND(",",'Property Info'!$B$17&amp;",")-1)),B185)),ISNUMBER(SEARCH('Property Info'!$B$18,B185))),"★ Active",IF(B185="REGIONAL / ALL MUNICIPALITIES","Regional","–"))</f>
        <v/>
      </c>
      <c r="B185" s="2271" t="inlineStr">
        <is>
          <t>Westminster</t>
        </is>
      </c>
      <c r="C185" s="2271" t="inlineStr">
        <is>
          <t>School Districts</t>
        </is>
      </c>
      <c r="D185" s="2271" t="inlineStr">
        <is>
          <t>Adams 12 Five Star Schools (east Westminster)</t>
        </is>
      </c>
      <c r="E185" s="2269" t="inlineStr">
        <is>
          <t>https://www.adams12.org/</t>
        </is>
      </c>
      <c r="F185" s="2272" t="inlineStr">
        <is>
          <t>Serves eastern Adams County portion</t>
        </is>
      </c>
    </row>
    <row r="186" ht="14" customHeight="1" s="1439">
      <c r="A186" s="2268">
        <f>IF(OR(ISNUMBER(SEARCH(LEFT('Property Info'!$B$17,MAX(1,FIND(",",'Property Info'!$B$17&amp;",")-1)),B186)),ISNUMBER(SEARCH('Property Info'!$B$18,B186))),"★ Active",IF(B186="REGIONAL / ALL MUNICIPALITIES","Regional","–"))</f>
        <v/>
      </c>
      <c r="B186" s="2268" t="inlineStr">
        <is>
          <t>Westminster</t>
        </is>
      </c>
      <c r="C186" s="2268" t="inlineStr">
        <is>
          <t>School Districts</t>
        </is>
      </c>
      <c r="D186" s="2268" t="inlineStr">
        <is>
          <t>Jefferson County Public Schools (west Westminster)</t>
        </is>
      </c>
      <c r="E186" s="2269" t="inlineStr">
        <is>
          <t>https://www.jeffcopublicschools.org/</t>
        </is>
      </c>
      <c r="F186" s="2270" t="inlineStr">
        <is>
          <t>Serves western Jefferson County portion</t>
        </is>
      </c>
    </row>
    <row r="187" ht="14" customHeight="1" s="1439">
      <c r="A187" s="2271">
        <f>IF(OR(ISNUMBER(SEARCH(LEFT('Property Info'!$B$17,MAX(1,FIND(",",'Property Info'!$B$17&amp;",")-1)),B187)),ISNUMBER(SEARCH('Property Info'!$B$18,B187))),"★ Active",IF(B187="REGIONAL / ALL MUNICIPALITIES","Regional","–"))</f>
        <v/>
      </c>
      <c r="B187" s="2271" t="inlineStr">
        <is>
          <t>Aurora</t>
        </is>
      </c>
      <c r="C187" s="2271" t="inlineStr">
        <is>
          <t>Property Assessment</t>
        </is>
      </c>
      <c r="D187" s="2271" t="inlineStr">
        <is>
          <t>Aurora Property Info Portal</t>
        </is>
      </c>
      <c r="E187" s="2269" t="inlineStr">
        <is>
          <t>https://ags.auroragov.org/propinfo/propinfo.html</t>
        </is>
      </c>
      <c r="F187" s="2272" t="inlineStr">
        <is>
          <t>City-run parcel info portal (all Aurora regardless of county)</t>
        </is>
      </c>
    </row>
    <row r="188" ht="14" customHeight="1" s="1439">
      <c r="A188" s="2268">
        <f>IF(OR(ISNUMBER(SEARCH(LEFT('Property Info'!$B$17,MAX(1,FIND(",",'Property Info'!$B$17&amp;",")-1)),B188)),ISNUMBER(SEARCH('Property Info'!$B$18,B188))),"★ Active",IF(B188="REGIONAL / ALL MUNICIPALITIES","Regional","–"))</f>
        <v/>
      </c>
      <c r="B188" s="2268" t="inlineStr">
        <is>
          <t>Aurora</t>
        </is>
      </c>
      <c r="C188" s="2268" t="inlineStr">
        <is>
          <t>Property Assessment</t>
        </is>
      </c>
      <c r="D188" s="2268" t="inlineStr">
        <is>
          <t>Aurora Property Information Page</t>
        </is>
      </c>
      <c r="E188" s="2269" t="inlineStr">
        <is>
          <t>https://www.auroragov.org/city_hall/maps/property_information</t>
        </is>
      </c>
      <c r="F188" s="2270" t="inlineStr">
        <is>
          <t>Property info map links</t>
        </is>
      </c>
    </row>
    <row r="189" ht="14" customHeight="1" s="1439">
      <c r="A189" s="2271">
        <f>IF(OR(ISNUMBER(SEARCH(LEFT('Property Info'!$B$17,MAX(1,FIND(",",'Property Info'!$B$17&amp;",")-1)),B189)),ISNUMBER(SEARCH('Property Info'!$B$18,B189))),"★ Active",IF(B189="REGIONAL / ALL MUNICIPALITIES","Regional","–"))</f>
        <v/>
      </c>
      <c r="B189" s="2271" t="inlineStr">
        <is>
          <t>Aurora</t>
        </is>
      </c>
      <c r="C189" s="2271" t="inlineStr">
        <is>
          <t>Property Assessment</t>
        </is>
      </c>
      <c r="D189" s="2271" t="inlineStr">
        <is>
          <t>Adams County Assessor (Adams Co. portion)</t>
        </is>
      </c>
      <c r="E189" s="2269" t="inlineStr">
        <is>
          <t>https://adcogov.org/property-look</t>
        </is>
      </c>
      <c r="F189" s="2272" t="inlineStr">
        <is>
          <t>For parcels in northern Aurora (Adams County)</t>
        </is>
      </c>
    </row>
    <row r="190" ht="14" customHeight="1" s="1439">
      <c r="A190" s="2268">
        <f>IF(OR(ISNUMBER(SEARCH(LEFT('Property Info'!$B$17,MAX(1,FIND(",",'Property Info'!$B$17&amp;",")-1)),B190)),ISNUMBER(SEARCH('Property Info'!$B$18,B190))),"★ Active",IF(B190="REGIONAL / ALL MUNICIPALITIES","Regional","–"))</f>
        <v/>
      </c>
      <c r="B190" s="2268" t="inlineStr">
        <is>
          <t>Aurora</t>
        </is>
      </c>
      <c r="C190" s="2268" t="inlineStr">
        <is>
          <t>Property Assessment</t>
        </is>
      </c>
      <c r="D190" s="2268" t="inlineStr">
        <is>
          <t>Arapahoe County Assessor</t>
        </is>
      </c>
      <c r="E190" s="2269" t="inlineStr">
        <is>
          <t>https://www.arapahoegov.com/assessor</t>
        </is>
      </c>
      <c r="F190" s="2270" t="inlineStr">
        <is>
          <t>For parcels in central/southern Aurora (Arapahoe County)</t>
        </is>
      </c>
    </row>
    <row r="191" ht="14" customHeight="1" s="1439">
      <c r="A191" s="2271">
        <f>IF(OR(ISNUMBER(SEARCH(LEFT('Property Info'!$B$17,MAX(1,FIND(",",'Property Info'!$B$17&amp;",")-1)),B191)),ISNUMBER(SEARCH('Property Info'!$B$18,B191))),"★ Active",IF(B191="REGIONAL / ALL MUNICIPALITIES","Regional","–"))</f>
        <v/>
      </c>
      <c r="B191" s="2271" t="inlineStr">
        <is>
          <t>Aurora</t>
        </is>
      </c>
      <c r="C191" s="2271" t="inlineStr">
        <is>
          <t>Property Assessment</t>
        </is>
      </c>
      <c r="D191" s="2271" t="inlineStr">
        <is>
          <t>Douglas County Assessor</t>
        </is>
      </c>
      <c r="E191" s="2269" t="inlineStr">
        <is>
          <t>https://www.douglas.co.us/assessor/</t>
        </is>
      </c>
      <c r="F191" s="2272" t="inlineStr">
        <is>
          <t>For parcels in southern Aurora (Douglas County)</t>
        </is>
      </c>
    </row>
    <row r="192" ht="14" customHeight="1" s="1439">
      <c r="A192" s="2268">
        <f>IF(OR(ISNUMBER(SEARCH(LEFT('Property Info'!$B$17,MAX(1,FIND(",",'Property Info'!$B$17&amp;",")-1)),B192)),ISNUMBER(SEARCH('Property Info'!$B$18,B192))),"★ Active",IF(B192="REGIONAL / ALL MUNICIPALITIES","Regional","–"))</f>
        <v/>
      </c>
      <c r="B192" s="2268" t="inlineStr">
        <is>
          <t>Aurora</t>
        </is>
      </c>
      <c r="C192" s="2268" t="inlineStr">
        <is>
          <t>Property Tax / Treasurer</t>
        </is>
      </c>
      <c r="D192" s="2268" t="inlineStr">
        <is>
          <t>Adams County Tax Payment</t>
        </is>
      </c>
      <c r="E192" s="2269" t="inlineStr">
        <is>
          <t>https://adcotax.com/treasurer/web/login.jsp</t>
        </is>
      </c>
      <c r="F192" s="2270" t="inlineStr">
        <is>
          <t>For Adams County parcels</t>
        </is>
      </c>
    </row>
    <row r="193" ht="14" customHeight="1" s="1439">
      <c r="A193" s="2271">
        <f>IF(OR(ISNUMBER(SEARCH(LEFT('Property Info'!$B$17,MAX(1,FIND(",",'Property Info'!$B$17&amp;",")-1)),B193)),ISNUMBER(SEARCH('Property Info'!$B$18,B193))),"★ Active",IF(B193="REGIONAL / ALL MUNICIPALITIES","Regional","–"))</f>
        <v/>
      </c>
      <c r="B193" s="2271" t="inlineStr">
        <is>
          <t>Aurora</t>
        </is>
      </c>
      <c r="C193" s="2271" t="inlineStr">
        <is>
          <t>Property Tax / Treasurer</t>
        </is>
      </c>
      <c r="D193" s="2271" t="inlineStr">
        <is>
          <t>Arapahoe County Treasurer</t>
        </is>
      </c>
      <c r="E193" s="2269" t="inlineStr">
        <is>
          <t>https://www.arapahoegov.com/1053/Treasurer</t>
        </is>
      </c>
      <c r="F193" s="2272" t="inlineStr">
        <is>
          <t>For Arapahoe County parcels</t>
        </is>
      </c>
    </row>
    <row r="194" ht="14" customHeight="1" s="1439">
      <c r="A194" s="2268">
        <f>IF(OR(ISNUMBER(SEARCH(LEFT('Property Info'!$B$17,MAX(1,FIND(",",'Property Info'!$B$17&amp;",")-1)),B194)),ISNUMBER(SEARCH('Property Info'!$B$18,B194))),"★ Active",IF(B194="REGIONAL / ALL MUNICIPALITIES","Regional","–"))</f>
        <v/>
      </c>
      <c r="B194" s="2268" t="inlineStr">
        <is>
          <t>Aurora</t>
        </is>
      </c>
      <c r="C194" s="2268" t="inlineStr">
        <is>
          <t>Property Tax / Treasurer</t>
        </is>
      </c>
      <c r="D194" s="2268" t="inlineStr">
        <is>
          <t>Douglas County Treasurer</t>
        </is>
      </c>
      <c r="E194" s="2269" t="inlineStr">
        <is>
          <t>https://www.douglas.co.us/treasurer/</t>
        </is>
      </c>
      <c r="F194" s="2270" t="inlineStr">
        <is>
          <t>For Douglas County parcels</t>
        </is>
      </c>
    </row>
    <row r="195" ht="14" customHeight="1" s="1439">
      <c r="A195" s="2271">
        <f>IF(OR(ISNUMBER(SEARCH(LEFT('Property Info'!$B$17,MAX(1,FIND(",",'Property Info'!$B$17&amp;",")-1)),B195)),ISNUMBER(SEARCH('Property Info'!$B$18,B195))),"★ Active",IF(B195="REGIONAL / ALL MUNICIPALITIES","Regional","–"))</f>
        <v/>
      </c>
      <c r="B195" s="2271" t="inlineStr">
        <is>
          <t>Aurora</t>
        </is>
      </c>
      <c r="C195" s="2271" t="inlineStr">
        <is>
          <t>Deed / Title Records</t>
        </is>
      </c>
      <c r="D195" s="2271" t="inlineStr">
        <is>
          <t>Adams Co. Landmark Web Document Search</t>
        </is>
      </c>
      <c r="E195" s="2269" t="inlineStr">
        <is>
          <t>https://recording.adcogov.org/landmarkweb</t>
        </is>
      </c>
      <c r="F195" s="2272" t="inlineStr">
        <is>
          <t>For Adams County parcels</t>
        </is>
      </c>
    </row>
    <row r="196" ht="14" customHeight="1" s="1439">
      <c r="A196" s="2268">
        <f>IF(OR(ISNUMBER(SEARCH(LEFT('Property Info'!$B$17,MAX(1,FIND(",",'Property Info'!$B$17&amp;",")-1)),B196)),ISNUMBER(SEARCH('Property Info'!$B$18,B196))),"★ Active",IF(B196="REGIONAL / ALL MUNICIPALITIES","Regional","–"))</f>
        <v/>
      </c>
      <c r="B196" s="2268" t="inlineStr">
        <is>
          <t>Aurora</t>
        </is>
      </c>
      <c r="C196" s="2268" t="inlineStr">
        <is>
          <t>Deed / Title Records</t>
        </is>
      </c>
      <c r="D196" s="2268" t="inlineStr">
        <is>
          <t>Arapahoe County Clerk &amp; Recorder</t>
        </is>
      </c>
      <c r="E196" s="2269" t="inlineStr">
        <is>
          <t>https://www.arapahoegov.com/1043/Clerk-Recorder</t>
        </is>
      </c>
      <c r="F196" s="2270" t="inlineStr">
        <is>
          <t>For Arapahoe County parcels</t>
        </is>
      </c>
    </row>
    <row r="197" ht="14" customHeight="1" s="1439">
      <c r="A197" s="2271">
        <f>IF(OR(ISNUMBER(SEARCH(LEFT('Property Info'!$B$17,MAX(1,FIND(",",'Property Info'!$B$17&amp;",")-1)),B197)),ISNUMBER(SEARCH('Property Info'!$B$18,B197))),"★ Active",IF(B197="REGIONAL / ALL MUNICIPALITIES","Regional","–"))</f>
        <v/>
      </c>
      <c r="B197" s="2271" t="inlineStr">
        <is>
          <t>Aurora</t>
        </is>
      </c>
      <c r="C197" s="2271" t="inlineStr">
        <is>
          <t>GIS / Mapping</t>
        </is>
      </c>
      <c r="D197" s="2271" t="inlineStr">
        <is>
          <t>Aurora Open Data (ArcGIS Hub)</t>
        </is>
      </c>
      <c r="E197" s="2269" t="inlineStr">
        <is>
          <t>https://data-auroraco.opendata.arcgis.com/</t>
        </is>
      </c>
      <c r="F197" s="2272" t="inlineStr">
        <is>
          <t>Downloadable GIS datasets</t>
        </is>
      </c>
    </row>
    <row r="198" ht="14" customHeight="1" s="1439">
      <c r="A198" s="2268">
        <f>IF(OR(ISNUMBER(SEARCH(LEFT('Property Info'!$B$17,MAX(1,FIND(",",'Property Info'!$B$17&amp;",")-1)),B198)),ISNUMBER(SEARCH('Property Info'!$B$18,B198))),"★ Active",IF(B198="REGIONAL / ALL MUNICIPALITIES","Regional","–"))</f>
        <v/>
      </c>
      <c r="B198" s="2268" t="inlineStr">
        <is>
          <t>Aurora</t>
        </is>
      </c>
      <c r="C198" s="2268" t="inlineStr">
        <is>
          <t>GIS / Mapping</t>
        </is>
      </c>
      <c r="D198" s="2268" t="inlineStr">
        <is>
          <t>Aurora Open Data Portal</t>
        </is>
      </c>
      <c r="E198" s="2269" t="inlineStr">
        <is>
          <t>https://opendata-cityofaurora.hub.arcgis.com/</t>
        </is>
      </c>
      <c r="F198" s="2270" t="inlineStr">
        <is>
          <t>Additional open data hub</t>
        </is>
      </c>
    </row>
    <row r="199" ht="14" customHeight="1" s="1439">
      <c r="A199" s="2271">
        <f>IF(OR(ISNUMBER(SEARCH(LEFT('Property Info'!$B$17,MAX(1,FIND(",",'Property Info'!$B$17&amp;",")-1)),B199)),ISNUMBER(SEARCH('Property Info'!$B$18,B199))),"★ Active",IF(B199="REGIONAL / ALL MUNICIPALITIES","Regional","–"))</f>
        <v/>
      </c>
      <c r="B199" s="2271" t="inlineStr">
        <is>
          <t>Aurora</t>
        </is>
      </c>
      <c r="C199" s="2271" t="inlineStr">
        <is>
          <t>GIS / Mapping</t>
        </is>
      </c>
      <c r="D199" s="2271" t="inlineStr">
        <is>
          <t>Maps Page</t>
        </is>
      </c>
      <c r="E199" s="2269" t="inlineStr">
        <is>
          <t>https://www.auroragov.org/city_hall/maps</t>
        </is>
      </c>
      <c r="F199" s="2272" t="inlineStr">
        <is>
          <t>All Aurora map portals</t>
        </is>
      </c>
    </row>
    <row r="200" ht="14" customHeight="1" s="1439">
      <c r="A200" s="2268">
        <f>IF(OR(ISNUMBER(SEARCH(LEFT('Property Info'!$B$17,MAX(1,FIND(",",'Property Info'!$B$17&amp;",")-1)),B200)),ISNUMBER(SEARCH('Property Info'!$B$18,B200))),"★ Active",IF(B200="REGIONAL / ALL MUNICIPALITIES","Regional","–"))</f>
        <v/>
      </c>
      <c r="B200" s="2268" t="inlineStr">
        <is>
          <t>Aurora</t>
        </is>
      </c>
      <c r="C200" s="2268" t="inlineStr">
        <is>
          <t>GIS / Mapping</t>
        </is>
      </c>
      <c r="D200" s="2268" t="inlineStr">
        <is>
          <t>Planning &amp; Zoning Maps</t>
        </is>
      </c>
      <c r="E200" s="2269" t="inlineStr">
        <is>
          <t>https://www.auroragov.org/city_hall/maps/planning_and_zoning_maps</t>
        </is>
      </c>
      <c r="F200" s="2270" t="inlineStr">
        <is>
          <t>Planning and zoning map viewer</t>
        </is>
      </c>
    </row>
    <row r="201" ht="14" customHeight="1" s="1439">
      <c r="A201" s="2271">
        <f>IF(OR(ISNUMBER(SEARCH(LEFT('Property Info'!$B$17,MAX(1,FIND(",",'Property Info'!$B$17&amp;",")-1)),B201)),ISNUMBER(SEARCH('Property Info'!$B$18,B201))),"★ Active",IF(B201="REGIONAL / ALL MUNICIPALITIES","Regional","–"))</f>
        <v/>
      </c>
      <c r="B201" s="2271" t="inlineStr">
        <is>
          <t>Aurora</t>
        </is>
      </c>
      <c r="C201" s="2271" t="inlineStr">
        <is>
          <t>GIS / Mapping</t>
        </is>
      </c>
      <c r="D201" s="2271" t="inlineStr">
        <is>
          <t>Development Maps</t>
        </is>
      </c>
      <c r="E201" s="2269" t="inlineStr">
        <is>
          <t>https://www.auroragov.org/city_hall/maps/development_maps</t>
        </is>
      </c>
      <c r="F201" s="2272" t="inlineStr">
        <is>
          <t>Active development and pipeline maps</t>
        </is>
      </c>
    </row>
    <row r="202" ht="14" customHeight="1" s="1439">
      <c r="A202" s="2268">
        <f>IF(OR(ISNUMBER(SEARCH(LEFT('Property Info'!$B$17,MAX(1,FIND(",",'Property Info'!$B$17&amp;",")-1)),B202)),ISNUMBER(SEARCH('Property Info'!$B$18,B202))),"★ Active",IF(B202="REGIONAL / ALL MUNICIPALITIES","Regional","–"))</f>
        <v/>
      </c>
      <c r="B202" s="2268" t="inlineStr">
        <is>
          <t>Aurora</t>
        </is>
      </c>
      <c r="C202" s="2268" t="inlineStr">
        <is>
          <t>Permits</t>
        </is>
      </c>
      <c r="D202" s="2268" t="inlineStr">
        <is>
          <t>Permits Main Page</t>
        </is>
      </c>
      <c r="E202" s="2269" t="inlineStr">
        <is>
          <t>https://www.auroragov.org/business_services/building_division/permits</t>
        </is>
      </c>
      <c r="F202" s="2270" t="inlineStr">
        <is>
          <t>Building permit info</t>
        </is>
      </c>
    </row>
    <row r="203" ht="14" customHeight="1" s="1439">
      <c r="A203" s="2271">
        <f>IF(OR(ISNUMBER(SEARCH(LEFT('Property Info'!$B$17,MAX(1,FIND(",",'Property Info'!$B$17&amp;",")-1)),B203)),ISNUMBER(SEARCH('Property Info'!$B$18,B203))),"★ Active",IF(B203="REGIONAL / ALL MUNICIPALITIES","Regional","–"))</f>
        <v/>
      </c>
      <c r="B203" s="2271" t="inlineStr">
        <is>
          <t>Aurora</t>
        </is>
      </c>
      <c r="C203" s="2271" t="inlineStr">
        <is>
          <t>Permits</t>
        </is>
      </c>
      <c r="D203" s="2271" t="inlineStr">
        <is>
          <t>Licensing &amp; Permits Maps</t>
        </is>
      </c>
      <c r="E203" s="2269" t="inlineStr">
        <is>
          <t>https://www.auroragov.org/city_hall/maps/licensing_and_permits_maps</t>
        </is>
      </c>
      <c r="F203" s="2272" t="inlineStr">
        <is>
          <t>Permit map viewer</t>
        </is>
      </c>
    </row>
    <row r="204" ht="14" customHeight="1" s="1439">
      <c r="A204" s="2268">
        <f>IF(OR(ISNUMBER(SEARCH(LEFT('Property Info'!$B$17,MAX(1,FIND(",",'Property Info'!$B$17&amp;",")-1)),B204)),ISNUMBER(SEARCH('Property Info'!$B$18,B204))),"★ Active",IF(B204="REGIONAL / ALL MUNICIPALITIES","Regional","–"))</f>
        <v/>
      </c>
      <c r="B204" s="2268" t="inlineStr">
        <is>
          <t>Aurora</t>
        </is>
      </c>
      <c r="C204" s="2268" t="inlineStr">
        <is>
          <t>Permits</t>
        </is>
      </c>
      <c r="D204" s="2268" t="inlineStr">
        <is>
          <t>Building Permit Statistics</t>
        </is>
      </c>
      <c r="E204" s="2269" t="inlineStr">
        <is>
          <t>https://www.auroragov.org/business_services/building_division/building_permit_statistics</t>
        </is>
      </c>
      <c r="F204" s="2270" t="inlineStr">
        <is>
          <t>Permit issuance stats and trends</t>
        </is>
      </c>
    </row>
    <row r="205" ht="14" customHeight="1" s="1439">
      <c r="A205" s="2271">
        <f>IF(OR(ISNUMBER(SEARCH(LEFT('Property Info'!$B$17,MAX(1,FIND(",",'Property Info'!$B$17&amp;",")-1)),B205)),ISNUMBER(SEARCH('Property Info'!$B$18,B205))),"★ Active",IF(B205="REGIONAL / ALL MUNICIPALITIES","Regional","–"))</f>
        <v/>
      </c>
      <c r="B205" s="2271" t="inlineStr">
        <is>
          <t>Aurora</t>
        </is>
      </c>
      <c r="C205" s="2271" t="inlineStr">
        <is>
          <t>Permits</t>
        </is>
      </c>
      <c r="D205" s="2271" t="inlineStr">
        <is>
          <t>Aurora Experience Permit Map (ArcGIS)</t>
        </is>
      </c>
      <c r="E205" s="2269" t="inlineStr">
        <is>
          <t>https://experience.arcgis.com/experience/25e68ba47119437cb4bf6bdeea6fbea4</t>
        </is>
      </c>
      <c r="F205" s="2272" t="inlineStr">
        <is>
          <t>Interactive permit activity map</t>
        </is>
      </c>
    </row>
    <row r="206" ht="14" customHeight="1" s="1439">
      <c r="A206" s="2268">
        <f>IF(OR(ISNUMBER(SEARCH(LEFT('Property Info'!$B$17,MAX(1,FIND(",",'Property Info'!$B$17&amp;",")-1)),B206)),ISNUMBER(SEARCH('Property Info'!$B$18,B206))),"★ Active",IF(B206="REGIONAL / ALL MUNICIPALITIES","Regional","–"))</f>
        <v/>
      </c>
      <c r="B206" s="2268" t="inlineStr">
        <is>
          <t>Aurora</t>
        </is>
      </c>
      <c r="C206" s="2268" t="inlineStr">
        <is>
          <t>Zoning / Planning</t>
        </is>
      </c>
      <c r="D206" s="2268" t="inlineStr">
        <is>
          <t>Zoning Navigator</t>
        </is>
      </c>
      <c r="E206" s="2269" t="inlineStr">
        <is>
          <t>https://zoning.auroragov.org/</t>
        </is>
      </c>
      <c r="F206" s="2270" t="inlineStr">
        <is>
          <t>Primary zoning lookup tool — address-based</t>
        </is>
      </c>
    </row>
    <row r="207" ht="14" customHeight="1" s="1439">
      <c r="A207" s="2271">
        <f>IF(OR(ISNUMBER(SEARCH(LEFT('Property Info'!$B$17,MAX(1,FIND(",",'Property Info'!$B$17&amp;",")-1)),B207)),ISNUMBER(SEARCH('Property Info'!$B$18,B207))),"★ Active",IF(B207="REGIONAL / ALL MUNICIPALITIES","Regional","–"))</f>
        <v/>
      </c>
      <c r="B207" s="2271" t="inlineStr">
        <is>
          <t>Aurora</t>
        </is>
      </c>
      <c r="C207" s="2271" t="inlineStr">
        <is>
          <t>Zoning / Planning</t>
        </is>
      </c>
      <c r="D207" s="2271" t="inlineStr">
        <is>
          <t>Planning &amp; Zoning Maps</t>
        </is>
      </c>
      <c r="E207" s="2269" t="inlineStr">
        <is>
          <t>https://www.auroragov.org/city_hall/maps/planning_and_zoning_maps</t>
        </is>
      </c>
      <c r="F207" s="2272" t="inlineStr">
        <is>
          <t>Planning and zoning map viewer</t>
        </is>
      </c>
    </row>
    <row r="208" ht="14" customHeight="1" s="1439">
      <c r="A208" s="2268">
        <f>IF(OR(ISNUMBER(SEARCH(LEFT('Property Info'!$B$17,MAX(1,FIND(",",'Property Info'!$B$17&amp;",")-1)),B208)),ISNUMBER(SEARCH('Property Info'!$B$18,B208))),"★ Active",IF(B208="REGIONAL / ALL MUNICIPALITIES","Regional","–"))</f>
        <v/>
      </c>
      <c r="B208" s="2268" t="inlineStr">
        <is>
          <t>Aurora</t>
        </is>
      </c>
      <c r="C208" s="2268" t="inlineStr">
        <is>
          <t>Zoning / Planning</t>
        </is>
      </c>
      <c r="D208" s="2268" t="inlineStr">
        <is>
          <t>Comprehensive Plan PlaceTypes (ArcGIS)</t>
        </is>
      </c>
      <c r="E208" s="2269" t="inlineStr">
        <is>
          <t>https://data-auroraco.opendata.arcgis.com/datasets/9cfb0cffe16b41b68e38bcafbc4c037a_153/about</t>
        </is>
      </c>
      <c r="F208" s="2270" t="inlineStr">
        <is>
          <t>Future land use / place types dataset</t>
        </is>
      </c>
    </row>
    <row r="209" ht="14" customHeight="1" s="1439">
      <c r="A209" s="2271">
        <f>IF(OR(ISNUMBER(SEARCH(LEFT('Property Info'!$B$17,MAX(1,FIND(",",'Property Info'!$B$17&amp;",")-1)),B209)),ISNUMBER(SEARCH('Property Info'!$B$18,B209))),"★ Active",IF(B209="REGIONAL / ALL MUNICIPALITIES","Regional","–"))</f>
        <v/>
      </c>
      <c r="B209" s="2271" t="inlineStr">
        <is>
          <t>Aurora</t>
        </is>
      </c>
      <c r="C209" s="2271" t="inlineStr">
        <is>
          <t>Flood Zone</t>
        </is>
      </c>
      <c r="D209" s="2271" t="inlineStr">
        <is>
          <t>FEMA Map Service Center</t>
        </is>
      </c>
      <c r="E209" s="2269" t="inlineStr">
        <is>
          <t>https://msc.fema.gov/</t>
        </is>
      </c>
      <c r="F209" s="2272" t="inlineStr">
        <is>
          <t>Address-specific FEMA FIRM lookup</t>
        </is>
      </c>
    </row>
    <row r="210" ht="14" customHeight="1" s="1439">
      <c r="A210" s="2268">
        <f>IF(OR(ISNUMBER(SEARCH(LEFT('Property Info'!$B$17,MAX(1,FIND(",",'Property Info'!$B$17&amp;",")-1)),B210)),ISNUMBER(SEARCH('Property Info'!$B$18,B210))),"★ Active",IF(B210="REGIONAL / ALL MUNICIPALITIES","Regional","–"))</f>
        <v/>
      </c>
      <c r="B210" s="2268" t="inlineStr">
        <is>
          <t>Aurora</t>
        </is>
      </c>
      <c r="C210" s="2268" t="inlineStr">
        <is>
          <t>Flood Zone</t>
        </is>
      </c>
      <c r="D210" s="2268" t="inlineStr">
        <is>
          <t>Colorado Hazard Mapping / RiskMAP</t>
        </is>
      </c>
      <c r="E210" s="2269" t="inlineStr">
        <is>
          <t>https://coloradohazardmapping.com/hazardMapping/floodplainMapping</t>
        </is>
      </c>
      <c r="F210" s="2270" t="inlineStr">
        <is>
          <t>State-level flood mapping portal</t>
        </is>
      </c>
    </row>
    <row r="211" ht="14" customHeight="1" s="1439">
      <c r="A211" s="2271">
        <f>IF(OR(ISNUMBER(SEARCH(LEFT('Property Info'!$B$17,MAX(1,FIND(",",'Property Info'!$B$17&amp;",")-1)),B211)),ISNUMBER(SEARCH('Property Info'!$B$18,B211))),"★ Active",IF(B211="REGIONAL / ALL MUNICIPALITIES","Regional","–"))</f>
        <v/>
      </c>
      <c r="B211" s="2271" t="inlineStr">
        <is>
          <t>Aurora</t>
        </is>
      </c>
      <c r="C211" s="2271" t="inlineStr">
        <is>
          <t>Economic Development</t>
        </is>
      </c>
      <c r="D211" s="2271" t="inlineStr">
        <is>
          <t>Economic &amp; Business Development</t>
        </is>
      </c>
      <c r="E211" s="2269" t="inlineStr">
        <is>
          <t>https://www.auroragov.org/business_services/economic___business_development</t>
        </is>
      </c>
      <c r="F211" s="2272" t="inlineStr">
        <is>
          <t>City economic development office</t>
        </is>
      </c>
    </row>
    <row r="212" ht="14" customHeight="1" s="1439">
      <c r="A212" s="2268">
        <f>IF(OR(ISNUMBER(SEARCH(LEFT('Property Info'!$B$17,MAX(1,FIND(",",'Property Info'!$B$17&amp;",")-1)),B212)),ISNUMBER(SEARCH('Property Info'!$B$18,B212))),"★ Active",IF(B212="REGIONAL / ALL MUNICIPALITIES","Regional","–"))</f>
        <v/>
      </c>
      <c r="B212" s="2268" t="inlineStr">
        <is>
          <t>Aurora</t>
        </is>
      </c>
      <c r="C212" s="2268" t="inlineStr">
        <is>
          <t>Crime / Safety</t>
        </is>
      </c>
      <c r="D212" s="2268" t="inlineStr">
        <is>
          <t>Crime Data Portal</t>
        </is>
      </c>
      <c r="E212" s="2269" t="inlineStr">
        <is>
          <t>https://www.auroragov.org/residents/public_safety/police/crime_data</t>
        </is>
      </c>
      <c r="F212" s="2270" t="inlineStr">
        <is>
          <t>Transparency and accountability crime data</t>
        </is>
      </c>
    </row>
    <row r="213" ht="14" customHeight="1" s="1439">
      <c r="A213" s="2271">
        <f>IF(OR(ISNUMBER(SEARCH(LEFT('Property Info'!$B$17,MAX(1,FIND(",",'Property Info'!$B$17&amp;",")-1)),B213)),ISNUMBER(SEARCH('Property Info'!$B$18,B213))),"★ Active",IF(B213="REGIONAL / ALL MUNICIPALITIES","Regional","–"))</f>
        <v/>
      </c>
      <c r="B213" s="2271" t="inlineStr">
        <is>
          <t>Aurora</t>
        </is>
      </c>
      <c r="C213" s="2271" t="inlineStr">
        <is>
          <t>Crime / Safety</t>
        </is>
      </c>
      <c r="D213" s="2271" t="inlineStr">
        <is>
          <t>Police and Fire Maps</t>
        </is>
      </c>
      <c r="E213" s="2269" t="inlineStr">
        <is>
          <t>https://www.auroragov.org/city_hall/maps/police_and_fire_maps</t>
        </is>
      </c>
      <c r="F213" s="2272" t="inlineStr">
        <is>
          <t>PD/fire district maps</t>
        </is>
      </c>
    </row>
    <row r="214" ht="14" customHeight="1" s="1439">
      <c r="A214" s="2268">
        <f>IF(OR(ISNUMBER(SEARCH(LEFT('Property Info'!$B$17,MAX(1,FIND(",",'Property Info'!$B$17&amp;",")-1)),B214)),ISNUMBER(SEARCH('Property Info'!$B$18,B214))),"★ Active",IF(B214="REGIONAL / ALL MUNICIPALITIES","Regional","–"))</f>
        <v/>
      </c>
      <c r="B214" s="2268" t="inlineStr">
        <is>
          <t>Aurora</t>
        </is>
      </c>
      <c r="C214" s="2268" t="inlineStr">
        <is>
          <t>Demographics</t>
        </is>
      </c>
      <c r="D214" s="2268" t="inlineStr">
        <is>
          <t>Data &amp; Demographics</t>
        </is>
      </c>
      <c r="E214" s="2269" t="inlineStr">
        <is>
          <t>https://www.auroragov.org/city_hall/about_aurora/data___demographics</t>
        </is>
      </c>
      <c r="F214" s="2270" t="inlineStr">
        <is>
          <t>City demographic and statistical data</t>
        </is>
      </c>
    </row>
    <row r="215" ht="14" customHeight="1" s="1439">
      <c r="A215" s="2271">
        <f>IF(OR(ISNUMBER(SEARCH(LEFT('Property Info'!$B$17,MAX(1,FIND(",",'Property Info'!$B$17&amp;",")-1)),B215)),ISNUMBER(SEARCH('Property Info'!$B$18,B215))),"★ Active",IF(B215="REGIONAL / ALL MUNICIPALITIES","Regional","–"))</f>
        <v/>
      </c>
      <c r="B215" s="2271" t="inlineStr">
        <is>
          <t>Aurora</t>
        </is>
      </c>
      <c r="C215" s="2271" t="inlineStr">
        <is>
          <t>Short-Term Rental</t>
        </is>
      </c>
      <c r="D215" s="2271" t="inlineStr">
        <is>
          <t>STR Info / FAQ</t>
        </is>
      </c>
      <c r="E215" s="2269" t="inlineStr">
        <is>
          <t>https://www.auroragov.org/common/pages/GetFile.ashx?key=0Fc6ARWp</t>
        </is>
      </c>
      <c r="F215" s="2272" t="inlineStr">
        <is>
          <t>STR rules: primary residence only; $43 initial / $26 renewal; 8% lodger's tax</t>
        </is>
      </c>
    </row>
    <row r="216" ht="14" customHeight="1" s="1439">
      <c r="A216" s="2268">
        <f>IF(OR(ISNUMBER(SEARCH(LEFT('Property Info'!$B$17,MAX(1,FIND(",",'Property Info'!$B$17&amp;",")-1)),B216)),ISNUMBER(SEARCH('Property Info'!$B$18,B216))),"★ Active",IF(B216="REGIONAL / ALL MUNICIPALITIES","Regional","–"))</f>
        <v/>
      </c>
      <c r="B216" s="2268" t="inlineStr">
        <is>
          <t>Aurora</t>
        </is>
      </c>
      <c r="C216" s="2268" t="inlineStr">
        <is>
          <t>School Districts</t>
        </is>
      </c>
      <c r="D216" s="2268" t="inlineStr">
        <is>
          <t>Aurora Public Schools</t>
        </is>
      </c>
      <c r="E216" s="2269" t="inlineStr">
        <is>
          <t>https://www.aurorak12.org/</t>
        </is>
      </c>
      <c r="F216" s="2270" t="inlineStr">
        <is>
          <t>Primary district for most of Aurora</t>
        </is>
      </c>
    </row>
    <row r="217" ht="14" customHeight="1" s="1439">
      <c r="A217" s="2271">
        <f>IF(OR(ISNUMBER(SEARCH(LEFT('Property Info'!$B$17,MAX(1,FIND(",",'Property Info'!$B$17&amp;",")-1)),B217)),ISNUMBER(SEARCH('Property Info'!$B$18,B217))),"★ Active",IF(B217="REGIONAL / ALL MUNICIPALITIES","Regional","–"))</f>
        <v/>
      </c>
      <c r="B217" s="2271" t="inlineStr">
        <is>
          <t>Aurora</t>
        </is>
      </c>
      <c r="C217" s="2271" t="inlineStr">
        <is>
          <t>School Districts</t>
        </is>
      </c>
      <c r="D217" s="2271" t="inlineStr">
        <is>
          <t>Cherry Creek School District</t>
        </is>
      </c>
      <c r="E217" s="2269" t="inlineStr">
        <is>
          <t>https://www.cherrycreekschools.org/</t>
        </is>
      </c>
      <c r="F217" s="2272" t="inlineStr">
        <is>
          <t>Serves parts of Aurora (Arapahoe Co. portion)</t>
        </is>
      </c>
    </row>
    <row r="218" ht="14" customHeight="1" s="1439">
      <c r="A218" s="2268">
        <f>IF(OR(ISNUMBER(SEARCH(LEFT('Property Info'!$B$17,MAX(1,FIND(",",'Property Info'!$B$17&amp;",")-1)),B218)),ISNUMBER(SEARCH('Property Info'!$B$18,B218))),"★ Active",IF(B218="REGIONAL / ALL MUNICIPALITIES","Regional","–"))</f>
        <v/>
      </c>
      <c r="B218" s="2268" t="inlineStr">
        <is>
          <t>Aurora</t>
        </is>
      </c>
      <c r="C218" s="2268" t="inlineStr">
        <is>
          <t>School Districts</t>
        </is>
      </c>
      <c r="D218" s="2268" t="inlineStr">
        <is>
          <t>Adams 12 Five Star Schools</t>
        </is>
      </c>
      <c r="E218" s="2269" t="inlineStr">
        <is>
          <t>https://www.adams12.org/</t>
        </is>
      </c>
      <c r="F218" s="2270" t="inlineStr">
        <is>
          <t>Serves northern Aurora (Adams Co. portion)</t>
        </is>
      </c>
    </row>
    <row r="219" ht="14" customHeight="1" s="1439">
      <c r="A219" s="2271">
        <f>IF(OR(ISNUMBER(SEARCH(LEFT('Property Info'!$B$17,MAX(1,FIND(",",'Property Info'!$B$17&amp;",")-1)),B219)),ISNUMBER(SEARCH('Property Info'!$B$18,B219))),"★ Active",IF(B219="REGIONAL / ALL MUNICIPALITIES","Regional","–"))</f>
        <v/>
      </c>
      <c r="B219" s="2271" t="inlineStr">
        <is>
          <t>Bennett</t>
        </is>
      </c>
      <c r="C219" s="2271" t="inlineStr">
        <is>
          <t>Property Assessment</t>
        </is>
      </c>
      <c r="D219" s="2271" t="inlineStr">
        <is>
          <t>Adams County Assessor (Property Lookup)</t>
        </is>
      </c>
      <c r="E219" s="2269" t="inlineStr">
        <is>
          <t>https://adcogov.org/property-look</t>
        </is>
      </c>
      <c r="F219" s="2272" t="inlineStr">
        <is>
          <t>Bennett is fully within Adams County</t>
        </is>
      </c>
    </row>
    <row r="220" ht="14" customHeight="1" s="1439">
      <c r="A220" s="2268">
        <f>IF(OR(ISNUMBER(SEARCH(LEFT('Property Info'!$B$17,MAX(1,FIND(",",'Property Info'!$B$17&amp;",")-1)),B220)),ISNUMBER(SEARCH('Property Info'!$B$18,B220))),"★ Active",IF(B220="REGIONAL / ALL MUNICIPALITIES","Regional","–"))</f>
        <v/>
      </c>
      <c r="B220" s="2268" t="inlineStr">
        <is>
          <t>Bennett</t>
        </is>
      </c>
      <c r="C220" s="2268" t="inlineStr">
        <is>
          <t>Property Tax / Treasurer</t>
        </is>
      </c>
      <c r="D220" s="2268" t="inlineStr">
        <is>
          <t>Online Tax Payment</t>
        </is>
      </c>
      <c r="E220" s="2269" t="inlineStr">
        <is>
          <t>https://adcotax.com/treasurer/web/login.jsp</t>
        </is>
      </c>
      <c r="F220" s="2270" t="inlineStr">
        <is>
          <t>Adams County tax payment portal</t>
        </is>
      </c>
    </row>
    <row r="221" ht="14" customHeight="1" s="1439">
      <c r="A221" s="2271">
        <f>IF(OR(ISNUMBER(SEARCH(LEFT('Property Info'!$B$17,MAX(1,FIND(",",'Property Info'!$B$17&amp;",")-1)),B221)),ISNUMBER(SEARCH('Property Info'!$B$18,B221))),"★ Active",IF(B221="REGIONAL / ALL MUNICIPALITIES","Regional","–"))</f>
        <v/>
      </c>
      <c r="B221" s="2271" t="inlineStr">
        <is>
          <t>Bennett</t>
        </is>
      </c>
      <c r="C221" s="2271" t="inlineStr">
        <is>
          <t>Property Tax / Treasurer</t>
        </is>
      </c>
      <c r="D221" s="2271" t="inlineStr">
        <is>
          <t>Property Tax Inquiry</t>
        </is>
      </c>
      <c r="E221" s="2269" t="inlineStr">
        <is>
          <t>https://adamsil.devnetwedge.com/</t>
        </is>
      </c>
      <c r="F221" s="2272" t="inlineStr">
        <is>
          <t>Tax balance and history lookup</t>
        </is>
      </c>
    </row>
    <row r="222" ht="14" customHeight="1" s="1439">
      <c r="A222" s="2268">
        <f>IF(OR(ISNUMBER(SEARCH(LEFT('Property Info'!$B$17,MAX(1,FIND(",",'Property Info'!$B$17&amp;",")-1)),B222)),ISNUMBER(SEARCH('Property Info'!$B$18,B222))),"★ Active",IF(B222="REGIONAL / ALL MUNICIPALITIES","Regional","–"))</f>
        <v/>
      </c>
      <c r="B222" s="2268" t="inlineStr">
        <is>
          <t>Bennett</t>
        </is>
      </c>
      <c r="C222" s="2268" t="inlineStr">
        <is>
          <t>Deed / Title Records</t>
        </is>
      </c>
      <c r="D222" s="2268" t="inlineStr">
        <is>
          <t>Landmark Web Document Search</t>
        </is>
      </c>
      <c r="E222" s="2269" t="inlineStr">
        <is>
          <t>https://recording.adcogov.org/landmarkweb</t>
        </is>
      </c>
      <c r="F222" s="2270" t="inlineStr">
        <is>
          <t>Adams County deed/title records</t>
        </is>
      </c>
    </row>
    <row r="223" ht="14" customHeight="1" s="1439">
      <c r="A223" s="2271">
        <f>IF(OR(ISNUMBER(SEARCH(LEFT('Property Info'!$B$17,MAX(1,FIND(",",'Property Info'!$B$17&amp;",")-1)),B223)),ISNUMBER(SEARCH('Property Info'!$B$18,B223))),"★ Active",IF(B223="REGIONAL / ALL MUNICIPALITIES","Regional","–"))</f>
        <v/>
      </c>
      <c r="B223" s="2271" t="inlineStr">
        <is>
          <t>Bennett</t>
        </is>
      </c>
      <c r="C223" s="2271" t="inlineStr">
        <is>
          <t>GIS / Mapping</t>
        </is>
      </c>
      <c r="D223" s="2271" t="inlineStr">
        <is>
          <t>Bennett Zoning Map</t>
        </is>
      </c>
      <c r="E223" s="2269" t="inlineStr">
        <is>
          <t>https://www.bennettco.gov/business/page/bennett-zoning-map</t>
        </is>
      </c>
      <c r="F223" s="2272" t="inlineStr">
        <is>
          <t>Official zoning map</t>
        </is>
      </c>
    </row>
    <row r="224" ht="14" customHeight="1" s="1439">
      <c r="A224" s="2268">
        <f>IF(OR(ISNUMBER(SEARCH(LEFT('Property Info'!$B$17,MAX(1,FIND(",",'Property Info'!$B$17&amp;",")-1)),B224)),ISNUMBER(SEARCH('Property Info'!$B$18,B224))),"★ Active",IF(B224="REGIONAL / ALL MUNICIPALITIES","Regional","–"))</f>
        <v/>
      </c>
      <c r="B224" s="2268" t="inlineStr">
        <is>
          <t>Bennett</t>
        </is>
      </c>
      <c r="C224" s="2268" t="inlineStr">
        <is>
          <t>GIS / Mapping</t>
        </is>
      </c>
      <c r="D224" s="2268" t="inlineStr">
        <is>
          <t>Interactive ArcGIS Map</t>
        </is>
      </c>
      <c r="E224" s="2269" t="inlineStr">
        <is>
          <t>https://www.arcgis.com/apps/webappviewer/index.html?id=d36fe1b73c514d29ba9b6d2d818e183e</t>
        </is>
      </c>
      <c r="F224" s="2270" t="inlineStr">
        <is>
          <t>Interactive city map</t>
        </is>
      </c>
    </row>
    <row r="225" ht="14" customHeight="1" s="1439">
      <c r="A225" s="2271">
        <f>IF(OR(ISNUMBER(SEARCH(LEFT('Property Info'!$B$17,MAX(1,FIND(",",'Property Info'!$B$17&amp;",")-1)),B225)),ISNUMBER(SEARCH('Property Info'!$B$18,B225))),"★ Active",IF(B225="REGIONAL / ALL MUNICIPALITIES","Regional","–"))</f>
        <v/>
      </c>
      <c r="B225" s="2271" t="inlineStr">
        <is>
          <t>Bennett</t>
        </is>
      </c>
      <c r="C225" s="2271" t="inlineStr">
        <is>
          <t>GIS / Mapping</t>
        </is>
      </c>
      <c r="D225" s="2271" t="inlineStr">
        <is>
          <t>2021 Comp Plan (ArcGIS Experience)</t>
        </is>
      </c>
      <c r="E225" s="2269" t="inlineStr">
        <is>
          <t>https://experience.arcgis.com/experience/3d3babff4d9e4ac998d13ed805412374</t>
        </is>
      </c>
      <c r="F225" s="2272" t="inlineStr">
        <is>
          <t>Comprehensive plan interactive viewer</t>
        </is>
      </c>
    </row>
    <row r="226" ht="14" customHeight="1" s="1439">
      <c r="A226" s="2268">
        <f>IF(OR(ISNUMBER(SEARCH(LEFT('Property Info'!$B$17,MAX(1,FIND(",",'Property Info'!$B$17&amp;",")-1)),B226)),ISNUMBER(SEARCH('Property Info'!$B$18,B226))),"★ Active",IF(B226="REGIONAL / ALL MUNICIPALITIES","Regional","–"))</f>
        <v/>
      </c>
      <c r="B226" s="2268" t="inlineStr">
        <is>
          <t>Bennett</t>
        </is>
      </c>
      <c r="C226" s="2268" t="inlineStr">
        <is>
          <t>Permits</t>
        </is>
      </c>
      <c r="D226" s="2268" t="inlineStr">
        <is>
          <t>Building Department</t>
        </is>
      </c>
      <c r="E226" s="2269" t="inlineStr">
        <is>
          <t>https://www.bennettco.gov/community-development/page/building-department</t>
        </is>
      </c>
      <c r="F226" s="2270" t="inlineStr">
        <is>
          <t>Building permits info</t>
        </is>
      </c>
    </row>
    <row r="227" ht="14" customHeight="1" s="1439">
      <c r="A227" s="2271">
        <f>IF(OR(ISNUMBER(SEARCH(LEFT('Property Info'!$B$17,MAX(1,FIND(",",'Property Info'!$B$17&amp;",")-1)),B227)),ISNUMBER(SEARCH('Property Info'!$B$18,B227))),"★ Active",IF(B227="REGIONAL / ALL MUNICIPALITIES","Regional","–"))</f>
        <v/>
      </c>
      <c r="B227" s="2271" t="inlineStr">
        <is>
          <t>Bennett</t>
        </is>
      </c>
      <c r="C227" s="2271" t="inlineStr">
        <is>
          <t>Permits</t>
        </is>
      </c>
      <c r="D227" s="2271" t="inlineStr">
        <is>
          <t>SmartGov Public Portal</t>
        </is>
      </c>
      <c r="E227" s="2269" t="inlineStr">
        <is>
          <t>https://twn-bennett-co.smartgovcommunity.com/</t>
        </is>
      </c>
      <c r="F227" s="2272" t="inlineStr">
        <is>
          <t>Online permit applications and search</t>
        </is>
      </c>
    </row>
    <row r="228" ht="14" customHeight="1" s="1439">
      <c r="A228" s="2268">
        <f>IF(OR(ISNUMBER(SEARCH(LEFT('Property Info'!$B$17,MAX(1,FIND(",",'Property Info'!$B$17&amp;",")-1)),B228)),ISNUMBER(SEARCH('Property Info'!$B$18,B228))),"★ Active",IF(B228="REGIONAL / ALL MUNICIPALITIES","Regional","–"))</f>
        <v/>
      </c>
      <c r="B228" s="2268" t="inlineStr">
        <is>
          <t>Bennett</t>
        </is>
      </c>
      <c r="C228" s="2268" t="inlineStr">
        <is>
          <t>Permits</t>
        </is>
      </c>
      <c r="D228" s="2268" t="inlineStr">
        <is>
          <t>Development Page</t>
        </is>
      </c>
      <c r="E228" s="2269" t="inlineStr">
        <is>
          <t>https://www.bennettco.gov/development</t>
        </is>
      </c>
      <c r="F228" s="2270" t="inlineStr">
        <is>
          <t>Development resources</t>
        </is>
      </c>
    </row>
    <row r="229" ht="14" customHeight="1" s="1439">
      <c r="A229" s="2271">
        <f>IF(OR(ISNUMBER(SEARCH(LEFT('Property Info'!$B$17,MAX(1,FIND(",",'Property Info'!$B$17&amp;",")-1)),B229)),ISNUMBER(SEARCH('Property Info'!$B$18,B229))),"★ Active",IF(B229="REGIONAL / ALL MUNICIPALITIES","Regional","–"))</f>
        <v/>
      </c>
      <c r="B229" s="2271" t="inlineStr">
        <is>
          <t>Bennett</t>
        </is>
      </c>
      <c r="C229" s="2271" t="inlineStr">
        <is>
          <t>Zoning / Planning</t>
        </is>
      </c>
      <c r="D229" s="2271" t="inlineStr">
        <is>
          <t>Planning and Zoning</t>
        </is>
      </c>
      <c r="E229" s="2269" t="inlineStr">
        <is>
          <t>https://www.bennettco.gov/planning-economic-development/page/planning-and-zoning</t>
        </is>
      </c>
      <c r="F229" s="2272" t="inlineStr">
        <is>
          <t>Zoning department</t>
        </is>
      </c>
    </row>
    <row r="230" ht="14" customHeight="1" s="1439">
      <c r="A230" s="2268">
        <f>IF(OR(ISNUMBER(SEARCH(LEFT('Property Info'!$B$17,MAX(1,FIND(",",'Property Info'!$B$17&amp;",")-1)),B230)),ISNUMBER(SEARCH('Property Info'!$B$18,B230))),"★ Active",IF(B230="REGIONAL / ALL MUNICIPALITIES","Regional","–"))</f>
        <v/>
      </c>
      <c r="B230" s="2268" t="inlineStr">
        <is>
          <t>Bennett</t>
        </is>
      </c>
      <c r="C230" s="2268" t="inlineStr">
        <is>
          <t>Zoning / Planning</t>
        </is>
      </c>
      <c r="D230" s="2268" t="inlineStr">
        <is>
          <t>Planning &amp; Economic Development Dept</t>
        </is>
      </c>
      <c r="E230" s="2269" t="inlineStr">
        <is>
          <t>https://www.bennettco.gov/planning-economic-development</t>
        </is>
      </c>
      <c r="F230" s="2270" t="inlineStr">
        <is>
          <t>Planning and econ dev combined</t>
        </is>
      </c>
    </row>
    <row r="231" ht="14" customHeight="1" s="1439">
      <c r="A231" s="2271">
        <f>IF(OR(ISNUMBER(SEARCH(LEFT('Property Info'!$B$17,MAX(1,FIND(",",'Property Info'!$B$17&amp;",")-1)),B231)),ISNUMBER(SEARCH('Property Info'!$B$18,B231))),"★ Active",IF(B231="REGIONAL / ALL MUNICIPALITIES","Regional","–"))</f>
        <v/>
      </c>
      <c r="B231" s="2271" t="inlineStr">
        <is>
          <t>Bennett</t>
        </is>
      </c>
      <c r="C231" s="2271" t="inlineStr">
        <is>
          <t>Flood Zone</t>
        </is>
      </c>
      <c r="D231" s="2271" t="inlineStr">
        <is>
          <t>FEMA Map Service Center</t>
        </is>
      </c>
      <c r="E231" s="2269" t="inlineStr">
        <is>
          <t>https://msc.fema.gov/</t>
        </is>
      </c>
      <c r="F231" s="2272" t="inlineStr">
        <is>
          <t>Address-specific FEMA FIRM lookup</t>
        </is>
      </c>
    </row>
    <row r="232" ht="14" customHeight="1" s="1439">
      <c r="A232" s="2268">
        <f>IF(OR(ISNUMBER(SEARCH(LEFT('Property Info'!$B$17,MAX(1,FIND(",",'Property Info'!$B$17&amp;",")-1)),B232)),ISNUMBER(SEARCH('Property Info'!$B$18,B232))),"★ Active",IF(B232="REGIONAL / ALL MUNICIPALITIES","Regional","–"))</f>
        <v/>
      </c>
      <c r="B232" s="2268" t="inlineStr">
        <is>
          <t>Bennett</t>
        </is>
      </c>
      <c r="C232" s="2268" t="inlineStr">
        <is>
          <t>Flood Zone</t>
        </is>
      </c>
      <c r="D232" s="2268" t="inlineStr">
        <is>
          <t>Adams County Floodplain Management</t>
        </is>
      </c>
      <c r="E232" s="2269" t="inlineStr">
        <is>
          <t>https://adamscountyco.gov/our-county/community-economic-development/floodplain-management/</t>
        </is>
      </c>
      <c r="F232" s="2270" t="inlineStr">
        <is>
          <t>County floodplain resources</t>
        </is>
      </c>
    </row>
    <row r="233" ht="14" customHeight="1" s="1439">
      <c r="A233" s="2271">
        <f>IF(OR(ISNUMBER(SEARCH(LEFT('Property Info'!$B$17,MAX(1,FIND(",",'Property Info'!$B$17&amp;",")-1)),B233)),ISNUMBER(SEARCH('Property Info'!$B$18,B233))),"★ Active",IF(B233="REGIONAL / ALL MUNICIPALITIES","Regional","–"))</f>
        <v/>
      </c>
      <c r="B233" s="2271" t="inlineStr">
        <is>
          <t>Bennett</t>
        </is>
      </c>
      <c r="C233" s="2271" t="inlineStr">
        <is>
          <t>Economic Development</t>
        </is>
      </c>
      <c r="D233" s="2271" t="inlineStr">
        <is>
          <t>Why Bennett (Econ Dev Portal)</t>
        </is>
      </c>
      <c r="E233" s="2269" t="inlineStr">
        <is>
          <t>https://whybennett.colorado.gov/</t>
        </is>
      </c>
      <c r="F233" s="2272" t="inlineStr">
        <is>
          <t>Business attraction and site selection</t>
        </is>
      </c>
    </row>
    <row r="234" ht="14" customHeight="1" s="1439">
      <c r="A234" s="2268">
        <f>IF(OR(ISNUMBER(SEARCH(LEFT('Property Info'!$B$17,MAX(1,FIND(",",'Property Info'!$B$17&amp;",")-1)),B234)),ISNUMBER(SEARCH('Property Info'!$B$18,B234))),"★ Active",IF(B234="REGIONAL / ALL MUNICIPALITIES","Regional","–"))</f>
        <v/>
      </c>
      <c r="B234" s="2268" t="inlineStr">
        <is>
          <t>Bennett</t>
        </is>
      </c>
      <c r="C234" s="2268" t="inlineStr">
        <is>
          <t>Economic Development</t>
        </is>
      </c>
      <c r="D234" s="2268" t="inlineStr">
        <is>
          <t>Infrastructure &amp; Utilities (Why Bennett)</t>
        </is>
      </c>
      <c r="E234" s="2269" t="inlineStr">
        <is>
          <t>https://whybennett.colorado.gov/infrastructure-and-utilities</t>
        </is>
      </c>
      <c r="F234" s="2270" t="inlineStr">
        <is>
          <t>Utility and infrastructure info for investors</t>
        </is>
      </c>
    </row>
    <row r="235" ht="14" customHeight="1" s="1439">
      <c r="A235" s="2271">
        <f>IF(OR(ISNUMBER(SEARCH(LEFT('Property Info'!$B$17,MAX(1,FIND(",",'Property Info'!$B$17&amp;",")-1)),B235)),ISNUMBER(SEARCH('Property Info'!$B$18,B235))),"★ Active",IF(B235="REGIONAL / ALL MUNICIPALITIES","Regional","–"))</f>
        <v/>
      </c>
      <c r="B235" s="2271" t="inlineStr">
        <is>
          <t>Bennett</t>
        </is>
      </c>
      <c r="C235" s="2271" t="inlineStr">
        <is>
          <t>Utilities</t>
        </is>
      </c>
      <c r="D235" s="2271" t="inlineStr">
        <is>
          <t>Utilities</t>
        </is>
      </c>
      <c r="E235" s="2269" t="inlineStr">
        <is>
          <t>https://www.bennettco.gov/site-selection/page/utilities</t>
        </is>
      </c>
      <c r="F235" s="2272" t="inlineStr">
        <is>
          <t>Town water/wastewater utilities</t>
        </is>
      </c>
    </row>
    <row r="236" ht="14" customHeight="1" s="1439">
      <c r="A236" s="2268">
        <f>IF(OR(ISNUMBER(SEARCH(LEFT('Property Info'!$B$17,MAX(1,FIND(",",'Property Info'!$B$17&amp;",")-1)),B236)),ISNUMBER(SEARCH('Property Info'!$B$18,B236))),"★ Active",IF(B236="REGIONAL / ALL MUNICIPALITIES","Regional","–"))</f>
        <v/>
      </c>
      <c r="B236" s="2268" t="inlineStr">
        <is>
          <t>Bennett</t>
        </is>
      </c>
      <c r="C236" s="2268" t="inlineStr">
        <is>
          <t>School Districts</t>
        </is>
      </c>
      <c r="D236" s="2268" t="inlineStr">
        <is>
          <t>Bennett School District 29J</t>
        </is>
      </c>
      <c r="E236" s="2269" t="inlineStr">
        <is>
          <t>https://www.bsd29j.com/</t>
        </is>
      </c>
      <c r="F236" s="2270" t="inlineStr">
        <is>
          <t>Local school district for Bennett</t>
        </is>
      </c>
    </row>
    <row r="237" ht="14" customHeight="1" s="1439">
      <c r="A237" s="2271">
        <f>IF(OR(ISNUMBER(SEARCH(LEFT('Property Info'!$B$17,MAX(1,FIND(",",'Property Info'!$B$17&amp;",")-1)),B237)),ISNUMBER(SEARCH('Property Info'!$B$18,B237))),"★ Active",IF(B237="REGIONAL / ALL MUNICIPALITIES","Regional","–"))</f>
        <v/>
      </c>
      <c r="B237" s="2271" t="inlineStr">
        <is>
          <t>Lochbuie</t>
        </is>
      </c>
      <c r="C237" s="2271" t="inlineStr">
        <is>
          <t>Property Assessment</t>
        </is>
      </c>
      <c r="D237" s="2271" t="inlineStr">
        <is>
          <t>Adams County Assessor (Adams Co. portion)</t>
        </is>
      </c>
      <c r="E237" s="2269" t="inlineStr">
        <is>
          <t>https://adcogov.org/property-look</t>
        </is>
      </c>
      <c r="F237" s="2272" t="inlineStr">
        <is>
          <t>For Adams County parcels in Lochbuie</t>
        </is>
      </c>
    </row>
    <row r="238" ht="14" customHeight="1" s="1439">
      <c r="A238" s="2268">
        <f>IF(OR(ISNUMBER(SEARCH(LEFT('Property Info'!$B$17,MAX(1,FIND(",",'Property Info'!$B$17&amp;",")-1)),B238)),ISNUMBER(SEARCH('Property Info'!$B$18,B238))),"★ Active",IF(B238="REGIONAL / ALL MUNICIPALITIES","Regional","–"))</f>
        <v/>
      </c>
      <c r="B238" s="2268" t="inlineStr">
        <is>
          <t>Lochbuie</t>
        </is>
      </c>
      <c r="C238" s="2268" t="inlineStr">
        <is>
          <t>Property Assessment</t>
        </is>
      </c>
      <c r="D238" s="2268" t="inlineStr">
        <is>
          <t>Weld County Assessor (Weld Co. portion)</t>
        </is>
      </c>
      <c r="E238" s="2269" t="inlineStr">
        <is>
          <t>https://www.weld.gov/Government/Departments/Assessor/Property-Data-Search</t>
        </is>
      </c>
      <c r="F238" s="2270" t="inlineStr">
        <is>
          <t>For Weld County parcels in Lochbuie</t>
        </is>
      </c>
    </row>
    <row r="239" ht="14" customHeight="1" s="1439">
      <c r="A239" s="2271">
        <f>IF(OR(ISNUMBER(SEARCH(LEFT('Property Info'!$B$17,MAX(1,FIND(",",'Property Info'!$B$17&amp;",")-1)),B239)),ISNUMBER(SEARCH('Property Info'!$B$18,B239))),"★ Active",IF(B239="REGIONAL / ALL MUNICIPALITIES","Regional","–"))</f>
        <v/>
      </c>
      <c r="B239" s="2271" t="inlineStr">
        <is>
          <t>Lochbuie</t>
        </is>
      </c>
      <c r="C239" s="2271" t="inlineStr">
        <is>
          <t>Property Tax / Treasurer</t>
        </is>
      </c>
      <c r="D239" s="2271" t="inlineStr">
        <is>
          <t>Adams County Tax Payment (Adams Co. portion)</t>
        </is>
      </c>
      <c r="E239" s="2269" t="inlineStr">
        <is>
          <t>https://adcotax.com/treasurer/web/login.jsp</t>
        </is>
      </c>
      <c r="F239" s="2272" t="inlineStr">
        <is>
          <t>For Adams County parcels</t>
        </is>
      </c>
    </row>
    <row r="240" ht="14" customHeight="1" s="1439">
      <c r="A240" s="2268">
        <f>IF(OR(ISNUMBER(SEARCH(LEFT('Property Info'!$B$17,MAX(1,FIND(",",'Property Info'!$B$17&amp;",")-1)),B240)),ISNUMBER(SEARCH('Property Info'!$B$18,B240))),"★ Active",IF(B240="REGIONAL / ALL MUNICIPALITIES","Regional","–"))</f>
        <v/>
      </c>
      <c r="B240" s="2268" t="inlineStr">
        <is>
          <t>Lochbuie</t>
        </is>
      </c>
      <c r="C240" s="2268" t="inlineStr">
        <is>
          <t>Property Tax / Treasurer</t>
        </is>
      </c>
      <c r="D240" s="2268" t="inlineStr">
        <is>
          <t>Weld County Treasurer (Weld Co. portion)</t>
        </is>
      </c>
      <c r="E240" s="2269" t="inlineStr">
        <is>
          <t>https://www.weldgov.com/departments/treasurer</t>
        </is>
      </c>
      <c r="F240" s="2270" t="inlineStr">
        <is>
          <t>For Weld County parcels</t>
        </is>
      </c>
    </row>
    <row r="241" ht="14" customHeight="1" s="1439">
      <c r="A241" s="2271">
        <f>IF(OR(ISNUMBER(SEARCH(LEFT('Property Info'!$B$17,MAX(1,FIND(",",'Property Info'!$B$17&amp;",")-1)),B241)),ISNUMBER(SEARCH('Property Info'!$B$18,B241))),"★ Active",IF(B241="REGIONAL / ALL MUNICIPALITIES","Regional","–"))</f>
        <v/>
      </c>
      <c r="B241" s="2271" t="inlineStr">
        <is>
          <t>Lochbuie</t>
        </is>
      </c>
      <c r="C241" s="2271" t="inlineStr">
        <is>
          <t>Deed / Title Records</t>
        </is>
      </c>
      <c r="D241" s="2271" t="inlineStr">
        <is>
          <t>Adams Co. Landmark Web Document Search</t>
        </is>
      </c>
      <c r="E241" s="2269" t="inlineStr">
        <is>
          <t>https://recording.adcogov.org/landmarkweb</t>
        </is>
      </c>
      <c r="F241" s="2272" t="inlineStr">
        <is>
          <t>For Adams County parcels</t>
        </is>
      </c>
    </row>
    <row r="242" ht="14" customHeight="1" s="1439">
      <c r="A242" s="2268">
        <f>IF(OR(ISNUMBER(SEARCH(LEFT('Property Info'!$B$17,MAX(1,FIND(",",'Property Info'!$B$17&amp;",")-1)),B242)),ISNUMBER(SEARCH('Property Info'!$B$18,B242))),"★ Active",IF(B242="REGIONAL / ALL MUNICIPALITIES","Regional","–"))</f>
        <v/>
      </c>
      <c r="B242" s="2268" t="inlineStr">
        <is>
          <t>Lochbuie</t>
        </is>
      </c>
      <c r="C242" s="2268" t="inlineStr">
        <is>
          <t>Deed / Title Records</t>
        </is>
      </c>
      <c r="D242" s="2268" t="inlineStr">
        <is>
          <t>Weld County Clerk &amp; Recorder</t>
        </is>
      </c>
      <c r="E242" s="2269" t="inlineStr">
        <is>
          <t>https://www.weld.gov/Government/Departments/Clerk-Recorder</t>
        </is>
      </c>
      <c r="F242" s="2270" t="inlineStr">
        <is>
          <t>For Weld County parcels</t>
        </is>
      </c>
    </row>
    <row r="243" ht="14" customHeight="1" s="1439">
      <c r="A243" s="2271">
        <f>IF(OR(ISNUMBER(SEARCH(LEFT('Property Info'!$B$17,MAX(1,FIND(",",'Property Info'!$B$17&amp;",")-1)),B243)),ISNUMBER(SEARCH('Property Info'!$B$18,B243))),"★ Active",IF(B243="REGIONAL / ALL MUNICIPALITIES","Regional","–"))</f>
        <v/>
      </c>
      <c r="B243" s="2271" t="inlineStr">
        <is>
          <t>Lochbuie</t>
        </is>
      </c>
      <c r="C243" s="2271" t="inlineStr">
        <is>
          <t>GIS / Mapping</t>
        </is>
      </c>
      <c r="D243" s="2271" t="inlineStr">
        <is>
          <t>Zoning Map</t>
        </is>
      </c>
      <c r="E243" s="2269" t="inlineStr">
        <is>
          <t>https://www.lochbuie.org/administration/page/zoning-map</t>
        </is>
      </c>
      <c r="F243" s="2272" t="inlineStr">
        <is>
          <t>Official town zoning map</t>
        </is>
      </c>
    </row>
    <row r="244" ht="14" customHeight="1" s="1439">
      <c r="A244" s="2268">
        <f>IF(OR(ISNUMBER(SEARCH(LEFT('Property Info'!$B$17,MAX(1,FIND(",",'Property Info'!$B$17&amp;",")-1)),B244)),ISNUMBER(SEARCH('Property Info'!$B$18,B244))),"★ Active",IF(B244="REGIONAL / ALL MUNICIPALITIES","Regional","–"))</f>
        <v/>
      </c>
      <c r="B244" s="2268" t="inlineStr">
        <is>
          <t>Lochbuie</t>
        </is>
      </c>
      <c r="C244" s="2268" t="inlineStr">
        <is>
          <t>Permits</t>
        </is>
      </c>
      <c r="D244" s="2268" t="inlineStr">
        <is>
          <t>Building Permits &amp; Inspections</t>
        </is>
      </c>
      <c r="E244" s="2269" t="inlineStr">
        <is>
          <t>https://www.lochbuie.org/community-dev/page/building-permits-and-inspections</t>
        </is>
      </c>
      <c r="F244" s="2270" t="inlineStr">
        <is>
          <t>Building permits (contracted to SAFEbuilt)</t>
        </is>
      </c>
    </row>
    <row r="245" ht="14" customHeight="1" s="1439">
      <c r="A245" s="2271">
        <f>IF(OR(ISNUMBER(SEARCH(LEFT('Property Info'!$B$17,MAX(1,FIND(",",'Property Info'!$B$17&amp;",")-1)),B245)),ISNUMBER(SEARCH('Property Info'!$B$18,B245))),"★ Active",IF(B245="REGIONAL / ALL MUNICIPALITIES","Regional","–"))</f>
        <v/>
      </c>
      <c r="B245" s="2271" t="inlineStr">
        <is>
          <t>Lochbuie</t>
        </is>
      </c>
      <c r="C245" s="2271" t="inlineStr">
        <is>
          <t>Permits</t>
        </is>
      </c>
      <c r="D245" s="2271" t="inlineStr">
        <is>
          <t>Do I Need a Permit?</t>
        </is>
      </c>
      <c r="E245" s="2269" t="inlineStr">
        <is>
          <t>https://www.lochbuie.org/community-dev/page/do-i-need-permit</t>
        </is>
      </c>
      <c r="F245" s="2272" t="inlineStr">
        <is>
          <t>Permit requirement guide</t>
        </is>
      </c>
    </row>
    <row r="246" ht="14" customHeight="1" s="1439">
      <c r="A246" s="2268">
        <f>IF(OR(ISNUMBER(SEARCH(LEFT('Property Info'!$B$17,MAX(1,FIND(",",'Property Info'!$B$17&amp;",")-1)),B246)),ISNUMBER(SEARCH('Property Info'!$B$18,B246))),"★ Active",IF(B246="REGIONAL / ALL MUNICIPALITIES","Regional","–"))</f>
        <v/>
      </c>
      <c r="B246" s="2268" t="inlineStr">
        <is>
          <t>Lochbuie</t>
        </is>
      </c>
      <c r="C246" s="2268" t="inlineStr">
        <is>
          <t>Permits</t>
        </is>
      </c>
      <c r="D246" s="2268" t="inlineStr">
        <is>
          <t>Building Guides &amp; Checklists</t>
        </is>
      </c>
      <c r="E246" s="2269" t="inlineStr">
        <is>
          <t>https://www.lochbuie.org/building/page/guides-and-checklists</t>
        </is>
      </c>
      <c r="F246" s="2270" t="inlineStr">
        <is>
          <t>Application checklists</t>
        </is>
      </c>
    </row>
    <row r="247" ht="14" customHeight="1" s="1439">
      <c r="A247" s="2271">
        <f>IF(OR(ISNUMBER(SEARCH(LEFT('Property Info'!$B$17,MAX(1,FIND(",",'Property Info'!$B$17&amp;",")-1)),B247)),ISNUMBER(SEARCH('Property Info'!$B$18,B247))),"★ Active",IF(B247="REGIONAL / ALL MUNICIPALITIES","Regional","–"))</f>
        <v/>
      </c>
      <c r="B247" s="2271" t="inlineStr">
        <is>
          <t>Lochbuie</t>
        </is>
      </c>
      <c r="C247" s="2271" t="inlineStr">
        <is>
          <t>Zoning / Planning</t>
        </is>
      </c>
      <c r="D247" s="2271" t="inlineStr">
        <is>
          <t>Current Planning</t>
        </is>
      </c>
      <c r="E247" s="2269" t="inlineStr">
        <is>
          <t>https://www.lochbuie.org/community-dev/page/current-planning</t>
        </is>
      </c>
      <c r="F247" s="2272" t="inlineStr">
        <is>
          <t>Active planning applications</t>
        </is>
      </c>
    </row>
    <row r="248" ht="14" customHeight="1" s="1439">
      <c r="A248" s="2268">
        <f>IF(OR(ISNUMBER(SEARCH(LEFT('Property Info'!$B$17,MAX(1,FIND(",",'Property Info'!$B$17&amp;",")-1)),B248)),ISNUMBER(SEARCH('Property Info'!$B$18,B248))),"★ Active",IF(B248="REGIONAL / ALL MUNICIPALITIES","Regional","–"))</f>
        <v/>
      </c>
      <c r="B248" s="2268" t="inlineStr">
        <is>
          <t>Lochbuie</t>
        </is>
      </c>
      <c r="C248" s="2268" t="inlineStr">
        <is>
          <t>Zoning / Planning</t>
        </is>
      </c>
      <c r="D248" s="2268" t="inlineStr">
        <is>
          <t>Municipal Code (Municode)</t>
        </is>
      </c>
      <c r="E248" s="2269" t="inlineStr">
        <is>
          <t>https://library.municode.com/co/lochbuie/codes/municipal_code</t>
        </is>
      </c>
      <c r="F248" s="2270" t="inlineStr">
        <is>
          <t>Full zoning and municipal code</t>
        </is>
      </c>
    </row>
    <row r="249" ht="14" customHeight="1" s="1439">
      <c r="A249" s="2271">
        <f>IF(OR(ISNUMBER(SEARCH(LEFT('Property Info'!$B$17,MAX(1,FIND(",",'Property Info'!$B$17&amp;",")-1)),B249)),ISNUMBER(SEARCH('Property Info'!$B$18,B249))),"★ Active",IF(B249="REGIONAL / ALL MUNICIPALITIES","Regional","–"))</f>
        <v/>
      </c>
      <c r="B249" s="2271" t="inlineStr">
        <is>
          <t>Lochbuie</t>
        </is>
      </c>
      <c r="C249" s="2271" t="inlineStr">
        <is>
          <t>Flood Zone</t>
        </is>
      </c>
      <c r="D249" s="2271" t="inlineStr">
        <is>
          <t>FEMA Map Service Center</t>
        </is>
      </c>
      <c r="E249" s="2269" t="inlineStr">
        <is>
          <t>https://msc.fema.gov/</t>
        </is>
      </c>
      <c r="F249" s="2272" t="inlineStr">
        <is>
          <t>Address-specific FEMA FIRM lookup</t>
        </is>
      </c>
    </row>
    <row r="250" ht="14" customHeight="1" s="1439">
      <c r="A250" s="2268">
        <f>IF(OR(ISNUMBER(SEARCH(LEFT('Property Info'!$B$17,MAX(1,FIND(",",'Property Info'!$B$17&amp;",")-1)),B250)),ISNUMBER(SEARCH('Property Info'!$B$18,B250))),"★ Active",IF(B250="REGIONAL / ALL MUNICIPALITIES","Regional","–"))</f>
        <v/>
      </c>
      <c r="B250" s="2268" t="inlineStr">
        <is>
          <t>Lochbuie</t>
        </is>
      </c>
      <c r="C250" s="2268" t="inlineStr">
        <is>
          <t>Flood Zone</t>
        </is>
      </c>
      <c r="D250" s="2268" t="inlineStr">
        <is>
          <t>Adams County Floodplain (Adams portion)</t>
        </is>
      </c>
      <c r="E250" s="2269" t="inlineStr">
        <is>
          <t>https://adamscountyco.gov/our-county/community-economic-development/floodplain-management/</t>
        </is>
      </c>
      <c r="F250" s="2270" t="inlineStr">
        <is>
          <t>County floodplain resources for Adams Co. portion</t>
        </is>
      </c>
    </row>
    <row r="251" ht="14" customHeight="1" s="1439">
      <c r="A251" s="2271">
        <f>IF(OR(ISNUMBER(SEARCH(LEFT('Property Info'!$B$17,MAX(1,FIND(",",'Property Info'!$B$17&amp;",")-1)),B251)),ISNUMBER(SEARCH('Property Info'!$B$18,B251))),"★ Active",IF(B251="REGIONAL / ALL MUNICIPALITIES","Regional","–"))</f>
        <v/>
      </c>
      <c r="B251" s="2271" t="inlineStr">
        <is>
          <t>Lochbuie</t>
        </is>
      </c>
      <c r="C251" s="2271" t="inlineStr">
        <is>
          <t>School Districts</t>
        </is>
      </c>
      <c r="D251" s="2271" t="inlineStr">
        <is>
          <t>School District 27J</t>
        </is>
      </c>
      <c r="E251" s="2269" t="inlineStr">
        <is>
          <t>https://www.sd27j.org/</t>
        </is>
      </c>
      <c r="F251" s="2272" t="inlineStr">
        <is>
          <t>Primary school district for Lochbuie</t>
        </is>
      </c>
    </row>
    <row r="252" ht="14" customHeight="1" s="1439">
      <c r="A252" s="2268">
        <f>IF(OR(ISNUMBER(SEARCH(LEFT('Property Info'!$B$17,MAX(1,FIND(",",'Property Info'!$B$17&amp;",")-1)),B252)),ISNUMBER(SEARCH('Property Info'!$B$18,B252))),"★ Active",IF(B252="REGIONAL / ALL MUNICIPALITIES","Regional","–"))</f>
        <v/>
      </c>
      <c r="B252" s="2268" t="inlineStr">
        <is>
          <t>Arvada</t>
        </is>
      </c>
      <c r="C252" s="2268" t="inlineStr">
        <is>
          <t>Property Assessment</t>
        </is>
      </c>
      <c r="D252" s="2268" t="inlineStr">
        <is>
          <t>Adams County Assessor (small Adams Co. portion)</t>
        </is>
      </c>
      <c r="E252" s="2269" t="inlineStr">
        <is>
          <t>https://adcogov.org/property-look</t>
        </is>
      </c>
      <c r="F252" s="2270" t="inlineStr">
        <is>
          <t>For the small eastern Adams County portion of Arvada</t>
        </is>
      </c>
    </row>
    <row r="253" ht="14" customHeight="1" s="1439">
      <c r="A253" s="2271">
        <f>IF(OR(ISNUMBER(SEARCH(LEFT('Property Info'!$B$17,MAX(1,FIND(",",'Property Info'!$B$17&amp;",")-1)),B253)),ISNUMBER(SEARCH('Property Info'!$B$18,B253))),"★ Active",IF(B253="REGIONAL / ALL MUNICIPALITIES","Regional","–"))</f>
        <v/>
      </c>
      <c r="B253" s="2271" t="inlineStr">
        <is>
          <t>Arvada</t>
        </is>
      </c>
      <c r="C253" s="2271" t="inlineStr">
        <is>
          <t>Property Assessment</t>
        </is>
      </c>
      <c r="D253" s="2271" t="inlineStr">
        <is>
          <t>Jefferson County Assessor (primary)</t>
        </is>
      </c>
      <c r="E253" s="2269" t="inlineStr">
        <is>
          <t>https://propertysearch.jeffco.us/</t>
        </is>
      </c>
      <c r="F253" s="2272" t="inlineStr">
        <is>
          <t>For the primary Jefferson County portion of Arvada</t>
        </is>
      </c>
    </row>
    <row r="254" ht="14" customHeight="1" s="1439">
      <c r="A254" s="2268">
        <f>IF(OR(ISNUMBER(SEARCH(LEFT('Property Info'!$B$17,MAX(1,FIND(",",'Property Info'!$B$17&amp;",")-1)),B254)),ISNUMBER(SEARCH('Property Info'!$B$18,B254))),"★ Active",IF(B254="REGIONAL / ALL MUNICIPALITIES","Regional","–"))</f>
        <v/>
      </c>
      <c r="B254" s="2268" t="inlineStr">
        <is>
          <t>Arvada</t>
        </is>
      </c>
      <c r="C254" s="2268" t="inlineStr">
        <is>
          <t>Property Tax / Treasurer</t>
        </is>
      </c>
      <c r="D254" s="2268" t="inlineStr">
        <is>
          <t>Jefferson County Treasurer (primary)</t>
        </is>
      </c>
      <c r="E254" s="2269" t="inlineStr">
        <is>
          <t>https://jeffco.us/1293/Treasurer</t>
        </is>
      </c>
      <c r="F254" s="2270" t="inlineStr">
        <is>
          <t>For Jefferson County parcels</t>
        </is>
      </c>
    </row>
    <row r="255" ht="14" customHeight="1" s="1439">
      <c r="A255" s="2271">
        <f>IF(OR(ISNUMBER(SEARCH(LEFT('Property Info'!$B$17,MAX(1,FIND(",",'Property Info'!$B$17&amp;",")-1)),B255)),ISNUMBER(SEARCH('Property Info'!$B$18,B255))),"★ Active",IF(B255="REGIONAL / ALL MUNICIPALITIES","Regional","–"))</f>
        <v/>
      </c>
      <c r="B255" s="2271" t="inlineStr">
        <is>
          <t>Arvada</t>
        </is>
      </c>
      <c r="C255" s="2271" t="inlineStr">
        <is>
          <t>Property Tax / Treasurer</t>
        </is>
      </c>
      <c r="D255" s="2271" t="inlineStr">
        <is>
          <t>Adams County Tax Payment (Adams Co. portion)</t>
        </is>
      </c>
      <c r="E255" s="2269" t="inlineStr">
        <is>
          <t>https://adcotax.com/treasurer/web/login.jsp</t>
        </is>
      </c>
      <c r="F255" s="2272" t="inlineStr">
        <is>
          <t>For Adams County parcels</t>
        </is>
      </c>
    </row>
    <row r="256" ht="14" customHeight="1" s="1439">
      <c r="A256" s="2268">
        <f>IF(OR(ISNUMBER(SEARCH(LEFT('Property Info'!$B$17,MAX(1,FIND(",",'Property Info'!$B$17&amp;",")-1)),B256)),ISNUMBER(SEARCH('Property Info'!$B$18,B256))),"★ Active",IF(B256="REGIONAL / ALL MUNICIPALITIES","Regional","–"))</f>
        <v/>
      </c>
      <c r="B256" s="2268" t="inlineStr">
        <is>
          <t>Arvada</t>
        </is>
      </c>
      <c r="C256" s="2268" t="inlineStr">
        <is>
          <t>Deed / Title Records</t>
        </is>
      </c>
      <c r="D256" s="2268" t="inlineStr">
        <is>
          <t>Jefferson County Clerk &amp; Recorder</t>
        </is>
      </c>
      <c r="E256" s="2269" t="inlineStr">
        <is>
          <t>https://www.jeffco.us/1288/Clerk-Recorder</t>
        </is>
      </c>
      <c r="F256" s="2270" t="inlineStr">
        <is>
          <t>For Jefferson County parcels</t>
        </is>
      </c>
    </row>
    <row r="257" ht="14" customHeight="1" s="1439">
      <c r="A257" s="2271">
        <f>IF(OR(ISNUMBER(SEARCH(LEFT('Property Info'!$B$17,MAX(1,FIND(",",'Property Info'!$B$17&amp;",")-1)),B257)),ISNUMBER(SEARCH('Property Info'!$B$18,B257))),"★ Active",IF(B257="REGIONAL / ALL MUNICIPALITIES","Regional","–"))</f>
        <v/>
      </c>
      <c r="B257" s="2271" t="inlineStr">
        <is>
          <t>Arvada</t>
        </is>
      </c>
      <c r="C257" s="2271" t="inlineStr">
        <is>
          <t>Deed / Title Records</t>
        </is>
      </c>
      <c r="D257" s="2271" t="inlineStr">
        <is>
          <t>Adams Co. Landmark Web Document Search</t>
        </is>
      </c>
      <c r="E257" s="2269" t="inlineStr">
        <is>
          <t>https://recording.adcogov.org/landmarkweb</t>
        </is>
      </c>
      <c r="F257" s="2272" t="inlineStr">
        <is>
          <t>For Adams County parcels</t>
        </is>
      </c>
    </row>
    <row r="258" ht="14" customHeight="1" s="1439">
      <c r="A258" s="2268">
        <f>IF(OR(ISNUMBER(SEARCH(LEFT('Property Info'!$B$17,MAX(1,FIND(",",'Property Info'!$B$17&amp;",")-1)),B258)),ISNUMBER(SEARCH('Property Info'!$B$18,B258))),"★ Active",IF(B258="REGIONAL / ALL MUNICIPALITIES","Regional","–"))</f>
        <v/>
      </c>
      <c r="B258" s="2268" t="inlineStr">
        <is>
          <t>Arvada</t>
        </is>
      </c>
      <c r="C258" s="2268" t="inlineStr">
        <is>
          <t>GIS / Mapping</t>
        </is>
      </c>
      <c r="D258" s="2268" t="inlineStr">
        <is>
          <t>Arvada Open Data / GIS Hub (ArcGIS)</t>
        </is>
      </c>
      <c r="E258" s="2269" t="inlineStr">
        <is>
          <t>https://gis-arvada.opendata.arcgis.com/</t>
        </is>
      </c>
      <c r="F258" s="2270" t="inlineStr">
        <is>
          <t>Downloadable GIS datasets including parcels</t>
        </is>
      </c>
    </row>
    <row r="259" ht="14" customHeight="1" s="1439">
      <c r="A259" s="2271">
        <f>IF(OR(ISNUMBER(SEARCH(LEFT('Property Info'!$B$17,MAX(1,FIND(",",'Property Info'!$B$17&amp;",")-1)),B259)),ISNUMBER(SEARCH('Property Info'!$B$18,B259))),"★ Active",IF(B259="REGIONAL / ALL MUNICIPALITIES","Regional","–"))</f>
        <v/>
      </c>
      <c r="B259" s="2271" t="inlineStr">
        <is>
          <t>Arvada</t>
        </is>
      </c>
      <c r="C259" s="2271" t="inlineStr">
        <is>
          <t>GIS / Mapping</t>
        </is>
      </c>
      <c r="D259" s="2271" t="inlineStr">
        <is>
          <t>Maps and Property Search</t>
        </is>
      </c>
      <c r="E259" s="2269" t="inlineStr">
        <is>
          <t>https://www.arvadaco.gov/702/Maps-and-Property-Search</t>
        </is>
      </c>
      <c r="F259" s="2272" t="inlineStr">
        <is>
          <t>City map and property portal</t>
        </is>
      </c>
    </row>
    <row r="260" ht="14" customHeight="1" s="1439">
      <c r="A260" s="2268">
        <f>IF(OR(ISNUMBER(SEARCH(LEFT('Property Info'!$B$17,MAX(1,FIND(",",'Property Info'!$B$17&amp;",")-1)),B260)),ISNUMBER(SEARCH('Property Info'!$B$18,B260))),"★ Active",IF(B260="REGIONAL / ALL MUNICIPALITIES","Regional","–"))</f>
        <v/>
      </c>
      <c r="B260" s="2268" t="inlineStr">
        <is>
          <t>Arvada</t>
        </is>
      </c>
      <c r="C260" s="2268" t="inlineStr">
        <is>
          <t>GIS / Mapping</t>
        </is>
      </c>
      <c r="D260" s="2268" t="inlineStr">
        <is>
          <t>Economic Development Maps</t>
        </is>
      </c>
      <c r="E260" s="2269" t="inlineStr">
        <is>
          <t>https://arvadaeconomicdevelopment.org/intel/maps/</t>
        </is>
      </c>
      <c r="F260" s="2270" t="inlineStr">
        <is>
          <t>Development pipeline and market maps</t>
        </is>
      </c>
    </row>
    <row r="261" ht="14" customHeight="1" s="1439">
      <c r="A261" s="2271">
        <f>IF(OR(ISNUMBER(SEARCH(LEFT('Property Info'!$B$17,MAX(1,FIND(",",'Property Info'!$B$17&amp;",")-1)),B261)),ISNUMBER(SEARCH('Property Info'!$B$18,B261))),"★ Active",IF(B261="REGIONAL / ALL MUNICIPALITIES","Regional","–"))</f>
        <v/>
      </c>
      <c r="B261" s="2271" t="inlineStr">
        <is>
          <t>Arvada</t>
        </is>
      </c>
      <c r="C261" s="2271" t="inlineStr">
        <is>
          <t>Permits</t>
        </is>
      </c>
      <c r="D261" s="2271" t="inlineStr">
        <is>
          <t>eTRAKiT Portal</t>
        </is>
      </c>
      <c r="E261" s="2269" t="inlineStr">
        <is>
          <t>https://arvadapermits.org/</t>
        </is>
      </c>
      <c r="F261" s="2272" t="inlineStr">
        <is>
          <t>Online permit search and applications</t>
        </is>
      </c>
    </row>
    <row r="262" ht="14" customHeight="1" s="1439">
      <c r="A262" s="2268">
        <f>IF(OR(ISNUMBER(SEARCH(LEFT('Property Info'!$B$17,MAX(1,FIND(",",'Property Info'!$B$17&amp;",")-1)),B262)),ISNUMBER(SEARCH('Property Info'!$B$18,B262))),"★ Active",IF(B262="REGIONAL / ALL MUNICIPALITIES","Regional","–"))</f>
        <v/>
      </c>
      <c r="B262" s="2268" t="inlineStr">
        <is>
          <t>Arvada</t>
        </is>
      </c>
      <c r="C262" s="2268" t="inlineStr">
        <is>
          <t>Permits</t>
        </is>
      </c>
      <c r="D262" s="2268" t="inlineStr">
        <is>
          <t>Building Permits Page</t>
        </is>
      </c>
      <c r="E262" s="2269" t="inlineStr">
        <is>
          <t>https://www.arvadaco.gov/332/Building-Permits</t>
        </is>
      </c>
      <c r="F262" s="2270" t="inlineStr">
        <is>
          <t>Building permit info</t>
        </is>
      </c>
    </row>
    <row r="263" ht="14" customHeight="1" s="1439">
      <c r="A263" s="2271">
        <f>IF(OR(ISNUMBER(SEARCH(LEFT('Property Info'!$B$17,MAX(1,FIND(",",'Property Info'!$B$17&amp;",")-1)),B263)),ISNUMBER(SEARCH('Property Info'!$B$18,B263))),"★ Active",IF(B263="REGIONAL / ALL MUNICIPALITIES","Regional","–"))</f>
        <v/>
      </c>
      <c r="B263" s="2271" t="inlineStr">
        <is>
          <t>Arvada</t>
        </is>
      </c>
      <c r="C263" s="2271" t="inlineStr">
        <is>
          <t>Permits</t>
        </is>
      </c>
      <c r="D263" s="2271" t="inlineStr">
        <is>
          <t>Check Permit Status / Schedule Inspection</t>
        </is>
      </c>
      <c r="E263" s="2269" t="inlineStr">
        <is>
          <t>https://www.arvadaco.gov/729/Check-the-Status-of-a-Permit-Schedule-a-</t>
        </is>
      </c>
      <c r="F263" s="2272" t="inlineStr">
        <is>
          <t>Permit status and inspection scheduling</t>
        </is>
      </c>
    </row>
    <row r="264" ht="14" customHeight="1" s="1439">
      <c r="A264" s="2268">
        <f>IF(OR(ISNUMBER(SEARCH(LEFT('Property Info'!$B$17,MAX(1,FIND(",",'Property Info'!$B$17&amp;",")-1)),B264)),ISNUMBER(SEARCH('Property Info'!$B$18,B264))),"★ Active",IF(B264="REGIONAL / ALL MUNICIPALITIES","Regional","–"))</f>
        <v/>
      </c>
      <c r="B264" s="2268" t="inlineStr">
        <is>
          <t>Arvada</t>
        </is>
      </c>
      <c r="C264" s="2268" t="inlineStr">
        <is>
          <t>Permits</t>
        </is>
      </c>
      <c r="D264" s="2268" t="inlineStr">
        <is>
          <t>eTRAKiT Permit Search</t>
        </is>
      </c>
      <c r="E264" s="2269" t="inlineStr">
        <is>
          <t>https://permits.arvada.org/etrakit3/Search/permit.aspx</t>
        </is>
      </c>
      <c r="F264" s="2270" t="inlineStr">
        <is>
          <t>Direct permit lookup</t>
        </is>
      </c>
    </row>
    <row r="265" ht="14" customHeight="1" s="1439">
      <c r="A265" s="2271">
        <f>IF(OR(ISNUMBER(SEARCH(LEFT('Property Info'!$B$17,MAX(1,FIND(",",'Property Info'!$B$17&amp;",")-1)),B265)),ISNUMBER(SEARCH('Property Info'!$B$18,B265))),"★ Active",IF(B265="REGIONAL / ALL MUNICIPALITIES","Regional","–"))</f>
        <v/>
      </c>
      <c r="B265" s="2271" t="inlineStr">
        <is>
          <t>Arvada</t>
        </is>
      </c>
      <c r="C265" s="2271" t="inlineStr">
        <is>
          <t>Zoning / Planning</t>
        </is>
      </c>
      <c r="D265" s="2271" t="inlineStr">
        <is>
          <t>Zoning Main Page</t>
        </is>
      </c>
      <c r="E265" s="2269" t="inlineStr">
        <is>
          <t>https://www.arvadaco.gov/168/Zoning</t>
        </is>
      </c>
      <c r="F265" s="2272" t="inlineStr">
        <is>
          <t>Zoning department with interactive zoning district map</t>
        </is>
      </c>
    </row>
    <row r="266" ht="14" customHeight="1" s="1439">
      <c r="A266" s="2268">
        <f>IF(OR(ISNUMBER(SEARCH(LEFT('Property Info'!$B$17,MAX(1,FIND(",",'Property Info'!$B$17&amp;",")-1)),B266)),ISNUMBER(SEARCH('Property Info'!$B$18,B266))),"★ Active",IF(B266="REGIONAL / ALL MUNICIPALITIES","Regional","–"))</f>
        <v/>
      </c>
      <c r="B266" s="2268" t="inlineStr">
        <is>
          <t>Arvada</t>
        </is>
      </c>
      <c r="C266" s="2268" t="inlineStr">
        <is>
          <t>Zoning / Planning</t>
        </is>
      </c>
      <c r="D266" s="2268" t="inlineStr">
        <is>
          <t>Speak Up Arvada (Community / Planning)</t>
        </is>
      </c>
      <c r="E266" s="2269" t="inlineStr">
        <is>
          <t>https://speakup.arvadaco.gov/</t>
        </is>
      </c>
      <c r="F266" s="2270" t="inlineStr">
        <is>
          <t>Community engagement for planning and comprehensive plan</t>
        </is>
      </c>
    </row>
    <row r="267" ht="14" customHeight="1" s="1439">
      <c r="A267" s="2271">
        <f>IF(OR(ISNUMBER(SEARCH(LEFT('Property Info'!$B$17,MAX(1,FIND(",",'Property Info'!$B$17&amp;",")-1)),B267)),ISNUMBER(SEARCH('Property Info'!$B$18,B267))),"★ Active",IF(B267="REGIONAL / ALL MUNICIPALITIES","Regional","–"))</f>
        <v/>
      </c>
      <c r="B267" s="2271" t="inlineStr">
        <is>
          <t>Arvada</t>
        </is>
      </c>
      <c r="C267" s="2271" t="inlineStr">
        <is>
          <t>Flood Zone</t>
        </is>
      </c>
      <c r="D267" s="2271" t="inlineStr">
        <is>
          <t>Jefferson County Floodplain (primary)</t>
        </is>
      </c>
      <c r="E267" s="2269" t="inlineStr">
        <is>
          <t>https://www.jeffco.us/2019/Flood-Mapping-and-Information</t>
        </is>
      </c>
      <c r="F267" s="2272" t="inlineStr">
        <is>
          <t>For Jefferson County portion</t>
        </is>
      </c>
    </row>
    <row r="268" ht="14" customHeight="1" s="1439">
      <c r="A268" s="2268">
        <f>IF(OR(ISNUMBER(SEARCH(LEFT('Property Info'!$B$17,MAX(1,FIND(",",'Property Info'!$B$17&amp;",")-1)),B268)),ISNUMBER(SEARCH('Property Info'!$B$18,B268))),"★ Active",IF(B268="REGIONAL / ALL MUNICIPALITIES","Regional","–"))</f>
        <v/>
      </c>
      <c r="B268" s="2268" t="inlineStr">
        <is>
          <t>Arvada</t>
        </is>
      </c>
      <c r="C268" s="2268" t="inlineStr">
        <is>
          <t>Flood Zone</t>
        </is>
      </c>
      <c r="D268" s="2268" t="inlineStr">
        <is>
          <t>Adams County Floodplain (Adams portion)</t>
        </is>
      </c>
      <c r="E268" s="2269" t="inlineStr">
        <is>
          <t>https://adamscountyco.gov/our-county/community-economic-development/floodplain-management/</t>
        </is>
      </c>
      <c r="F268" s="2270" t="inlineStr">
        <is>
          <t>For Adams County portion</t>
        </is>
      </c>
    </row>
    <row r="269" ht="14" customHeight="1" s="1439">
      <c r="A269" s="2271">
        <f>IF(OR(ISNUMBER(SEARCH(LEFT('Property Info'!$B$17,MAX(1,FIND(",",'Property Info'!$B$17&amp;",")-1)),B269)),ISNUMBER(SEARCH('Property Info'!$B$18,B269))),"★ Active",IF(B269="REGIONAL / ALL MUNICIPALITIES","Regional","–"))</f>
        <v/>
      </c>
      <c r="B269" s="2271" t="inlineStr">
        <is>
          <t>Arvada</t>
        </is>
      </c>
      <c r="C269" s="2271" t="inlineStr">
        <is>
          <t>Flood Zone</t>
        </is>
      </c>
      <c r="D269" s="2271" t="inlineStr">
        <is>
          <t>FEMA Map Service Center</t>
        </is>
      </c>
      <c r="E269" s="2269" t="inlineStr">
        <is>
          <t>https://msc.fema.gov/</t>
        </is>
      </c>
      <c r="F269" s="2272" t="inlineStr">
        <is>
          <t>Address-specific FEMA FIRM lookup</t>
        </is>
      </c>
    </row>
    <row r="270" ht="14" customHeight="1" s="1439">
      <c r="A270" s="2268">
        <f>IF(OR(ISNUMBER(SEARCH(LEFT('Property Info'!$B$17,MAX(1,FIND(",",'Property Info'!$B$17&amp;",")-1)),B270)),ISNUMBER(SEARCH('Property Info'!$B$18,B270))),"★ Active",IF(B270="REGIONAL / ALL MUNICIPALITIES","Regional","–"))</f>
        <v/>
      </c>
      <c r="B270" s="2268" t="inlineStr">
        <is>
          <t>Arvada</t>
        </is>
      </c>
      <c r="C270" s="2268" t="inlineStr">
        <is>
          <t>Economic Development</t>
        </is>
      </c>
      <c r="D270" s="2268" t="inlineStr">
        <is>
          <t>Arvada Economic Development Association</t>
        </is>
      </c>
      <c r="E270" s="2269" t="inlineStr">
        <is>
          <t>https://arvadaeconomicdevelopment.org/</t>
        </is>
      </c>
      <c r="F270" s="2270" t="inlineStr">
        <is>
          <t>City economic development organization</t>
        </is>
      </c>
    </row>
    <row r="271" ht="14" customHeight="1" s="1439">
      <c r="A271" s="2271">
        <f>IF(OR(ISNUMBER(SEARCH(LEFT('Property Info'!$B$17,MAX(1,FIND(",",'Property Info'!$B$17&amp;",")-1)),B271)),ISNUMBER(SEARCH('Property Info'!$B$18,B271))),"★ Active",IF(B271="REGIONAL / ALL MUNICIPALITIES","Regional","–"))</f>
        <v/>
      </c>
      <c r="B271" s="2271" t="inlineStr">
        <is>
          <t>Arvada</t>
        </is>
      </c>
      <c r="C271" s="2271" t="inlineStr">
        <is>
          <t>Short-Term Rental</t>
        </is>
      </c>
      <c r="D271" s="2271" t="inlineStr">
        <is>
          <t>STR License</t>
        </is>
      </c>
      <c r="E271" s="2269" t="inlineStr">
        <is>
          <t>https://www.arvadaco.gov/</t>
        </is>
      </c>
      <c r="F271" s="2272" t="inlineStr">
        <is>
          <t>Annual license required; $350 fee</t>
        </is>
      </c>
    </row>
    <row r="272" ht="14" customHeight="1" s="1439">
      <c r="A272" s="2268">
        <f>IF(OR(ISNUMBER(SEARCH(LEFT('Property Info'!$B$17,MAX(1,FIND(",",'Property Info'!$B$17&amp;",")-1)),B272)),ISNUMBER(SEARCH('Property Info'!$B$18,B272))),"★ Active",IF(B272="REGIONAL / ALL MUNICIPALITIES","Regional","–"))</f>
        <v/>
      </c>
      <c r="B272" s="2268" t="inlineStr">
        <is>
          <t>Arvada</t>
        </is>
      </c>
      <c r="C272" s="2268" t="inlineStr">
        <is>
          <t>Crime / Safety</t>
        </is>
      </c>
      <c r="D272" s="2268" t="inlineStr">
        <is>
          <t>Crime Maps &amp; Statistics</t>
        </is>
      </c>
      <c r="E272" s="2269" t="inlineStr">
        <is>
          <t>https://www.arvadaco.gov/538/Crime-Maps-Statistics</t>
        </is>
      </c>
      <c r="F272" s="2270" t="inlineStr">
        <is>
          <t>LexisNexis Community Crime Map</t>
        </is>
      </c>
    </row>
    <row r="273" ht="14" customHeight="1" s="1439">
      <c r="A273" s="2271">
        <f>IF(OR(ISNUMBER(SEARCH(LEFT('Property Info'!$B$17,MAX(1,FIND(",",'Property Info'!$B$17&amp;",")-1)),B273)),ISNUMBER(SEARCH('Property Info'!$B$18,B273))),"★ Active",IF(B273="REGIONAL / ALL MUNICIPALITIES","Regional","–"))</f>
        <v/>
      </c>
      <c r="B273" s="2271" t="inlineStr">
        <is>
          <t>Arvada</t>
        </is>
      </c>
      <c r="C273" s="2271" t="inlineStr">
        <is>
          <t>School Districts</t>
        </is>
      </c>
      <c r="D273" s="2271" t="inlineStr">
        <is>
          <t>Jefferson County Public Schools (primary)</t>
        </is>
      </c>
      <c r="E273" s="2269" t="inlineStr">
        <is>
          <t>https://www.jeffcopublicschools.org/</t>
        </is>
      </c>
      <c r="F273" s="2272" t="inlineStr">
        <is>
          <t>Primary district for most of Arvada</t>
        </is>
      </c>
    </row>
    <row r="274" ht="14" customHeight="1" s="1439">
      <c r="A274" s="2268">
        <f>IF(OR(ISNUMBER(SEARCH(LEFT('Property Info'!$B$17,MAX(1,FIND(",",'Property Info'!$B$17&amp;",")-1)),B274)),ISNUMBER(SEARCH('Property Info'!$B$18,B274))),"★ Active",IF(B274="REGIONAL / ALL MUNICIPALITIES","Regional","–"))</f>
        <v/>
      </c>
      <c r="B274" s="2268" t="inlineStr">
        <is>
          <t>Arvada</t>
        </is>
      </c>
      <c r="C274" s="2268" t="inlineStr">
        <is>
          <t>School Districts</t>
        </is>
      </c>
      <c r="D274" s="2268" t="inlineStr">
        <is>
          <t>Adams 12 Five Star Schools (Adams Co. portion)</t>
        </is>
      </c>
      <c r="E274" s="2269" t="inlineStr">
        <is>
          <t>https://www.adams12.org/</t>
        </is>
      </c>
      <c r="F274" s="2270" t="inlineStr">
        <is>
          <t>For the small Adams County portion</t>
        </is>
      </c>
    </row>
    <row r="275" ht="14" customHeight="1" s="1439">
      <c r="A275" s="2271">
        <f>IF(OR(ISNUMBER(SEARCH(LEFT('Property Info'!$B$17,MAX(1,FIND(",",'Property Info'!$B$17&amp;",")-1)),B275)),ISNUMBER(SEARCH('Property Info'!$B$18,B275))),"★ Active",IF(B275="REGIONAL / ALL MUNICIPALITIES","Regional","–"))</f>
        <v/>
      </c>
      <c r="B275" s="2271" t="inlineStr">
        <is>
          <t>REGIONAL / ALL MUNICIPALITIES</t>
        </is>
      </c>
      <c r="C275" s="2271" t="inlineStr">
        <is>
          <t>Property Assessment</t>
        </is>
      </c>
      <c r="D275" s="2271" t="inlineStr">
        <is>
          <t>Adams County Assessor — Main</t>
        </is>
      </c>
      <c r="E275" s="2269" t="inlineStr">
        <is>
          <t>https://adcogov.org/assessor</t>
        </is>
      </c>
      <c r="F275" s="2272" t="inlineStr">
        <is>
          <t>Covers all Adams County parcels regardless of city</t>
        </is>
      </c>
    </row>
    <row r="276" ht="14" customHeight="1" s="1439">
      <c r="A276" s="2268">
        <f>IF(OR(ISNUMBER(SEARCH(LEFT('Property Info'!$B$17,MAX(1,FIND(",",'Property Info'!$B$17&amp;",")-1)),B276)),ISNUMBER(SEARCH('Property Info'!$B$18,B276))),"★ Active",IF(B276="REGIONAL / ALL MUNICIPALITIES","Regional","–"))</f>
        <v/>
      </c>
      <c r="B276" s="2268" t="inlineStr">
        <is>
          <t>REGIONAL / ALL MUNICIPALITIES</t>
        </is>
      </c>
      <c r="C276" s="2268" t="inlineStr">
        <is>
          <t>Deed / Title Records</t>
        </is>
      </c>
      <c r="D276" s="2268" t="inlineStr">
        <is>
          <t>Adams County Clerk &amp; Recorder</t>
        </is>
      </c>
      <c r="E276" s="2269" t="inlineStr">
        <is>
          <t>https://adcogov.org/recording</t>
        </is>
      </c>
      <c r="F276" s="2270" t="inlineStr">
        <is>
          <t>Official deeds and recording office</t>
        </is>
      </c>
    </row>
    <row r="277" ht="14" customHeight="1" s="1439">
      <c r="A277" s="2271">
        <f>IF(OR(ISNUMBER(SEARCH(LEFT('Property Info'!$B$17,MAX(1,FIND(",",'Property Info'!$B$17&amp;",")-1)),B277)),ISNUMBER(SEARCH('Property Info'!$B$18,B277))),"★ Active",IF(B277="REGIONAL / ALL MUNICIPALITIES","Regional","–"))</f>
        <v/>
      </c>
      <c r="B277" s="2271" t="inlineStr">
        <is>
          <t>REGIONAL / ALL MUNICIPALITIES</t>
        </is>
      </c>
      <c r="C277" s="2271" t="inlineStr">
        <is>
          <t>Deed / Title Records</t>
        </is>
      </c>
      <c r="D277" s="2271" t="inlineStr">
        <is>
          <t>Landmark Web Document Search</t>
        </is>
      </c>
      <c r="E277" s="2269" t="inlineStr">
        <is>
          <t>https://recording.adcogov.org/landmarkweb</t>
        </is>
      </c>
      <c r="F277" s="2272" t="inlineStr">
        <is>
          <t>Grantor/Grantee search for all Adams County</t>
        </is>
      </c>
    </row>
    <row r="278" ht="14" customHeight="1" s="1439">
      <c r="A278" s="2268">
        <f>IF(OR(ISNUMBER(SEARCH(LEFT('Property Info'!$B$17,MAX(1,FIND(",",'Property Info'!$B$17&amp;",")-1)),B278)),ISNUMBER(SEARCH('Property Info'!$B$18,B278))),"★ Active",IF(B278="REGIONAL / ALL MUNICIPALITIES","Regional","–"))</f>
        <v/>
      </c>
      <c r="B278" s="2268" t="inlineStr">
        <is>
          <t>REGIONAL / ALL MUNICIPALITIES</t>
        </is>
      </c>
      <c r="C278" s="2268" t="inlineStr">
        <is>
          <t>GIS / Mapping</t>
        </is>
      </c>
      <c r="D278" s="2268" t="inlineStr">
        <is>
          <t>Adams County Open Data Hub</t>
        </is>
      </c>
      <c r="E278" s="2269" t="inlineStr">
        <is>
          <t>https://data-adcogov.opendata.arcgis.com/</t>
        </is>
      </c>
      <c r="F278" s="2270" t="inlineStr">
        <is>
          <t>County-wide GIS datasets</t>
        </is>
      </c>
    </row>
    <row r="279" ht="14" customHeight="1" s="1439">
      <c r="A279" s="2271">
        <f>IF(OR(ISNUMBER(SEARCH(LEFT('Property Info'!$B$17,MAX(1,FIND(",",'Property Info'!$B$17&amp;",")-1)),B279)),ISNUMBER(SEARCH('Property Info'!$B$18,B279))),"★ Active",IF(B279="REGIONAL / ALL MUNICIPALITIES","Regional","–"))</f>
        <v/>
      </c>
      <c r="B279" s="2271" t="inlineStr">
        <is>
          <t>REGIONAL / ALL MUNICIPALITIES</t>
        </is>
      </c>
      <c r="C279" s="2271" t="inlineStr">
        <is>
          <t>GIS / Mapping</t>
        </is>
      </c>
      <c r="D279" s="2271" t="inlineStr">
        <is>
          <t>DRCOG Regional Data Catalog</t>
        </is>
      </c>
      <c r="E279" s="2269" t="inlineStr">
        <is>
          <t>https://data.drcog.org/</t>
        </is>
      </c>
      <c r="F279" s="2272" t="inlineStr">
        <is>
          <t>Metro Denver regional data</t>
        </is>
      </c>
    </row>
    <row r="280" ht="14" customHeight="1" s="1439">
      <c r="A280" s="2268">
        <f>IF(OR(ISNUMBER(SEARCH(LEFT('Property Info'!$B$17,MAX(1,FIND(",",'Property Info'!$B$17&amp;",")-1)),B280)),ISNUMBER(SEARCH('Property Info'!$B$18,B280))),"★ Active",IF(B280="REGIONAL / ALL MUNICIPALITIES","Regional","–"))</f>
        <v/>
      </c>
      <c r="B280" s="2268" t="inlineStr">
        <is>
          <t>REGIONAL / ALL MUNICIPALITIES</t>
        </is>
      </c>
      <c r="C280" s="2268" t="inlineStr">
        <is>
          <t>GIS / Mapping</t>
        </is>
      </c>
      <c r="D280" s="2268" t="inlineStr">
        <is>
          <t>DRCOG Data &amp; Maps</t>
        </is>
      </c>
      <c r="E280" s="2269" t="inlineStr">
        <is>
          <t>https://www.drcog.org/data-maps-modeling</t>
        </is>
      </c>
      <c r="F280" s="2270" t="inlineStr">
        <is>
          <t>Regional planning maps</t>
        </is>
      </c>
    </row>
    <row r="281" ht="14" customHeight="1" s="1439">
      <c r="A281" s="2271">
        <f>IF(OR(ISNUMBER(SEARCH(LEFT('Property Info'!$B$17,MAX(1,FIND(",",'Property Info'!$B$17&amp;",")-1)),B281)),ISNUMBER(SEARCH('Property Info'!$B$18,B281))),"★ Active",IF(B281="REGIONAL / ALL MUNICIPALITIES","Regional","–"))</f>
        <v/>
      </c>
      <c r="B281" s="2271" t="inlineStr">
        <is>
          <t>REGIONAL / ALL MUNICIPALITIES</t>
        </is>
      </c>
      <c r="C281" s="2271" t="inlineStr">
        <is>
          <t>GIS / Mapping</t>
        </is>
      </c>
      <c r="D281" s="2271" t="inlineStr">
        <is>
          <t>DRCOG Community Profiles</t>
        </is>
      </c>
      <c r="E281" s="2269" t="inlineStr">
        <is>
          <t>https://www.drcog.org/data-maps-modeling/community-profiles</t>
        </is>
      </c>
      <c r="F281" s="2272" t="inlineStr">
        <is>
          <t>Demographic and growth profiles by municipality</t>
        </is>
      </c>
    </row>
    <row r="282" ht="14" customHeight="1" s="1439">
      <c r="A282" s="2268">
        <f>IF(OR(ISNUMBER(SEARCH(LEFT('Property Info'!$B$17,MAX(1,FIND(",",'Property Info'!$B$17&amp;",")-1)),B282)),ISNUMBER(SEARCH('Property Info'!$B$18,B282))),"★ Active",IF(B282="REGIONAL / ALL MUNICIPALITIES","Regional","–"))</f>
        <v/>
      </c>
      <c r="B282" s="2268" t="inlineStr">
        <is>
          <t>REGIONAL / ALL MUNICIPALITIES</t>
        </is>
      </c>
      <c r="C282" s="2268" t="inlineStr">
        <is>
          <t>GIS / Mapping</t>
        </is>
      </c>
      <c r="D282" s="2268" t="inlineStr">
        <is>
          <t>Colorado Geospatial Portal</t>
        </is>
      </c>
      <c r="E282" s="2269" t="inlineStr">
        <is>
          <t>https://geodata.colorado.gov/</t>
        </is>
      </c>
      <c r="F282" s="2270" t="inlineStr">
        <is>
          <t>Statewide GIS data portal</t>
        </is>
      </c>
    </row>
    <row r="283" ht="14" customHeight="1" s="1439">
      <c r="A283" s="2271">
        <f>IF(OR(ISNUMBER(SEARCH(LEFT('Property Info'!$B$17,MAX(1,FIND(",",'Property Info'!$B$17&amp;",")-1)),B283)),ISNUMBER(SEARCH('Property Info'!$B$18,B283))),"★ Active",IF(B283="REGIONAL / ALL MUNICIPALITIES","Regional","–"))</f>
        <v/>
      </c>
      <c r="B283" s="2271" t="inlineStr">
        <is>
          <t>REGIONAL / ALL MUNICIPALITIES</t>
        </is>
      </c>
      <c r="C283" s="2271" t="inlineStr">
        <is>
          <t>GIS / Mapping</t>
        </is>
      </c>
      <c r="D283" s="2271" t="inlineStr">
        <is>
          <t>Colorado Division of Water Resources GIS</t>
        </is>
      </c>
      <c r="E283" s="2269" t="inlineStr">
        <is>
          <t>https://dwr.colorado.gov/services/data-information/gis</t>
        </is>
      </c>
      <c r="F283" s="2272" t="inlineStr">
        <is>
          <t>Water rights and irrigation GIS data</t>
        </is>
      </c>
    </row>
    <row r="284" ht="14" customHeight="1" s="1439">
      <c r="A284" s="2268">
        <f>IF(OR(ISNUMBER(SEARCH(LEFT('Property Info'!$B$17,MAX(1,FIND(",",'Property Info'!$B$17&amp;",")-1)),B284)),ISNUMBER(SEARCH('Property Info'!$B$18,B284))),"★ Active",IF(B284="REGIONAL / ALL MUNICIPALITIES","Regional","–"))</f>
        <v/>
      </c>
      <c r="B284" s="2268" t="inlineStr">
        <is>
          <t>REGIONAL / ALL MUNICIPALITIES</t>
        </is>
      </c>
      <c r="C284" s="2268" t="inlineStr">
        <is>
          <t>Traffic / Transportation</t>
        </is>
      </c>
      <c r="D284" s="2268" t="inlineStr">
        <is>
          <t>CDOT Traffic Counts (OTIS)</t>
        </is>
      </c>
      <c r="E284" s="2269" t="inlineStr">
        <is>
          <t>https://dtdapps.coloradodot.info/otis</t>
        </is>
      </c>
      <c r="F284" s="2270" t="inlineStr">
        <is>
          <t>Official Colorado traffic count data by highway/road</t>
        </is>
      </c>
    </row>
    <row r="285" ht="14" customHeight="1" s="1439">
      <c r="A285" s="2271">
        <f>IF(OR(ISNUMBER(SEARCH(LEFT('Property Info'!$B$17,MAX(1,FIND(",",'Property Info'!$B$17&amp;",")-1)),B285)),ISNUMBER(SEARCH('Property Info'!$B$18,B285))),"★ Active",IF(B285="REGIONAL / ALL MUNICIPALITIES","Regional","–"))</f>
        <v/>
      </c>
      <c r="B285" s="2271" t="inlineStr">
        <is>
          <t>REGIONAL / ALL MUNICIPALITIES</t>
        </is>
      </c>
      <c r="C285" s="2271" t="inlineStr">
        <is>
          <t>Traffic / Transportation</t>
        </is>
      </c>
      <c r="D285" s="2271" t="inlineStr">
        <is>
          <t>CDOT Open Data (ArcGIS)</t>
        </is>
      </c>
      <c r="E285" s="2269" t="inlineStr">
        <is>
          <t>https://data-cdot.opendata.arcgis.com/</t>
        </is>
      </c>
      <c r="F285" s="2272" t="inlineStr">
        <is>
          <t>Statewide transportation datasets</t>
        </is>
      </c>
    </row>
    <row r="286" ht="14" customHeight="1" s="1439">
      <c r="A286" s="2268">
        <f>IF(OR(ISNUMBER(SEARCH(LEFT('Property Info'!$B$17,MAX(1,FIND(",",'Property Info'!$B$17&amp;",")-1)),B286)),ISNUMBER(SEARCH('Property Info'!$B$18,B286))),"★ Active",IF(B286="REGIONAL / ALL MUNICIPALITIES","Regional","–"))</f>
        <v/>
      </c>
      <c r="B286" s="2268" t="inlineStr">
        <is>
          <t>REGIONAL / ALL MUNICIPALITIES</t>
        </is>
      </c>
      <c r="C286" s="2268" t="inlineStr">
        <is>
          <t>Traffic / Transportation</t>
        </is>
      </c>
      <c r="D286" s="2268" t="inlineStr">
        <is>
          <t>CDOT Highway Traffic Counts Dataset</t>
        </is>
      </c>
      <c r="E286" s="2269" t="inlineStr">
        <is>
          <t>https://data-cdot.opendata.arcgis.com/datasets/highways-traffic-counts/about</t>
        </is>
      </c>
      <c r="F286" s="2270" t="inlineStr">
        <is>
          <t>Downloadable traffic count dataset</t>
        </is>
      </c>
    </row>
    <row r="287" ht="14" customHeight="1" s="1439">
      <c r="A287" s="2271">
        <f>IF(OR(ISNUMBER(SEARCH(LEFT('Property Info'!$B$17,MAX(1,FIND(",",'Property Info'!$B$17&amp;",")-1)),B287)),ISNUMBER(SEARCH('Property Info'!$B$18,B287))),"★ Active",IF(B287="REGIONAL / ALL MUNICIPALITIES","Regional","–"))</f>
        <v/>
      </c>
      <c r="B287" s="2271" t="inlineStr">
        <is>
          <t>REGIONAL / ALL MUNICIPALITIES</t>
        </is>
      </c>
      <c r="C287" s="2271" t="inlineStr">
        <is>
          <t>Entity / Ownership Lookup</t>
        </is>
      </c>
      <c r="D287" s="2271" t="inlineStr">
        <is>
          <t>Colorado Secretary of State — Business Entity Search</t>
        </is>
      </c>
      <c r="E287" s="2269" t="inlineStr">
        <is>
          <t>https://www.sos.state.co.us/biz/BusinessEntityCriteriaExt.do</t>
        </is>
      </c>
      <c r="F287" s="2272" t="inlineStr">
        <is>
          <t>Look up LLCs and ownership entities</t>
        </is>
      </c>
    </row>
    <row r="288" ht="14" customHeight="1" s="1439">
      <c r="A288" s="2268">
        <f>IF(OR(ISNUMBER(SEARCH(LEFT('Property Info'!$B$17,MAX(1,FIND(",",'Property Info'!$B$17&amp;",")-1)),B288)),ISNUMBER(SEARCH('Property Info'!$B$18,B288))),"★ Active",IF(B288="REGIONAL / ALL MUNICIPALITIES","Regional","–"))</f>
        <v/>
      </c>
      <c r="B288" s="2268" t="inlineStr">
        <is>
          <t>REGIONAL / ALL MUNICIPALITIES</t>
        </is>
      </c>
      <c r="C288" s="2268" t="inlineStr">
        <is>
          <t>Entity / Ownership Lookup</t>
        </is>
      </c>
      <c r="D288" s="2268" t="inlineStr">
        <is>
          <t>Colorado Secretary of State — Advanced Search</t>
        </is>
      </c>
      <c r="E288" s="2269" t="inlineStr">
        <is>
          <t>https://www.sos.state.co.us/biz/AdvancedSearchCriteria.do</t>
        </is>
      </c>
      <c r="F288" s="2270" t="inlineStr">
        <is>
          <t>Advanced entity search</t>
        </is>
      </c>
    </row>
    <row r="289" ht="14" customHeight="1" s="1439">
      <c r="A289" s="2271">
        <f>IF(OR(ISNUMBER(SEARCH(LEFT('Property Info'!$B$17,MAX(1,FIND(",",'Property Info'!$B$17&amp;",")-1)),B289)),ISNUMBER(SEARCH('Property Info'!$B$18,B289))),"★ Active",IF(B289="REGIONAL / ALL MUNICIPALITIES","Regional","–"))</f>
        <v/>
      </c>
      <c r="B289" s="2271" t="inlineStr">
        <is>
          <t>REGIONAL / ALL MUNICIPALITIES</t>
        </is>
      </c>
      <c r="C289" s="2271" t="inlineStr">
        <is>
          <t>Licensing / Regulation</t>
        </is>
      </c>
      <c r="D289" s="2271" t="inlineStr">
        <is>
          <t>Colorado Division of Real Estate (DORA)</t>
        </is>
      </c>
      <c r="E289" s="2269" t="inlineStr">
        <is>
          <t>https://dre.colorado.gov/</t>
        </is>
      </c>
      <c r="F289" s="2272" t="inlineStr">
        <is>
          <t>State real estate license lookups and regulations</t>
        </is>
      </c>
    </row>
    <row r="290" ht="14" customHeight="1" s="1439">
      <c r="A290" s="2268">
        <f>IF(OR(ISNUMBER(SEARCH(LEFT('Property Info'!$B$17,MAX(1,FIND(",",'Property Info'!$B$17&amp;",")-1)),B290)),ISNUMBER(SEARCH('Property Info'!$B$18,B290))),"★ Active",IF(B290="REGIONAL / ALL MUNICIPALITIES","Regional","–"))</f>
        <v/>
      </c>
      <c r="B290" s="2268" t="inlineStr">
        <is>
          <t>REGIONAL / ALL MUNICIPALITIES</t>
        </is>
      </c>
      <c r="C290" s="2268" t="inlineStr">
        <is>
          <t>Licensing / Regulation</t>
        </is>
      </c>
      <c r="D290" s="2268" t="inlineStr">
        <is>
          <t>Colorado CORA (Open Records Act) — SOS</t>
        </is>
      </c>
      <c r="E290" s="2269" t="inlineStr">
        <is>
          <t>https://www.sos.state.co.us/pubs/info_center/cora.html</t>
        </is>
      </c>
      <c r="F290" s="2270" t="inlineStr">
        <is>
          <t>How to make public records requests</t>
        </is>
      </c>
    </row>
    <row r="291" ht="14" customHeight="1" s="1439">
      <c r="A291" s="2271">
        <f>IF(OR(ISNUMBER(SEARCH(LEFT('Property Info'!$B$17,MAX(1,FIND(",",'Property Info'!$B$17&amp;",")-1)),B291)),ISNUMBER(SEARCH('Property Info'!$B$18,B291))),"★ Active",IF(B291="REGIONAL / ALL MUNICIPALITIES","Regional","–"))</f>
        <v/>
      </c>
      <c r="B291" s="2271" t="inlineStr">
        <is>
          <t>REGIONAL / ALL MUNICIPALITIES</t>
        </is>
      </c>
      <c r="C291" s="2271" t="inlineStr">
        <is>
          <t>Flood Zone</t>
        </is>
      </c>
      <c r="D291" s="2271" t="inlineStr">
        <is>
          <t>FEMA Map Service Center</t>
        </is>
      </c>
      <c r="E291" s="2269" t="inlineStr">
        <is>
          <t>https://msc.fema.gov/</t>
        </is>
      </c>
      <c r="F291" s="2272" t="inlineStr">
        <is>
          <t>FEMA FIRM — address-specific flood zone lookup</t>
        </is>
      </c>
    </row>
    <row r="292" ht="14" customHeight="1" s="1439">
      <c r="A292" s="2268">
        <f>IF(OR(ISNUMBER(SEARCH(LEFT('Property Info'!$B$17,MAX(1,FIND(",",'Property Info'!$B$17&amp;",")-1)),B292)),ISNUMBER(SEARCH('Property Info'!$B$18,B292))),"★ Active",IF(B292="REGIONAL / ALL MUNICIPALITIES","Regional","–"))</f>
        <v/>
      </c>
      <c r="B292" s="2268" t="inlineStr">
        <is>
          <t>REGIONAL / ALL MUNICIPALITIES</t>
        </is>
      </c>
      <c r="C292" s="2268" t="inlineStr">
        <is>
          <t>Flood Zone</t>
        </is>
      </c>
      <c r="D292" s="2268" t="inlineStr">
        <is>
          <t>Colorado Hazard Mapping / RiskMAP</t>
        </is>
      </c>
      <c r="E292" s="2269" t="inlineStr">
        <is>
          <t>https://coloradohazardmapping.com/hazardMapping/floodplainMapping</t>
        </is>
      </c>
      <c r="F292" s="2270" t="inlineStr">
        <is>
          <t>State-level flood mapping portal</t>
        </is>
      </c>
    </row>
    <row r="293" ht="14" customHeight="1" s="1439">
      <c r="A293" s="2271">
        <f>IF(OR(ISNUMBER(SEARCH(LEFT('Property Info'!$B$17,MAX(1,FIND(",",'Property Info'!$B$17&amp;",")-1)),B293)),ISNUMBER(SEARCH('Property Info'!$B$18,B293))),"★ Active",IF(B293="REGIONAL / ALL MUNICIPALITIES","Regional","–"))</f>
        <v/>
      </c>
      <c r="B293" s="2271" t="inlineStr">
        <is>
          <t>REGIONAL / ALL MUNICIPALITIES</t>
        </is>
      </c>
      <c r="C293" s="2271" t="inlineStr">
        <is>
          <t>MLS / Listings</t>
        </is>
      </c>
      <c r="D293" s="2271" t="inlineStr">
        <is>
          <t>REcolorado MLS (licensed professionals)</t>
        </is>
      </c>
      <c r="E293" s="2269" t="inlineStr">
        <is>
          <t>https://recolorado.com/</t>
        </is>
      </c>
      <c r="F293" s="2272" t="inlineStr">
        <is>
          <t>Primary Denver metro MLS</t>
        </is>
      </c>
    </row>
    <row r="294" ht="14" customHeight="1" s="1439">
      <c r="A294" s="2268">
        <f>IF(OR(ISNUMBER(SEARCH(LEFT('Property Info'!$B$17,MAX(1,FIND(",",'Property Info'!$B$17&amp;",")-1)),B294)),ISNUMBER(SEARCH('Property Info'!$B$18,B294))),"★ Active",IF(B294="REGIONAL / ALL MUNICIPALITIES","Regional","–"))</f>
        <v/>
      </c>
      <c r="B294" s="2268" t="inlineStr">
        <is>
          <t>REGIONAL / ALL MUNICIPALITIES</t>
        </is>
      </c>
      <c r="C294" s="2268" t="inlineStr">
        <is>
          <t>MLS / Listings</t>
        </is>
      </c>
      <c r="D294" s="2268" t="inlineStr">
        <is>
          <t>ColoProperty.com (public listings portal)</t>
        </is>
      </c>
      <c r="E294" s="2269" t="inlineStr">
        <is>
          <t>https://coloproperty.com/</t>
        </is>
      </c>
      <c r="F294" s="2270" t="inlineStr">
        <is>
          <t>Public-facing MLS listings</t>
        </is>
      </c>
    </row>
    <row r="295" ht="14" customHeight="1" s="1439">
      <c r="A295" s="2271">
        <f>IF(OR(ISNUMBER(SEARCH(LEFT('Property Info'!$B$17,MAX(1,FIND(",",'Property Info'!$B$17&amp;",")-1)),B295)),ISNUMBER(SEARCH('Property Info'!$B$18,B295))),"★ Active",IF(B295="REGIONAL / ALL MUNICIPALITIES","Regional","–"))</f>
        <v/>
      </c>
      <c r="B295" s="2271" t="inlineStr">
        <is>
          <t>REGIONAL / ALL MUNICIPALITIES</t>
        </is>
      </c>
      <c r="C295" s="2271" t="inlineStr">
        <is>
          <t>MLS / Listings</t>
        </is>
      </c>
      <c r="D295" s="2271" t="inlineStr">
        <is>
          <t>IRES MLS</t>
        </is>
      </c>
      <c r="E295" s="2269" t="inlineStr">
        <is>
          <t>https://iresmls.com/</t>
        </is>
      </c>
      <c r="F295" s="2272" t="inlineStr">
        <is>
          <t>Northern Colorado MLS</t>
        </is>
      </c>
    </row>
    <row r="296" ht="14" customHeight="1" s="1439">
      <c r="A296" s="2268">
        <f>IF(OR(ISNUMBER(SEARCH(LEFT('Property Info'!$B$17,MAX(1,FIND(",",'Property Info'!$B$17&amp;",")-1)),B296)),ISNUMBER(SEARCH('Property Info'!$B$18,B296))),"★ Active",IF(B296="REGIONAL / ALL MUNICIPALITIES","Regional","–"))</f>
        <v/>
      </c>
      <c r="B296" s="2268" t="inlineStr">
        <is>
          <t>REGIONAL / ALL MUNICIPALITIES</t>
        </is>
      </c>
      <c r="C296" s="2268" t="inlineStr">
        <is>
          <t>School Districts</t>
        </is>
      </c>
      <c r="D296" s="2268" t="inlineStr">
        <is>
          <t>Adams 12 Five Star Schools</t>
        </is>
      </c>
      <c r="E296" s="2269" t="inlineStr">
        <is>
          <t>https://www.adams12.org/</t>
        </is>
      </c>
      <c r="F296" s="2270" t="inlineStr">
        <is>
          <t>Serves Brighton,  Commerce City,  Federal Heights,  Northglenn,  Thornton,  Westminster (Adams Co. portion)</t>
        </is>
      </c>
    </row>
    <row r="297" ht="14" customHeight="1" s="1439">
      <c r="A297" s="2271">
        <f>IF(OR(ISNUMBER(SEARCH(LEFT('Property Info'!$B$17,MAX(1,FIND(",",'Property Info'!$B$17&amp;",")-1)),B297)),ISNUMBER(SEARCH('Property Info'!$B$18,B297))),"★ Active",IF(B297="REGIONAL / ALL MUNICIPALITIES","Regional","–"))</f>
        <v/>
      </c>
      <c r="B297" s="2271" t="inlineStr">
        <is>
          <t>REGIONAL / ALL MUNICIPALITIES</t>
        </is>
      </c>
      <c r="C297" s="2271" t="inlineStr">
        <is>
          <t>School Districts</t>
        </is>
      </c>
      <c r="D297" s="2271" t="inlineStr">
        <is>
          <t>School District 27J (Brighton)</t>
        </is>
      </c>
      <c r="E297" s="2269" t="inlineStr">
        <is>
          <t>https://www.sd27j.org/</t>
        </is>
      </c>
      <c r="F297" s="2272" t="inlineStr">
        <is>
          <t>Serves Brighton,  northeast Thornton,  Lochbuie</t>
        </is>
      </c>
    </row>
    <row r="298" ht="14" customHeight="1" s="1439">
      <c r="A298" s="2268">
        <f>IF(OR(ISNUMBER(SEARCH(LEFT('Property Info'!$B$17,MAX(1,FIND(",",'Property Info'!$B$17&amp;",")-1)),B298)),ISNUMBER(SEARCH('Property Info'!$B$18,B298))),"★ Active",IF(B298="REGIONAL / ALL MUNICIPALITIES","Regional","–"))</f>
        <v/>
      </c>
      <c r="B298" s="2268" t="inlineStr">
        <is>
          <t>REGIONAL / ALL MUNICIPALITIES</t>
        </is>
      </c>
      <c r="C298" s="2268" t="inlineStr">
        <is>
          <t>School Districts</t>
        </is>
      </c>
      <c r="D298" s="2268" t="inlineStr">
        <is>
          <t>Mapleton School District 1</t>
        </is>
      </c>
      <c r="E298" s="2269" t="inlineStr">
        <is>
          <t>https://www.mapleton.us/</t>
        </is>
      </c>
      <c r="F298" s="2270" t="inlineStr">
        <is>
          <t>Serves portions of Commerce City and unincorporated Adams County</t>
        </is>
      </c>
    </row>
    <row r="299" ht="14" customHeight="1" s="1439">
      <c r="A299" s="2271">
        <f>IF(OR(ISNUMBER(SEARCH(LEFT('Property Info'!$B$17,MAX(1,FIND(",",'Property Info'!$B$17&amp;",")-1)),B299)),ISNUMBER(SEARCH('Property Info'!$B$18,B299))),"★ Active",IF(B299="REGIONAL / ALL MUNICIPALITIES","Regional","–"))</f>
        <v/>
      </c>
      <c r="B299" s="2271" t="inlineStr">
        <is>
          <t>REGIONAL / ALL MUNICIPALITIES</t>
        </is>
      </c>
      <c r="C299" s="2271" t="inlineStr">
        <is>
          <t>School Districts</t>
        </is>
      </c>
      <c r="D299" s="2271" t="inlineStr">
        <is>
          <t>Aurora Public Schools</t>
        </is>
      </c>
      <c r="E299" s="2269" t="inlineStr">
        <is>
          <t>https://www.aurorak12.org/</t>
        </is>
      </c>
      <c r="F299" s="2272" t="inlineStr">
        <is>
          <t>Serves Aurora</t>
        </is>
      </c>
    </row>
    <row r="300" ht="14" customHeight="1" s="1439">
      <c r="A300" s="2268">
        <f>IF(OR(ISNUMBER(SEARCH(LEFT('Property Info'!$B$17,MAX(1,FIND(",",'Property Info'!$B$17&amp;",")-1)),B300)),ISNUMBER(SEARCH('Property Info'!$B$18,B300))),"★ Active",IF(B300="REGIONAL / ALL MUNICIPALITIES","Regional","–"))</f>
        <v/>
      </c>
      <c r="B300" s="2268" t="inlineStr">
        <is>
          <t>REGIONAL / ALL MUNICIPALITIES</t>
        </is>
      </c>
      <c r="C300" s="2268" t="inlineStr">
        <is>
          <t>School Districts</t>
        </is>
      </c>
      <c r="D300" s="2268" t="inlineStr">
        <is>
          <t>Cherry Creek School District</t>
        </is>
      </c>
      <c r="E300" s="2269" t="inlineStr">
        <is>
          <t>https://www.cherrycreekschools.org/</t>
        </is>
      </c>
      <c r="F300" s="2270" t="inlineStr">
        <is>
          <t>Serves parts of Aurora (Arapahoe Co. portion)</t>
        </is>
      </c>
    </row>
    <row r="301" ht="14" customHeight="1" s="1439">
      <c r="A301" s="2271">
        <f>IF(OR(ISNUMBER(SEARCH(LEFT('Property Info'!$B$17,MAX(1,FIND(",",'Property Info'!$B$17&amp;",")-1)),B301)),ISNUMBER(SEARCH('Property Info'!$B$18,B301))),"★ Active",IF(B301="REGIONAL / ALL MUNICIPALITIES","Regional","–"))</f>
        <v/>
      </c>
      <c r="B301" s="2271" t="inlineStr">
        <is>
          <t>REGIONAL / ALL MUNICIPALITIES</t>
        </is>
      </c>
      <c r="C301" s="2271" t="inlineStr">
        <is>
          <t>School Districts</t>
        </is>
      </c>
      <c r="D301" s="2271" t="inlineStr">
        <is>
          <t>Bennett School District 29J</t>
        </is>
      </c>
      <c r="E301" s="2269" t="inlineStr">
        <is>
          <t>https://www.bsd29j.com/</t>
        </is>
      </c>
      <c r="F301" s="2272" t="inlineStr">
        <is>
          <t>Serves Bennett</t>
        </is>
      </c>
    </row>
    <row r="302" ht="14" customHeight="1" s="1439">
      <c r="A302" s="2268">
        <f>IF(OR(ISNUMBER(SEARCH(LEFT('Property Info'!$B$17,MAX(1,FIND(",",'Property Info'!$B$17&amp;",")-1)),B302)),ISNUMBER(SEARCH('Property Info'!$B$18,B302))),"★ Active",IF(B302="REGIONAL / ALL MUNICIPALITIES","Regional","–"))</f>
        <v/>
      </c>
      <c r="B302" s="2268" t="inlineStr">
        <is>
          <t>REGIONAL / ALL MUNICIPALITIES</t>
        </is>
      </c>
      <c r="C302" s="2268" t="inlineStr">
        <is>
          <t>School Districts</t>
        </is>
      </c>
      <c r="D302" s="2268" t="inlineStr">
        <is>
          <t>Jefferson County Public Schools</t>
        </is>
      </c>
      <c r="E302" s="2269" t="inlineStr">
        <is>
          <t>https://www.jeffcopublicschools.org/</t>
        </is>
      </c>
      <c r="F302" s="2270" t="inlineStr">
        <is>
          <t>Serves Westminster and Arvada (Jefferson Co. portions)</t>
        </is>
      </c>
    </row>
  </sheetData>
  <mergeCells count="3">
    <mergeCell ref="A3:F3"/>
    <mergeCell ref="A2:F2"/>
    <mergeCell ref="A1:F1"/>
  </mergeCells>
  <conditionalFormatting sqref="A6:F302">
    <cfRule type="expression" priority="1" dxfId="10">
      <formula>$A6="★ Active"</formula>
    </cfRule>
    <cfRule type="expression" priority="2" dxfId="11">
      <formula>$A6="Regional"</formula>
    </cfRule>
  </conditionalFormatting>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 xmlns:r="http://schemas.openxmlformats.org/officeDocument/2006/relationships" ref="E22" r:id="rId17"/>
    <hyperlink xmlns:r="http://schemas.openxmlformats.org/officeDocument/2006/relationships" ref="E23" r:id="rId18"/>
    <hyperlink xmlns:r="http://schemas.openxmlformats.org/officeDocument/2006/relationships" ref="E24" r:id="rId19"/>
    <hyperlink xmlns:r="http://schemas.openxmlformats.org/officeDocument/2006/relationships" ref="E25" r:id="rId20"/>
    <hyperlink xmlns:r="http://schemas.openxmlformats.org/officeDocument/2006/relationships" ref="E26" r:id="rId21"/>
    <hyperlink xmlns:r="http://schemas.openxmlformats.org/officeDocument/2006/relationships" ref="E27" r:id="rId22"/>
    <hyperlink xmlns:r="http://schemas.openxmlformats.org/officeDocument/2006/relationships" ref="E28" r:id="rId23"/>
    <hyperlink xmlns:r="http://schemas.openxmlformats.org/officeDocument/2006/relationships" ref="E29" r:id="rId24"/>
    <hyperlink xmlns:r="http://schemas.openxmlformats.org/officeDocument/2006/relationships" ref="E30" r:id="rId25"/>
    <hyperlink xmlns:r="http://schemas.openxmlformats.org/officeDocument/2006/relationships" ref="E31" r:id="rId26"/>
    <hyperlink xmlns:r="http://schemas.openxmlformats.org/officeDocument/2006/relationships" ref="E32" r:id="rId27"/>
    <hyperlink xmlns:r="http://schemas.openxmlformats.org/officeDocument/2006/relationships" ref="E33" r:id="rId28"/>
    <hyperlink xmlns:r="http://schemas.openxmlformats.org/officeDocument/2006/relationships" ref="E34" r:id="rId29"/>
    <hyperlink xmlns:r="http://schemas.openxmlformats.org/officeDocument/2006/relationships" ref="E35" r:id="rId30"/>
    <hyperlink xmlns:r="http://schemas.openxmlformats.org/officeDocument/2006/relationships" ref="E36" r:id="rId31"/>
    <hyperlink xmlns:r="http://schemas.openxmlformats.org/officeDocument/2006/relationships" ref="E37" r:id="rId32"/>
    <hyperlink xmlns:r="http://schemas.openxmlformats.org/officeDocument/2006/relationships" ref="E38" r:id="rId33"/>
    <hyperlink xmlns:r="http://schemas.openxmlformats.org/officeDocument/2006/relationships" ref="E39" r:id="rId34"/>
    <hyperlink xmlns:r="http://schemas.openxmlformats.org/officeDocument/2006/relationships" ref="E40" r:id="rId35"/>
    <hyperlink xmlns:r="http://schemas.openxmlformats.org/officeDocument/2006/relationships" ref="E41" r:id="rId36"/>
    <hyperlink xmlns:r="http://schemas.openxmlformats.org/officeDocument/2006/relationships" ref="E42" r:id="rId37"/>
    <hyperlink xmlns:r="http://schemas.openxmlformats.org/officeDocument/2006/relationships" ref="E43" r:id="rId38"/>
    <hyperlink xmlns:r="http://schemas.openxmlformats.org/officeDocument/2006/relationships" ref="E44" r:id="rId39"/>
    <hyperlink xmlns:r="http://schemas.openxmlformats.org/officeDocument/2006/relationships" ref="E45" r:id="rId40"/>
    <hyperlink xmlns:r="http://schemas.openxmlformats.org/officeDocument/2006/relationships" ref="E46" r:id="rId41"/>
    <hyperlink xmlns:r="http://schemas.openxmlformats.org/officeDocument/2006/relationships" ref="E47" r:id="rId42"/>
    <hyperlink xmlns:r="http://schemas.openxmlformats.org/officeDocument/2006/relationships" ref="E48" r:id="rId43"/>
    <hyperlink xmlns:r="http://schemas.openxmlformats.org/officeDocument/2006/relationships" ref="E49" r:id="rId44"/>
    <hyperlink xmlns:r="http://schemas.openxmlformats.org/officeDocument/2006/relationships" ref="E50" r:id="rId45"/>
    <hyperlink xmlns:r="http://schemas.openxmlformats.org/officeDocument/2006/relationships" ref="E51" r:id="rId46"/>
    <hyperlink xmlns:r="http://schemas.openxmlformats.org/officeDocument/2006/relationships" ref="E52" r:id="rId47"/>
    <hyperlink xmlns:r="http://schemas.openxmlformats.org/officeDocument/2006/relationships" ref="E53" r:id="rId48"/>
    <hyperlink xmlns:r="http://schemas.openxmlformats.org/officeDocument/2006/relationships" ref="E54" r:id="rId49"/>
    <hyperlink xmlns:r="http://schemas.openxmlformats.org/officeDocument/2006/relationships" ref="E55" r:id="rId50"/>
    <hyperlink xmlns:r="http://schemas.openxmlformats.org/officeDocument/2006/relationships" ref="E56" r:id="rId51"/>
    <hyperlink xmlns:r="http://schemas.openxmlformats.org/officeDocument/2006/relationships" ref="E57" r:id="rId52"/>
    <hyperlink xmlns:r="http://schemas.openxmlformats.org/officeDocument/2006/relationships" ref="E58" r:id="rId53"/>
    <hyperlink xmlns:r="http://schemas.openxmlformats.org/officeDocument/2006/relationships" ref="E59" r:id="rId54"/>
    <hyperlink xmlns:r="http://schemas.openxmlformats.org/officeDocument/2006/relationships" ref="E60" r:id="rId55"/>
    <hyperlink xmlns:r="http://schemas.openxmlformats.org/officeDocument/2006/relationships" ref="E61" r:id="rId56"/>
    <hyperlink xmlns:r="http://schemas.openxmlformats.org/officeDocument/2006/relationships" ref="E62" r:id="rId57"/>
    <hyperlink xmlns:r="http://schemas.openxmlformats.org/officeDocument/2006/relationships" ref="E63" r:id="rId58"/>
    <hyperlink xmlns:r="http://schemas.openxmlformats.org/officeDocument/2006/relationships" ref="E64" r:id="rId59"/>
    <hyperlink xmlns:r="http://schemas.openxmlformats.org/officeDocument/2006/relationships" ref="E65" r:id="rId60"/>
    <hyperlink xmlns:r="http://schemas.openxmlformats.org/officeDocument/2006/relationships" ref="E66" r:id="rId61"/>
    <hyperlink xmlns:r="http://schemas.openxmlformats.org/officeDocument/2006/relationships" ref="E67" r:id="rId62"/>
    <hyperlink xmlns:r="http://schemas.openxmlformats.org/officeDocument/2006/relationships" ref="E68" r:id="rId63"/>
    <hyperlink xmlns:r="http://schemas.openxmlformats.org/officeDocument/2006/relationships" ref="E69" r:id="rId64"/>
    <hyperlink xmlns:r="http://schemas.openxmlformats.org/officeDocument/2006/relationships" ref="E70" r:id="rId65"/>
    <hyperlink xmlns:r="http://schemas.openxmlformats.org/officeDocument/2006/relationships" ref="E71" r:id="rId66"/>
    <hyperlink xmlns:r="http://schemas.openxmlformats.org/officeDocument/2006/relationships" ref="E72" r:id="rId67"/>
    <hyperlink xmlns:r="http://schemas.openxmlformats.org/officeDocument/2006/relationships" ref="E73" r:id="rId68"/>
    <hyperlink xmlns:r="http://schemas.openxmlformats.org/officeDocument/2006/relationships" ref="E74" r:id="rId69"/>
    <hyperlink xmlns:r="http://schemas.openxmlformats.org/officeDocument/2006/relationships" ref="E75" r:id="rId70"/>
    <hyperlink xmlns:r="http://schemas.openxmlformats.org/officeDocument/2006/relationships" ref="E76" r:id="rId71"/>
    <hyperlink xmlns:r="http://schemas.openxmlformats.org/officeDocument/2006/relationships" ref="E77" r:id="rId72"/>
    <hyperlink xmlns:r="http://schemas.openxmlformats.org/officeDocument/2006/relationships" ref="E78" r:id="rId73"/>
    <hyperlink xmlns:r="http://schemas.openxmlformats.org/officeDocument/2006/relationships" ref="E79" r:id="rId74"/>
    <hyperlink xmlns:r="http://schemas.openxmlformats.org/officeDocument/2006/relationships" ref="E80" r:id="rId75"/>
    <hyperlink xmlns:r="http://schemas.openxmlformats.org/officeDocument/2006/relationships" ref="E81" r:id="rId76"/>
    <hyperlink xmlns:r="http://schemas.openxmlformats.org/officeDocument/2006/relationships" ref="E82" r:id="rId77"/>
    <hyperlink xmlns:r="http://schemas.openxmlformats.org/officeDocument/2006/relationships" ref="E83" r:id="rId78"/>
    <hyperlink xmlns:r="http://schemas.openxmlformats.org/officeDocument/2006/relationships" ref="E84" r:id="rId79"/>
    <hyperlink xmlns:r="http://schemas.openxmlformats.org/officeDocument/2006/relationships" ref="E85" r:id="rId80"/>
    <hyperlink xmlns:r="http://schemas.openxmlformats.org/officeDocument/2006/relationships" ref="E86" r:id="rId81"/>
    <hyperlink xmlns:r="http://schemas.openxmlformats.org/officeDocument/2006/relationships" ref="E87" r:id="rId82"/>
    <hyperlink xmlns:r="http://schemas.openxmlformats.org/officeDocument/2006/relationships" ref="E88" r:id="rId83"/>
    <hyperlink xmlns:r="http://schemas.openxmlformats.org/officeDocument/2006/relationships" ref="E89" r:id="rId84"/>
    <hyperlink xmlns:r="http://schemas.openxmlformats.org/officeDocument/2006/relationships" ref="E90" r:id="rId85"/>
    <hyperlink xmlns:r="http://schemas.openxmlformats.org/officeDocument/2006/relationships" ref="E91" r:id="rId86"/>
    <hyperlink xmlns:r="http://schemas.openxmlformats.org/officeDocument/2006/relationships" ref="E92" r:id="rId87"/>
    <hyperlink xmlns:r="http://schemas.openxmlformats.org/officeDocument/2006/relationships" ref="E93" r:id="rId88"/>
    <hyperlink xmlns:r="http://schemas.openxmlformats.org/officeDocument/2006/relationships" ref="E94" r:id="rId89"/>
    <hyperlink xmlns:r="http://schemas.openxmlformats.org/officeDocument/2006/relationships" ref="E95" r:id="rId90"/>
    <hyperlink xmlns:r="http://schemas.openxmlformats.org/officeDocument/2006/relationships" ref="E96" r:id="rId91"/>
    <hyperlink xmlns:r="http://schemas.openxmlformats.org/officeDocument/2006/relationships" ref="E97" r:id="rId92"/>
    <hyperlink xmlns:r="http://schemas.openxmlformats.org/officeDocument/2006/relationships" ref="E98" r:id="rId93"/>
    <hyperlink xmlns:r="http://schemas.openxmlformats.org/officeDocument/2006/relationships" ref="E99" r:id="rId94"/>
    <hyperlink xmlns:r="http://schemas.openxmlformats.org/officeDocument/2006/relationships" ref="E100" r:id="rId95"/>
    <hyperlink xmlns:r="http://schemas.openxmlformats.org/officeDocument/2006/relationships" ref="E101" r:id="rId96"/>
    <hyperlink xmlns:r="http://schemas.openxmlformats.org/officeDocument/2006/relationships" ref="E102" r:id="rId97"/>
    <hyperlink xmlns:r="http://schemas.openxmlformats.org/officeDocument/2006/relationships" ref="E103" r:id="rId98"/>
    <hyperlink xmlns:r="http://schemas.openxmlformats.org/officeDocument/2006/relationships" ref="E104" r:id="rId99"/>
    <hyperlink xmlns:r="http://schemas.openxmlformats.org/officeDocument/2006/relationships" ref="E105" r:id="rId100"/>
    <hyperlink xmlns:r="http://schemas.openxmlformats.org/officeDocument/2006/relationships" ref="E106" r:id="rId101"/>
    <hyperlink xmlns:r="http://schemas.openxmlformats.org/officeDocument/2006/relationships" ref="E107" r:id="rId102"/>
    <hyperlink xmlns:r="http://schemas.openxmlformats.org/officeDocument/2006/relationships" ref="E108" r:id="rId103"/>
    <hyperlink xmlns:r="http://schemas.openxmlformats.org/officeDocument/2006/relationships" ref="E109" r:id="rId104"/>
    <hyperlink xmlns:r="http://schemas.openxmlformats.org/officeDocument/2006/relationships" ref="E110" r:id="rId105"/>
    <hyperlink xmlns:r="http://schemas.openxmlformats.org/officeDocument/2006/relationships" ref="E111" r:id="rId106"/>
    <hyperlink xmlns:r="http://schemas.openxmlformats.org/officeDocument/2006/relationships" ref="E112" r:id="rId107"/>
    <hyperlink xmlns:r="http://schemas.openxmlformats.org/officeDocument/2006/relationships" ref="E113" r:id="rId108"/>
    <hyperlink xmlns:r="http://schemas.openxmlformats.org/officeDocument/2006/relationships" ref="E114" r:id="rId109"/>
    <hyperlink xmlns:r="http://schemas.openxmlformats.org/officeDocument/2006/relationships" ref="E115" r:id="rId110"/>
    <hyperlink xmlns:r="http://schemas.openxmlformats.org/officeDocument/2006/relationships" ref="E116" r:id="rId111"/>
    <hyperlink xmlns:r="http://schemas.openxmlformats.org/officeDocument/2006/relationships" ref="E117" r:id="rId112"/>
    <hyperlink xmlns:r="http://schemas.openxmlformats.org/officeDocument/2006/relationships" ref="E118" r:id="rId113"/>
    <hyperlink xmlns:r="http://schemas.openxmlformats.org/officeDocument/2006/relationships" ref="E119" r:id="rId114"/>
    <hyperlink xmlns:r="http://schemas.openxmlformats.org/officeDocument/2006/relationships" ref="E120" r:id="rId115"/>
    <hyperlink xmlns:r="http://schemas.openxmlformats.org/officeDocument/2006/relationships" ref="E121" r:id="rId116"/>
    <hyperlink xmlns:r="http://schemas.openxmlformats.org/officeDocument/2006/relationships" ref="E122" r:id="rId117"/>
    <hyperlink xmlns:r="http://schemas.openxmlformats.org/officeDocument/2006/relationships" ref="E123" r:id="rId118"/>
    <hyperlink xmlns:r="http://schemas.openxmlformats.org/officeDocument/2006/relationships" ref="E124" r:id="rId119"/>
    <hyperlink xmlns:r="http://schemas.openxmlformats.org/officeDocument/2006/relationships" ref="E125" r:id="rId120"/>
    <hyperlink xmlns:r="http://schemas.openxmlformats.org/officeDocument/2006/relationships" ref="E126" r:id="rId121"/>
    <hyperlink xmlns:r="http://schemas.openxmlformats.org/officeDocument/2006/relationships" ref="E127" r:id="rId122"/>
    <hyperlink xmlns:r="http://schemas.openxmlformats.org/officeDocument/2006/relationships" ref="E128" r:id="rId123"/>
    <hyperlink xmlns:r="http://schemas.openxmlformats.org/officeDocument/2006/relationships" ref="E129" r:id="rId124"/>
    <hyperlink xmlns:r="http://schemas.openxmlformats.org/officeDocument/2006/relationships" ref="E130" r:id="rId125"/>
    <hyperlink xmlns:r="http://schemas.openxmlformats.org/officeDocument/2006/relationships" ref="E131" r:id="rId126"/>
    <hyperlink xmlns:r="http://schemas.openxmlformats.org/officeDocument/2006/relationships" ref="E132" r:id="rId127"/>
    <hyperlink xmlns:r="http://schemas.openxmlformats.org/officeDocument/2006/relationships" ref="E133" r:id="rId128"/>
    <hyperlink xmlns:r="http://schemas.openxmlformats.org/officeDocument/2006/relationships" ref="E134" r:id="rId129"/>
    <hyperlink xmlns:r="http://schemas.openxmlformats.org/officeDocument/2006/relationships" ref="E135" r:id="rId130"/>
    <hyperlink xmlns:r="http://schemas.openxmlformats.org/officeDocument/2006/relationships" ref="E136" r:id="rId131"/>
    <hyperlink xmlns:r="http://schemas.openxmlformats.org/officeDocument/2006/relationships" ref="E137" r:id="rId132"/>
    <hyperlink xmlns:r="http://schemas.openxmlformats.org/officeDocument/2006/relationships" ref="E138" r:id="rId133"/>
    <hyperlink xmlns:r="http://schemas.openxmlformats.org/officeDocument/2006/relationships" ref="E139" r:id="rId134"/>
    <hyperlink xmlns:r="http://schemas.openxmlformats.org/officeDocument/2006/relationships" ref="E140" r:id="rId135"/>
    <hyperlink xmlns:r="http://schemas.openxmlformats.org/officeDocument/2006/relationships" ref="E141" r:id="rId136"/>
    <hyperlink xmlns:r="http://schemas.openxmlformats.org/officeDocument/2006/relationships" ref="E142" r:id="rId137"/>
    <hyperlink xmlns:r="http://schemas.openxmlformats.org/officeDocument/2006/relationships" ref="E143" r:id="rId138"/>
    <hyperlink xmlns:r="http://schemas.openxmlformats.org/officeDocument/2006/relationships" ref="E144" r:id="rId139"/>
    <hyperlink xmlns:r="http://schemas.openxmlformats.org/officeDocument/2006/relationships" ref="E145" r:id="rId140"/>
    <hyperlink xmlns:r="http://schemas.openxmlformats.org/officeDocument/2006/relationships" ref="E146" r:id="rId141"/>
    <hyperlink xmlns:r="http://schemas.openxmlformats.org/officeDocument/2006/relationships" ref="E147" r:id="rId142"/>
    <hyperlink xmlns:r="http://schemas.openxmlformats.org/officeDocument/2006/relationships" ref="E148" r:id="rId143"/>
    <hyperlink xmlns:r="http://schemas.openxmlformats.org/officeDocument/2006/relationships" ref="E149" r:id="rId144"/>
    <hyperlink xmlns:r="http://schemas.openxmlformats.org/officeDocument/2006/relationships" ref="E150" r:id="rId145"/>
    <hyperlink xmlns:r="http://schemas.openxmlformats.org/officeDocument/2006/relationships" ref="E151" r:id="rId146"/>
    <hyperlink xmlns:r="http://schemas.openxmlformats.org/officeDocument/2006/relationships" ref="E152" r:id="rId147"/>
    <hyperlink xmlns:r="http://schemas.openxmlformats.org/officeDocument/2006/relationships" ref="E153" r:id="rId148"/>
    <hyperlink xmlns:r="http://schemas.openxmlformats.org/officeDocument/2006/relationships" ref="E154" r:id="rId149"/>
    <hyperlink xmlns:r="http://schemas.openxmlformats.org/officeDocument/2006/relationships" ref="E155" r:id="rId150"/>
    <hyperlink xmlns:r="http://schemas.openxmlformats.org/officeDocument/2006/relationships" ref="E156" r:id="rId151"/>
    <hyperlink xmlns:r="http://schemas.openxmlformats.org/officeDocument/2006/relationships" ref="E157" r:id="rId152"/>
    <hyperlink xmlns:r="http://schemas.openxmlformats.org/officeDocument/2006/relationships" ref="E158" r:id="rId153"/>
    <hyperlink xmlns:r="http://schemas.openxmlformats.org/officeDocument/2006/relationships" ref="E159" r:id="rId154"/>
    <hyperlink xmlns:r="http://schemas.openxmlformats.org/officeDocument/2006/relationships" ref="E160" r:id="rId155"/>
    <hyperlink xmlns:r="http://schemas.openxmlformats.org/officeDocument/2006/relationships" ref="E161" r:id="rId156"/>
    <hyperlink xmlns:r="http://schemas.openxmlformats.org/officeDocument/2006/relationships" ref="E162" r:id="rId157"/>
    <hyperlink xmlns:r="http://schemas.openxmlformats.org/officeDocument/2006/relationships" ref="E163" r:id="rId158"/>
    <hyperlink xmlns:r="http://schemas.openxmlformats.org/officeDocument/2006/relationships" ref="E164" r:id="rId159"/>
    <hyperlink xmlns:r="http://schemas.openxmlformats.org/officeDocument/2006/relationships" ref="E165" r:id="rId160"/>
    <hyperlink xmlns:r="http://schemas.openxmlformats.org/officeDocument/2006/relationships" ref="E166" r:id="rId161"/>
    <hyperlink xmlns:r="http://schemas.openxmlformats.org/officeDocument/2006/relationships" ref="E167" r:id="rId162"/>
    <hyperlink xmlns:r="http://schemas.openxmlformats.org/officeDocument/2006/relationships" ref="E168" r:id="rId163"/>
    <hyperlink xmlns:r="http://schemas.openxmlformats.org/officeDocument/2006/relationships" ref="E169" r:id="rId164"/>
    <hyperlink xmlns:r="http://schemas.openxmlformats.org/officeDocument/2006/relationships" ref="E170" r:id="rId165"/>
    <hyperlink xmlns:r="http://schemas.openxmlformats.org/officeDocument/2006/relationships" ref="E171" r:id="rId166"/>
    <hyperlink xmlns:r="http://schemas.openxmlformats.org/officeDocument/2006/relationships" ref="E172" r:id="rId167"/>
    <hyperlink xmlns:r="http://schemas.openxmlformats.org/officeDocument/2006/relationships" ref="E173" r:id="rId168"/>
    <hyperlink xmlns:r="http://schemas.openxmlformats.org/officeDocument/2006/relationships" ref="E174" r:id="rId169"/>
    <hyperlink xmlns:r="http://schemas.openxmlformats.org/officeDocument/2006/relationships" ref="E175" r:id="rId170"/>
    <hyperlink xmlns:r="http://schemas.openxmlformats.org/officeDocument/2006/relationships" ref="E176" r:id="rId171"/>
    <hyperlink xmlns:r="http://schemas.openxmlformats.org/officeDocument/2006/relationships" ref="E177" r:id="rId172"/>
    <hyperlink xmlns:r="http://schemas.openxmlformats.org/officeDocument/2006/relationships" ref="E178" r:id="rId173"/>
    <hyperlink xmlns:r="http://schemas.openxmlformats.org/officeDocument/2006/relationships" ref="E179" r:id="rId174"/>
    <hyperlink xmlns:r="http://schemas.openxmlformats.org/officeDocument/2006/relationships" ref="E180" r:id="rId175"/>
    <hyperlink xmlns:r="http://schemas.openxmlformats.org/officeDocument/2006/relationships" ref="E181" r:id="rId176"/>
    <hyperlink xmlns:r="http://schemas.openxmlformats.org/officeDocument/2006/relationships" ref="E182" r:id="rId177"/>
    <hyperlink xmlns:r="http://schemas.openxmlformats.org/officeDocument/2006/relationships" ref="E183" r:id="rId178"/>
    <hyperlink xmlns:r="http://schemas.openxmlformats.org/officeDocument/2006/relationships" ref="E184" r:id="rId179"/>
    <hyperlink xmlns:r="http://schemas.openxmlformats.org/officeDocument/2006/relationships" ref="E185" r:id="rId180"/>
    <hyperlink xmlns:r="http://schemas.openxmlformats.org/officeDocument/2006/relationships" ref="E186" r:id="rId181"/>
    <hyperlink xmlns:r="http://schemas.openxmlformats.org/officeDocument/2006/relationships" ref="E187" r:id="rId182"/>
    <hyperlink xmlns:r="http://schemas.openxmlformats.org/officeDocument/2006/relationships" ref="E188" r:id="rId183"/>
    <hyperlink xmlns:r="http://schemas.openxmlformats.org/officeDocument/2006/relationships" ref="E189" r:id="rId184"/>
    <hyperlink xmlns:r="http://schemas.openxmlformats.org/officeDocument/2006/relationships" ref="E190" r:id="rId185"/>
    <hyperlink xmlns:r="http://schemas.openxmlformats.org/officeDocument/2006/relationships" ref="E191" r:id="rId186"/>
    <hyperlink xmlns:r="http://schemas.openxmlformats.org/officeDocument/2006/relationships" ref="E192" r:id="rId187"/>
    <hyperlink xmlns:r="http://schemas.openxmlformats.org/officeDocument/2006/relationships" ref="E193" r:id="rId188"/>
    <hyperlink xmlns:r="http://schemas.openxmlformats.org/officeDocument/2006/relationships" ref="E194" r:id="rId189"/>
    <hyperlink xmlns:r="http://schemas.openxmlformats.org/officeDocument/2006/relationships" ref="E195" r:id="rId190"/>
    <hyperlink xmlns:r="http://schemas.openxmlformats.org/officeDocument/2006/relationships" ref="E196" r:id="rId191"/>
    <hyperlink xmlns:r="http://schemas.openxmlformats.org/officeDocument/2006/relationships" ref="E197" r:id="rId192"/>
    <hyperlink xmlns:r="http://schemas.openxmlformats.org/officeDocument/2006/relationships" ref="E198" r:id="rId193"/>
    <hyperlink xmlns:r="http://schemas.openxmlformats.org/officeDocument/2006/relationships" ref="E199" r:id="rId194"/>
    <hyperlink xmlns:r="http://schemas.openxmlformats.org/officeDocument/2006/relationships" ref="E200" r:id="rId195"/>
    <hyperlink xmlns:r="http://schemas.openxmlformats.org/officeDocument/2006/relationships" ref="E201" r:id="rId196"/>
    <hyperlink xmlns:r="http://schemas.openxmlformats.org/officeDocument/2006/relationships" ref="E202" r:id="rId197"/>
    <hyperlink xmlns:r="http://schemas.openxmlformats.org/officeDocument/2006/relationships" ref="E203" r:id="rId198"/>
    <hyperlink xmlns:r="http://schemas.openxmlformats.org/officeDocument/2006/relationships" ref="E204" r:id="rId199"/>
    <hyperlink xmlns:r="http://schemas.openxmlformats.org/officeDocument/2006/relationships" ref="E205" r:id="rId200"/>
    <hyperlink xmlns:r="http://schemas.openxmlformats.org/officeDocument/2006/relationships" ref="E206" r:id="rId201"/>
    <hyperlink xmlns:r="http://schemas.openxmlformats.org/officeDocument/2006/relationships" ref="E207" r:id="rId202"/>
    <hyperlink xmlns:r="http://schemas.openxmlformats.org/officeDocument/2006/relationships" ref="E208" r:id="rId203"/>
    <hyperlink xmlns:r="http://schemas.openxmlformats.org/officeDocument/2006/relationships" ref="E209" r:id="rId204"/>
    <hyperlink xmlns:r="http://schemas.openxmlformats.org/officeDocument/2006/relationships" ref="E210" r:id="rId205"/>
    <hyperlink xmlns:r="http://schemas.openxmlformats.org/officeDocument/2006/relationships" ref="E211" r:id="rId206"/>
    <hyperlink xmlns:r="http://schemas.openxmlformats.org/officeDocument/2006/relationships" ref="E212" r:id="rId207"/>
    <hyperlink xmlns:r="http://schemas.openxmlformats.org/officeDocument/2006/relationships" ref="E213" r:id="rId208"/>
    <hyperlink xmlns:r="http://schemas.openxmlformats.org/officeDocument/2006/relationships" ref="E214" r:id="rId209"/>
    <hyperlink xmlns:r="http://schemas.openxmlformats.org/officeDocument/2006/relationships" ref="E215" r:id="rId210"/>
    <hyperlink xmlns:r="http://schemas.openxmlformats.org/officeDocument/2006/relationships" ref="E216" r:id="rId211"/>
    <hyperlink xmlns:r="http://schemas.openxmlformats.org/officeDocument/2006/relationships" ref="E217" r:id="rId212"/>
    <hyperlink xmlns:r="http://schemas.openxmlformats.org/officeDocument/2006/relationships" ref="E218" r:id="rId213"/>
    <hyperlink xmlns:r="http://schemas.openxmlformats.org/officeDocument/2006/relationships" ref="E219" r:id="rId214"/>
    <hyperlink xmlns:r="http://schemas.openxmlformats.org/officeDocument/2006/relationships" ref="E220" r:id="rId215"/>
    <hyperlink xmlns:r="http://schemas.openxmlformats.org/officeDocument/2006/relationships" ref="E221" r:id="rId216"/>
    <hyperlink xmlns:r="http://schemas.openxmlformats.org/officeDocument/2006/relationships" ref="E222" r:id="rId217"/>
    <hyperlink xmlns:r="http://schemas.openxmlformats.org/officeDocument/2006/relationships" ref="E223" r:id="rId218"/>
    <hyperlink xmlns:r="http://schemas.openxmlformats.org/officeDocument/2006/relationships" ref="E224" r:id="rId219"/>
    <hyperlink xmlns:r="http://schemas.openxmlformats.org/officeDocument/2006/relationships" ref="E225" r:id="rId220"/>
    <hyperlink xmlns:r="http://schemas.openxmlformats.org/officeDocument/2006/relationships" ref="E226" r:id="rId221"/>
    <hyperlink xmlns:r="http://schemas.openxmlformats.org/officeDocument/2006/relationships" ref="E227" r:id="rId222"/>
    <hyperlink xmlns:r="http://schemas.openxmlformats.org/officeDocument/2006/relationships" ref="E228" r:id="rId223"/>
    <hyperlink xmlns:r="http://schemas.openxmlformats.org/officeDocument/2006/relationships" ref="E229" r:id="rId224"/>
    <hyperlink xmlns:r="http://schemas.openxmlformats.org/officeDocument/2006/relationships" ref="E230" r:id="rId225"/>
    <hyperlink xmlns:r="http://schemas.openxmlformats.org/officeDocument/2006/relationships" ref="E231" r:id="rId226"/>
    <hyperlink xmlns:r="http://schemas.openxmlformats.org/officeDocument/2006/relationships" ref="E232" r:id="rId227"/>
    <hyperlink xmlns:r="http://schemas.openxmlformats.org/officeDocument/2006/relationships" ref="E233" r:id="rId228"/>
    <hyperlink xmlns:r="http://schemas.openxmlformats.org/officeDocument/2006/relationships" ref="E234" r:id="rId229"/>
    <hyperlink xmlns:r="http://schemas.openxmlformats.org/officeDocument/2006/relationships" ref="E235" r:id="rId230"/>
    <hyperlink xmlns:r="http://schemas.openxmlformats.org/officeDocument/2006/relationships" ref="E236" r:id="rId231"/>
    <hyperlink xmlns:r="http://schemas.openxmlformats.org/officeDocument/2006/relationships" ref="E237" r:id="rId232"/>
    <hyperlink xmlns:r="http://schemas.openxmlformats.org/officeDocument/2006/relationships" ref="E238" r:id="rId233"/>
    <hyperlink xmlns:r="http://schemas.openxmlformats.org/officeDocument/2006/relationships" ref="E239" r:id="rId234"/>
    <hyperlink xmlns:r="http://schemas.openxmlformats.org/officeDocument/2006/relationships" ref="E240" r:id="rId235"/>
    <hyperlink xmlns:r="http://schemas.openxmlformats.org/officeDocument/2006/relationships" ref="E241" r:id="rId236"/>
    <hyperlink xmlns:r="http://schemas.openxmlformats.org/officeDocument/2006/relationships" ref="E242" r:id="rId237"/>
    <hyperlink xmlns:r="http://schemas.openxmlformats.org/officeDocument/2006/relationships" ref="E243" r:id="rId238"/>
    <hyperlink xmlns:r="http://schemas.openxmlformats.org/officeDocument/2006/relationships" ref="E244" r:id="rId239"/>
    <hyperlink xmlns:r="http://schemas.openxmlformats.org/officeDocument/2006/relationships" ref="E245" r:id="rId240"/>
    <hyperlink xmlns:r="http://schemas.openxmlformats.org/officeDocument/2006/relationships" ref="E246" r:id="rId241"/>
    <hyperlink xmlns:r="http://schemas.openxmlformats.org/officeDocument/2006/relationships" ref="E247" r:id="rId242"/>
    <hyperlink xmlns:r="http://schemas.openxmlformats.org/officeDocument/2006/relationships" ref="E248" r:id="rId243"/>
    <hyperlink xmlns:r="http://schemas.openxmlformats.org/officeDocument/2006/relationships" ref="E249" r:id="rId244"/>
    <hyperlink xmlns:r="http://schemas.openxmlformats.org/officeDocument/2006/relationships" ref="E250" r:id="rId245"/>
    <hyperlink xmlns:r="http://schemas.openxmlformats.org/officeDocument/2006/relationships" ref="E251" r:id="rId246"/>
    <hyperlink xmlns:r="http://schemas.openxmlformats.org/officeDocument/2006/relationships" ref="E252" r:id="rId247"/>
    <hyperlink xmlns:r="http://schemas.openxmlformats.org/officeDocument/2006/relationships" ref="E253" r:id="rId248"/>
    <hyperlink xmlns:r="http://schemas.openxmlformats.org/officeDocument/2006/relationships" ref="E254" r:id="rId249"/>
    <hyperlink xmlns:r="http://schemas.openxmlformats.org/officeDocument/2006/relationships" ref="E255" r:id="rId250"/>
    <hyperlink xmlns:r="http://schemas.openxmlformats.org/officeDocument/2006/relationships" ref="E256" r:id="rId251"/>
    <hyperlink xmlns:r="http://schemas.openxmlformats.org/officeDocument/2006/relationships" ref="E257" r:id="rId252"/>
    <hyperlink xmlns:r="http://schemas.openxmlformats.org/officeDocument/2006/relationships" ref="E258" r:id="rId253"/>
    <hyperlink xmlns:r="http://schemas.openxmlformats.org/officeDocument/2006/relationships" ref="E259" r:id="rId254"/>
    <hyperlink xmlns:r="http://schemas.openxmlformats.org/officeDocument/2006/relationships" ref="E260" r:id="rId255"/>
    <hyperlink xmlns:r="http://schemas.openxmlformats.org/officeDocument/2006/relationships" ref="E261" r:id="rId256"/>
    <hyperlink xmlns:r="http://schemas.openxmlformats.org/officeDocument/2006/relationships" ref="E262" r:id="rId257"/>
    <hyperlink xmlns:r="http://schemas.openxmlformats.org/officeDocument/2006/relationships" ref="E263" r:id="rId258"/>
    <hyperlink xmlns:r="http://schemas.openxmlformats.org/officeDocument/2006/relationships" ref="E264" r:id="rId259"/>
    <hyperlink xmlns:r="http://schemas.openxmlformats.org/officeDocument/2006/relationships" ref="E265" r:id="rId260"/>
    <hyperlink xmlns:r="http://schemas.openxmlformats.org/officeDocument/2006/relationships" ref="E266" r:id="rId261"/>
    <hyperlink xmlns:r="http://schemas.openxmlformats.org/officeDocument/2006/relationships" ref="E267" r:id="rId262"/>
    <hyperlink xmlns:r="http://schemas.openxmlformats.org/officeDocument/2006/relationships" ref="E268" r:id="rId263"/>
    <hyperlink xmlns:r="http://schemas.openxmlformats.org/officeDocument/2006/relationships" ref="E269" r:id="rId264"/>
    <hyperlink xmlns:r="http://schemas.openxmlformats.org/officeDocument/2006/relationships" ref="E270" r:id="rId265"/>
    <hyperlink xmlns:r="http://schemas.openxmlformats.org/officeDocument/2006/relationships" ref="E271" r:id="rId266"/>
    <hyperlink xmlns:r="http://schemas.openxmlformats.org/officeDocument/2006/relationships" ref="E272" r:id="rId267"/>
    <hyperlink xmlns:r="http://schemas.openxmlformats.org/officeDocument/2006/relationships" ref="E273" r:id="rId268"/>
    <hyperlink xmlns:r="http://schemas.openxmlformats.org/officeDocument/2006/relationships" ref="E274" r:id="rId269"/>
    <hyperlink xmlns:r="http://schemas.openxmlformats.org/officeDocument/2006/relationships" ref="E275" r:id="rId270"/>
    <hyperlink xmlns:r="http://schemas.openxmlformats.org/officeDocument/2006/relationships" ref="E276" r:id="rId271"/>
    <hyperlink xmlns:r="http://schemas.openxmlformats.org/officeDocument/2006/relationships" ref="E277" r:id="rId272"/>
    <hyperlink xmlns:r="http://schemas.openxmlformats.org/officeDocument/2006/relationships" ref="E278" r:id="rId273"/>
    <hyperlink xmlns:r="http://schemas.openxmlformats.org/officeDocument/2006/relationships" ref="E279" r:id="rId274"/>
    <hyperlink xmlns:r="http://schemas.openxmlformats.org/officeDocument/2006/relationships" ref="E280" r:id="rId275"/>
    <hyperlink xmlns:r="http://schemas.openxmlformats.org/officeDocument/2006/relationships" ref="E281" r:id="rId276"/>
    <hyperlink xmlns:r="http://schemas.openxmlformats.org/officeDocument/2006/relationships" ref="E282" r:id="rId277"/>
    <hyperlink xmlns:r="http://schemas.openxmlformats.org/officeDocument/2006/relationships" ref="E283" r:id="rId278"/>
    <hyperlink xmlns:r="http://schemas.openxmlformats.org/officeDocument/2006/relationships" ref="E284" r:id="rId279"/>
    <hyperlink xmlns:r="http://schemas.openxmlformats.org/officeDocument/2006/relationships" ref="E285" r:id="rId280"/>
    <hyperlink xmlns:r="http://schemas.openxmlformats.org/officeDocument/2006/relationships" ref="E286" r:id="rId281"/>
    <hyperlink xmlns:r="http://schemas.openxmlformats.org/officeDocument/2006/relationships" ref="E287" r:id="rId282"/>
    <hyperlink xmlns:r="http://schemas.openxmlformats.org/officeDocument/2006/relationships" ref="E288" r:id="rId283"/>
    <hyperlink xmlns:r="http://schemas.openxmlformats.org/officeDocument/2006/relationships" ref="E289" r:id="rId284"/>
    <hyperlink xmlns:r="http://schemas.openxmlformats.org/officeDocument/2006/relationships" ref="E290" r:id="rId285"/>
    <hyperlink xmlns:r="http://schemas.openxmlformats.org/officeDocument/2006/relationships" ref="E291" r:id="rId286"/>
    <hyperlink xmlns:r="http://schemas.openxmlformats.org/officeDocument/2006/relationships" ref="E292" r:id="rId287"/>
    <hyperlink xmlns:r="http://schemas.openxmlformats.org/officeDocument/2006/relationships" ref="E293" r:id="rId288"/>
    <hyperlink xmlns:r="http://schemas.openxmlformats.org/officeDocument/2006/relationships" ref="E294" r:id="rId289"/>
    <hyperlink xmlns:r="http://schemas.openxmlformats.org/officeDocument/2006/relationships" ref="E295" r:id="rId290"/>
    <hyperlink xmlns:r="http://schemas.openxmlformats.org/officeDocument/2006/relationships" ref="E296" r:id="rId291"/>
    <hyperlink xmlns:r="http://schemas.openxmlformats.org/officeDocument/2006/relationships" ref="E297" r:id="rId292"/>
    <hyperlink xmlns:r="http://schemas.openxmlformats.org/officeDocument/2006/relationships" ref="E298" r:id="rId293"/>
    <hyperlink xmlns:r="http://schemas.openxmlformats.org/officeDocument/2006/relationships" ref="E299" r:id="rId294"/>
    <hyperlink xmlns:r="http://schemas.openxmlformats.org/officeDocument/2006/relationships" ref="E300" r:id="rId295"/>
    <hyperlink xmlns:r="http://schemas.openxmlformats.org/officeDocument/2006/relationships" ref="E301" r:id="rId296"/>
    <hyperlink xmlns:r="http://schemas.openxmlformats.org/officeDocument/2006/relationships" ref="E302" r:id="rId297"/>
  </hyperlinks>
  <pageMargins left="0.75" right="0.75" top="1" bottom="1" header="0.5" footer="0.5"/>
  <tableParts count="1">
    <tablePart xmlns:r="http://schemas.openxmlformats.org/officeDocument/2006/relationships" r:id="rId29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Stephen Craig</dc:creator>
  <dcterms:created xsi:type="dcterms:W3CDTF">2018-01-24T22:43:46Z</dcterms:created>
  <dcterms:modified xsi:type="dcterms:W3CDTF">2026-06-07T04:30:24Z</dcterms:modified>
  <cp:lastModifiedBy>Shaquille Carter</cp:lastModifiedBy>
  <cp:lastPrinted>2023-05-11T22:25:51Z</cp:lastPrinted>
</cp:coreProperties>
</file>

<file path=docProps/custom.xml><?xml version="1.0" encoding="utf-8"?>
<Properties xmlns:vt="http://schemas.openxmlformats.org/officeDocument/2006/docPropsVTypes" xmlns="http://schemas.openxmlformats.org/officeDocument/2006/custom-properties">
  <property name="Class_List_2" linkTarget="Prop_Class_List_2" fmtid="{D5CDD505-2E9C-101B-9397-08002B2CF9AE}" pid="2">
    <vt:lpwstr/>
  </property>
  <property name="Class_Value_2" linkTarget="Prop_Class_Value_2" fmtid="{D5CDD505-2E9C-101B-9397-08002B2CF9AE}" pid="3">
    <vt:lpwstr/>
  </property>
  <property name="Type_List" linkTarget="Prop_Type_List" fmtid="{D5CDD505-2E9C-101B-9397-08002B2CF9AE}" pid="4">
    <vt:lpwstr/>
  </property>
  <property name="Type_Value" linkTarget="Prop_Type_Value" fmtid="{D5CDD505-2E9C-101B-9397-08002B2CF9AE}" pid="5">
    <vt:lpwstr/>
  </property>
  <property name="Type_Value_List" linkTarget="Prop_Type_Value_List" fmtid="{D5CDD505-2E9C-101B-9397-08002B2CF9AE}" pid="6">
    <vt:lpwstr/>
  </property>
</Properties>
</file>