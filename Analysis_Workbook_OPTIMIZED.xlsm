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1.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ables/table1.xml" ContentType="application/vnd.openxmlformats-officedocument.spreadsheetml.table+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55" yWindow="285" windowWidth="25410" windowHeight="15150" tabRatio="851" firstSheet="0" activeTab="25" autoFilterDateGrouping="1"/>
  </bookViews>
  <sheets>
    <sheet name="Dashboard" sheetId="1" state="visible" r:id="rId1"/>
    <sheet name="Property Info" sheetId="2" state="visible" r:id="rId2"/>
    <sheet name="FE" sheetId="3" state="visible" r:id="rId3"/>
    <sheet name="Market Neighborhood" sheetId="4" state="hidden" r:id="rId4"/>
    <sheet name="Site Information" sheetId="5" state="hidden" r:id="rId5"/>
    <sheet name="Improvements" sheetId="6" state="hidden" r:id="rId6"/>
    <sheet name="H&amp;BU" sheetId="7" state="hidden" r:id="rId7"/>
    <sheet name="Final Value" sheetId="8" state="visible" r:id="rId8"/>
    <sheet name="Land Sales" sheetId="9" state="hidden" r:id="rId9"/>
    <sheet name="M&amp;S Inputs" sheetId="10" state="visible" r:id="rId10"/>
    <sheet name="Cost Approach" sheetId="11" state="hidden" r:id="rId11"/>
    <sheet name="Construction Costs" sheetId="12" state="hidden" r:id="rId12"/>
    <sheet name="Export030823" sheetId="13" state="visible" r:id="rId13"/>
    <sheet name="Basic Sales Grid" sheetId="14" state="visible" r:id="rId14"/>
    <sheet name="Detailed Sales Grid" sheetId="15" state="hidden" r:id="rId15"/>
    <sheet name="LA" sheetId="16" state="hidden" r:id="rId16"/>
    <sheet name="LAG Percent" sheetId="17" state="hidden" r:id="rId17"/>
    <sheet name="IS Summary" sheetId="18" state="hidden" r:id="rId18"/>
    <sheet name="HOA" sheetId="19" state="hidden" r:id="rId19"/>
    <sheet name="CED" sheetId="20" state="hidden" r:id="rId20"/>
    <sheet name="OECC" sheetId="21" state="hidden" r:id="rId21"/>
    <sheet name="PF" sheetId="22" state="hidden" r:id="rId22"/>
    <sheet name="Cap Rate Lease-Up" sheetId="23" state="hidden" r:id="rId23"/>
    <sheet name="IA Values" sheetId="24" state="hidden" r:id="rId24"/>
    <sheet name="Income Approach" sheetId="25" state="visible" r:id="rId25"/>
    <sheet name="Resources" sheetId="26" state="visible" r:id="rId26"/>
    <sheet name="Word Export Prep" sheetId="27" state="visible"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Fill" hidden="1">'[1]Key Assumptions'!#REF!</definedName>
    <definedName name="_Order1" hidden="1">255</definedName>
    <definedName name="AccessCode" hidden="1">""""</definedName>
    <definedName name="Accrued_Physical">[2]ImpAnalysis!$I$26</definedName>
    <definedName name="Actual_Age">[2]Inputs!$C$159</definedName>
    <definedName name="Actual_Taxes">[2]Tax!$G$21</definedName>
    <definedName name="Adj_Pro_Assessed_Val">[2]Tax!$K$12</definedName>
    <definedName name="AdjCatNo">'[2]IS Grid'!$A$81</definedName>
    <definedName name="Ambient_Area">[2]Inputs!$C$96</definedName>
    <definedName name="AmtBdgt">[3]OpActuals!$I:$I</definedName>
    <definedName name="AMTY1">[3]OpActuals!$C:$C</definedName>
    <definedName name="AMTY2">[3]OpActuals!$D:$D</definedName>
    <definedName name="AMTY3">[3]OpActuals!$E:$E</definedName>
    <definedName name="AMTY4">[3]OpActuals!$F:$F</definedName>
    <definedName name="AMTY5">[3]OpActuals!$H:$H</definedName>
    <definedName name="AnalysisType">[4]Assumptions!$C$2:$C$3</definedName>
    <definedName name="Anchor_1_Name">[2]Inputs!$C$119</definedName>
    <definedName name="Anchor_1_SF">[2]Inputs!$C$120</definedName>
    <definedName name="Anchor_2_Name">[2]Inputs!$C$121</definedName>
    <definedName name="Anchor_2_SF">[2]Inputs!$C$122</definedName>
    <definedName name="Anchor_3_Name">[2]Inputs!$C$123</definedName>
    <definedName name="Anchor_3_SF">[2]Inputs!$C$124</definedName>
    <definedName name="Anchor_4_Name">[2]Inputs!$C$125</definedName>
    <definedName name="Anchor_4_SF">[2]Inputs!$C$126</definedName>
    <definedName name="Anchor_5_Name">[2]Inputs!$C$127</definedName>
    <definedName name="Anchor_5_SF">[2]Inputs!$C$128</definedName>
    <definedName name="Anchor_6_Name">[2]Inputs!$C$129</definedName>
    <definedName name="Anchor_6_SF">[2]Inputs!$C$130</definedName>
    <definedName name="Annual_Mkt_Rent">'[2]Mkt Rent'!$BE$85</definedName>
    <definedName name="Appraisal_Fee">[2]Inputs!$C$58</definedName>
    <definedName name="Appraiser">[2]Inputs!$C$9</definedName>
    <definedName name="Apt.Concessions">'[2]Dir Cap'!$H$8</definedName>
    <definedName name="Apt.Concessions.Percent">'[2]Dir Cap'!$E$8</definedName>
    <definedName name="Apt.LosstoLease">'[2]Dir Cap'!$H$7</definedName>
    <definedName name="Apt.LosstoLease.Percent">'[2]Dir Cap'!$E$7</definedName>
    <definedName name="Apt_Row_Cost">[2]Cost!#REF!</definedName>
    <definedName name="ARC.Homesites">'[1]ARC Financials'!$F$240</definedName>
    <definedName name="ARC.No">[1]Instructions!$B$3</definedName>
    <definedName name="ARC.PropAddress">'[1]ARC Property List'!$D$9:$D$67</definedName>
    <definedName name="ARC.PropCity">'[1]ARC Property List'!$E$9:$E$67</definedName>
    <definedName name="ARC.PropCode">'[1]ARC Property List'!$B$9:$B$67</definedName>
    <definedName name="ARC.PropName">'[1]ARC Property List'!$C$9:$C$67</definedName>
    <definedName name="ARC.PropState">'[1]ARC Property List'!$F$9:$F$67</definedName>
    <definedName name="ARC.PropZip">'[1]ARC Property List'!$G$9:$G$67</definedName>
    <definedName name="ARI">'[2]Dir Cap'!$H$9</definedName>
    <definedName name="ArrTot">[6]Assumptions!$F$9:$G$21</definedName>
    <definedName name="ArrTotal">[4]Assumptions!$F$9:$G$21</definedName>
    <definedName name="As_Is_Value">[2]Values!$M$21</definedName>
    <definedName name="bbDateOfValueEffectiveDate">'[7]Valuation Scenarios'!$D$85</definedName>
    <definedName name="bbDateReport">[7]Assignment!$B$44</definedName>
    <definedName name="bbMarketValues">'[7]Valuation Scenarios'!$D$76</definedName>
    <definedName name="bbPropertyOwner">[7]Assignment!$B$27</definedName>
    <definedName name="bbValuationType">'[7]Valuation Scenarios'!$D$79</definedName>
    <definedName name="bbValueConditionScen1">'[3]Valuation Scenarios'!$B$8</definedName>
    <definedName name="bbValueDateScen1">'[3]Valuation Scenarios'!$B$5</definedName>
    <definedName name="bbValueInterestScen1">'[3]Valuation Scenarios'!$B$7</definedName>
    <definedName name="bbValueNameScen1">'[3]Valuation Scenarios'!$B$4</definedName>
    <definedName name="Building_Area">[2]Inputs!$C$146</definedName>
    <definedName name="Building_Class_List">[2]InputsRangeNames!$J$4:$J$8</definedName>
    <definedName name="Building_Class_Value">[2]InputsRangeNames!$J$2</definedName>
    <definedName name="Building_Class_Value_List">[2]InputsRangeNames!$I$4:$I$8</definedName>
    <definedName name="caDeferredMaint">[3]Cost!$F$44</definedName>
    <definedName name="caLandValueRND">[3]LSaleAdj!$E$48</definedName>
    <definedName name="caLandValueRNDPresent">#REF!</definedName>
    <definedName name="Cap_Rate">'[2]Dir Cap'!$H$48</definedName>
    <definedName name="caRCN">'Cost Approach'!$G$33</definedName>
    <definedName name="caRCNDeprec">'Cost Approach'!$G$46</definedName>
    <definedName name="Category">[3]OpActuals!$A:$A</definedName>
    <definedName name="caValue">'Cost Approach'!$G$51</definedName>
    <definedName name="caValueRND">[9]Cost!$G$58</definedName>
    <definedName name="caValueRNDPresent">'[10]Value Indications'!$C$5</definedName>
    <definedName name="clCompanyAddressCity">[7]Assignment!$B$17</definedName>
    <definedName name="clCompanyAddressState">[7]Assignment!$B$18</definedName>
    <definedName name="clCompanyAddressStreet1">[7]Assignment!$B$15</definedName>
    <definedName name="clCompanyAddressStreet2">[7]Assignment!$B$16</definedName>
    <definedName name="clCompanyAddressZip">[7]Assignment!$B$19</definedName>
    <definedName name="Clear_Height">[2]Inputs!$C$102</definedName>
    <definedName name="Client.Ref.No">[2]Inputs!$C$57</definedName>
    <definedName name="Client_City">[2]Inputs!$C$25</definedName>
    <definedName name="Client_Company">[2]Inputs!$C$21</definedName>
    <definedName name="Client_EMail">[2]Inputs!$C$20</definedName>
    <definedName name="Client_Fax">[2]Inputs!$C$19</definedName>
    <definedName name="Client_Phone">[2]Inputs!$C$18</definedName>
    <definedName name="Client_State">[2]Inputs!$C$26</definedName>
    <definedName name="Client_Street">[2]Inputs!$C$24</definedName>
    <definedName name="Client_Zip">[2]Inputs!$C$27</definedName>
    <definedName name="clInspectionContactName">[7]Assignment!$B$22</definedName>
    <definedName name="Cmp1Rents">#REF!</definedName>
    <definedName name="Cmp2Rents">#REF!</definedName>
    <definedName name="Cmp3Rents">#REF!</definedName>
    <definedName name="Cmp4Rents">#REF!</definedName>
    <definedName name="Cmp5Rents">#REF!</definedName>
    <definedName name="Cmp6Rents">#REF!</definedName>
    <definedName name="Cmp7Rents">#REF!</definedName>
    <definedName name="CmpArea_0">#REF!</definedName>
    <definedName name="CmpArea_1">#REF!</definedName>
    <definedName name="CmpArea_2">#REF!</definedName>
    <definedName name="CmpArea_3">#REF!</definedName>
    <definedName name="CmpEff">#REF!</definedName>
    <definedName name="CmpFooter">#REF!</definedName>
    <definedName name="CmpOne">#REF!</definedName>
    <definedName name="CmpRef">#REF!</definedName>
    <definedName name="CmpThree">#REF!</definedName>
    <definedName name="CmpTwo">#REF!</definedName>
    <definedName name="Cold_Storage_Area">[2]Inputs!$C$99</definedName>
    <definedName name="Communities">#REF!</definedName>
    <definedName name="Comparison_No.">'[2]Dir Cap'!$K$2:$K$5</definedName>
    <definedName name="Comparison_Totals">'[2]Dir Cap'!$M$2:$M$5</definedName>
    <definedName name="Comparison_Type">'[2]Dir Cap'!$L$2:$L$5</definedName>
    <definedName name="Condition">[2]Inputs!$C$158</definedName>
    <definedName name="Condition_List">[2]InputsRangeNames!$X$4:$X$8</definedName>
    <definedName name="Condition_Value">[2]InputsRangeNames!$X$2</definedName>
    <definedName name="Construction_Period">[2]Inputs!$C$37</definedName>
    <definedName name="Cooler_Area">[2]Inputs!$C$97</definedName>
    <definedName name="Cost.Basis.Value">[2]Cost!$K$11</definedName>
    <definedName name="Cost.Component.Value">[2]Cost!$K$12</definedName>
    <definedName name="Cost_Value">[2]Cost!$H$89</definedName>
    <definedName name="CostEstimates">[11]Sheet2!$B$4:$B$5</definedName>
    <definedName name="Cover_Ratio">[2]Improv!$F$47</definedName>
    <definedName name="Current_As_Complete_Value">[2]Values!$N$21</definedName>
    <definedName name="Current_As_Stabilized_Value">[2]Values!$O$21</definedName>
    <definedName name="Current_Assessment">[2]Tax!$G$12</definedName>
    <definedName name="Current_Occ_SF">[2]Inputs!#REF!</definedName>
    <definedName name="Current_Occ_Units">[2]Inputs!$C$93</definedName>
    <definedName name="Current_Occupancy">[2]Inputs!$C$149</definedName>
    <definedName name="Current_Zoning">[2]Zoning!$D$4</definedName>
    <definedName name="Date_of_Insp">[2]Inputs!$C$31</definedName>
    <definedName name="Date_of_Report">[2]Inputs!$C$32</definedName>
    <definedName name="Date_of_Value">[2]Inputs!$C$43</definedName>
    <definedName name="DCF_Apt_Value">'[2]APT DCF'!$AB$99</definedName>
    <definedName name="DCF_Value">[2]Values!$E$8</definedName>
    <definedName name="Deferred_Maint">[2]ImpAnalysis!$D$15</definedName>
    <definedName name="Demos_Begin">[2]Demos!$K$10</definedName>
    <definedName name="Depr_Repl_Cost">[2]Cost!$H$82</definedName>
    <definedName name="Diff.">[2]Inputs!#REF!</definedName>
    <definedName name="Dir_Cap_Unit_Values">'[2]Dir Cap'!$G$6,'[2]Dir Cap'!$G$14,'[2]Dir Cap'!$G$22,'[2]Dir Cap'!$G$25,'[2]Dir Cap'!$G$45,'[2]Dir Cap'!$G$9,'[2]Dir Cap'!$G$47</definedName>
    <definedName name="Dir_Cap_Unit_Values_2">'[2]Dir Cap'!$G$10:$G$13,'[2]Dir Cap'!$G$16:$G$21,'[2]Dir Cap'!$G$26:$G$44</definedName>
    <definedName name="Dir_Cap_Value">'[2]Dir Cap'!$H$54</definedName>
    <definedName name="DirCap2Premise">[2]Inputs!$E$52</definedName>
    <definedName name="Disc_Rate">'[2]DCF Assum'!$D$46</definedName>
    <definedName name="Draft_Value">[2]Inputs!#REF!</definedName>
    <definedName name="Due_Date">[2]Inputs!$C$30</definedName>
    <definedName name="ECh_Cat_1">'[2]Exp Charts'!$D:$D,'[2]Exp Charts'!$I:$I</definedName>
    <definedName name="ECh_Cat_2">'[2]Exp Charts'!$F:$F,'[2]Exp Charts'!$K:$K</definedName>
    <definedName name="ECh_Cat_3">'[2]Exp Charts'!$G:$G,'[2]Exp Charts'!$M:$M</definedName>
    <definedName name="ECh_Yr_1">'[2]Exp Charts'!$8:$8+'[2]Exp Charts'!$8:$8,'[2]Exp Charts'!$17:$17,'[2]Exp Charts'!$26:$26,'[2]Exp Charts'!$35:$35,'[2]Exp Charts'!$44:$44,'[2]Exp Charts'!$58:$58</definedName>
    <definedName name="ECh_Yr_2">'[2]Exp Charts'!$7:$7,'[2]Exp Charts'!$16:$16,'[2]Exp Charts'!$25:$25,'[2]Exp Charts'!$34:$34,'[2]Exp Charts'!$43:$43,'[2]Exp Charts'!$57:$57</definedName>
    <definedName name="ECh_Yr_3">'[2]Exp Charts'!$6:$6,'[2]Exp Charts'!$15:$15,'[2]Exp Charts'!$24:$24,'[2]Exp Charts'!$33:$33,'[2]Exp Charts'!$42:$42,'[2]Exp Charts'!$56:$56</definedName>
    <definedName name="Economic_Life">[2]Inputs!$C$161</definedName>
    <definedName name="Effective_Age">[2]Inputs!$C$160</definedName>
    <definedName name="EGI">'[2]Dir Cap'!$H$22</definedName>
    <definedName name="Est._Exposure_Time">[2]Exposure!$I$21</definedName>
    <definedName name="Est._Marketing_Time">[2]Exposure!$I$21</definedName>
    <definedName name="Ex_L_amounts">[2]InputsRangeNames!$Q$4:$Q$6</definedName>
    <definedName name="Exc_Land_IS">'[2]IS Concl'!#REF!</definedName>
    <definedName name="Excess_Land__ac.">[2]Inputs!$C$81</definedName>
    <definedName name="Excess_Land__allowable_units">[2]Inputs!$C$80</definedName>
    <definedName name="Excess_Land__sf">[2]Inputs!$C$82</definedName>
    <definedName name="Excess_Land_Value">'[2]L Grid (2)'!$T$67</definedName>
    <definedName name="Exp_Cat_8">'[2]Dir Cap'!#REF!</definedName>
    <definedName name="Exp_Cat_9">'[2]Dir Cap'!#REF!</definedName>
    <definedName name="Exp_Comp_1">'[2]Exp Comps'!$E$5</definedName>
    <definedName name="Exp_Comp_2">'[2]Exp Comps'!$I$5</definedName>
    <definedName name="Exp_Comp_3">'[2]Exp Comps'!$Q$5</definedName>
    <definedName name="Exp_Comp_4">'[2]Exp Comps'!$R$5</definedName>
    <definedName name="Exp_Comp_5">'[2]Exp Comps'!$S$5</definedName>
    <definedName name="Exp_Comp_6">'[2]Exp Comps'!$M$5</definedName>
    <definedName name="Exp_Comps">'[2]Exp Comps'!$C$5:$S$35</definedName>
    <definedName name="Exp_Hist">'[2]Op History'!$G$5:$Z$39</definedName>
    <definedName name="Exp_Prof">'[2]Dir Cap'!$D$6:$H$47</definedName>
    <definedName name="ExpCompPubVal">'[2]Exp Charts'!$N$48</definedName>
    <definedName name="ExpCompVal">'[2]Exp Charts'!$N$40</definedName>
    <definedName name="Expense_Category_1">[2]Inputs!$C$173</definedName>
    <definedName name="Expense_Category_10">[2]Inputs!$C$182</definedName>
    <definedName name="Expense_Category_11">[2]Inputs!$C$183</definedName>
    <definedName name="Expense_Category_12">[2]Inputs!$C$184</definedName>
    <definedName name="Expense_Category_13">[2]Inputs!$C$185</definedName>
    <definedName name="Expense_Category_14">[2]Inputs!$C$186</definedName>
    <definedName name="Expense_Category_15">[2]Inputs!$C$187</definedName>
    <definedName name="Expense_Category_16">[2]Inputs!$C$188</definedName>
    <definedName name="Expense_Category_17">[2]Inputs!$C$189</definedName>
    <definedName name="Expense_Category_18">[2]Inputs!$C$190</definedName>
    <definedName name="Expense_Category_19">[2]Inputs!$C$191</definedName>
    <definedName name="Expense_Category_2">[2]Inputs!$C$174</definedName>
    <definedName name="Expense_Category_20">[2]Inputs!$C$192</definedName>
    <definedName name="Expense_Category_3">[2]Inputs!$C$175</definedName>
    <definedName name="Expense_Category_4">[2]Inputs!$C$176</definedName>
    <definedName name="Expense_Category_5">[2]Inputs!$C$177</definedName>
    <definedName name="Expense_Category_6">[2]Inputs!$C$178</definedName>
    <definedName name="Expense_Category_7">[2]Inputs!$C$179</definedName>
    <definedName name="Expense_Category_8">[2]Inputs!$C$180</definedName>
    <definedName name="Expense_Category_9">[2]Inputs!$C$181</definedName>
    <definedName name="ExpYr1">'[2]Op History'!$W$5</definedName>
    <definedName name="ExpYr1Val">'[2]Op History'!$AL$3</definedName>
    <definedName name="ExpYr2">'[2]Op History'!$R$5</definedName>
    <definedName name="ExpYr2Val">'[2]Op History'!$AK$3</definedName>
    <definedName name="ExpYr3">'[2]Op History'!$M$5</definedName>
    <definedName name="ExpYr3Val">'[2]Op History'!$AJ$3</definedName>
    <definedName name="ExpYr4">'[2]Op History'!$H$5</definedName>
    <definedName name="ExpYr4Val">'[2]Op History'!$AI$3</definedName>
    <definedName name="External">[2]Cost!$M$102</definedName>
    <definedName name="f">#REF!</definedName>
    <definedName name="File_No.">[2]Inputs!$C$4</definedName>
    <definedName name="Final_Value">[2]Values!$AC$44</definedName>
    <definedName name="Final_Value__Second_Appraisal_Premise">[2]Values!$V$32</definedName>
    <definedName name="Final_Value__Third_Appraisal_Premise">[2]Values!$V$37</definedName>
    <definedName name="Financial.Source">#REF!</definedName>
    <definedName name="First_Appraisal_Premise">[2]Inputs!$C$39</definedName>
    <definedName name="Floorplan_1">'[2]Mkt Rent'!#REF!</definedName>
    <definedName name="Floorplans">'[2]Mkt Rent'!#REF!</definedName>
    <definedName name="Floorplans_2">'[2]Mkt Rent'!#REF!</definedName>
    <definedName name="Floorplans_3">'[2]Mkt Rent'!#REF!</definedName>
    <definedName name="Freezer_Area">[2]Inputs!$C$98</definedName>
    <definedName name="frmRRCatListInUse">[9]RentRoll_Macro!$A$2:$A$11</definedName>
    <definedName name="Functional">[2]Cost!$G$79</definedName>
    <definedName name="fw4aerhah">#REF!</definedName>
    <definedName name="GBA">'[3]Improvement Description'!$B$11</definedName>
    <definedName name="GRI">'[2]Dir Cap'!$H$6</definedName>
    <definedName name="HA_Operating_History">#REF!</definedName>
    <definedName name="HBU_As_Improved">[2]Inputs!$C$75</definedName>
    <definedName name="HBU_As_Vacant">[2]Inputs!$C$74</definedName>
    <definedName name="HBU_Value">[2]InputsRangeNames!$G$2</definedName>
    <definedName name="Highest___Best_Use">[2]Inputs!$C$73</definedName>
    <definedName name="HJData">'[1]Key Assumptions'!$C$4:$X$4</definedName>
    <definedName name="iaBOIRate">#REF!</definedName>
    <definedName name="iaDateValue">PF!$D$2</definedName>
    <definedName name="iaIntRateBase">#REF!</definedName>
    <definedName name="iaLoanAmo">#REF!</definedName>
    <definedName name="iaLoanMtgConstant">#REF!</definedName>
    <definedName name="iaLoanTV">#REF!</definedName>
    <definedName name="iaNumberTenants">[7]tblRentRoll!$V$1</definedName>
    <definedName name="iaOAR">[3]ProForma!$B$44</definedName>
    <definedName name="iaOARBandofInvestment">#REF!</definedName>
    <definedName name="iaOARBrokers">#REF!</definedName>
    <definedName name="iaOARDCR">#REF!</definedName>
    <definedName name="iaOARInvestors">#REF!</definedName>
    <definedName name="iaProjMgmtPct">PF!#REF!</definedName>
    <definedName name="iaProjVcyPct">[3]LeaseComps!$S$32</definedName>
    <definedName name="iaValueDirectCapRND">[3]ProForma!$D$50</definedName>
    <definedName name="iaValueDirectCapRNDPresent">#REF!</definedName>
    <definedName name="iaValueYieldCapRNDPresent">#REF!</definedName>
    <definedName name="imp.value.range.sf">'[2]IS Grid'!$E$90:$J$90</definedName>
    <definedName name="imp.value.range.unit">'[2]IS Grid'!$E$92:$J$92</definedName>
    <definedName name="Inc_App_Val">[2]Values!$E$9</definedName>
    <definedName name="Income_Approach_Value">[2]Inputs!#REF!</definedName>
    <definedName name="INHOUSE">'[1]Key Assumptions'!$B$2:$E$2</definedName>
    <definedName name="Ins_Apt_Row">'[2]Ins Val'!#REF!</definedName>
    <definedName name="Ins_Value">'[2]Ins Val'!$H$56</definedName>
    <definedName name="Inspection_Date">[2]Inputs!$C$31</definedName>
    <definedName name="Investment_Class_Value">[2]InputsRangeNames!$K$2</definedName>
    <definedName name="Investment_Class_Value_List">[2]InputsRangeNames!$K$4:$K$18</definedName>
    <definedName name="IS_Concl_Values">'[2]IS Concl'!#REF!,'[2]IS Concl'!#REF!,'[2]IS Concl'!$D$39,'[2]IS Concl'!$M$12:$M$13,'[2]IS Concl'!$C$40:$D$46,'[2]IS Concl'!#REF!</definedName>
    <definedName name="IS_Grid_2_BasisForAdj">'[2]IS Grid (2)'!$35:$35,'[2]IS Grid (2)'!$37:$37,'[2]IS Grid (2)'!$39:$39,'[2]IS Grid (2)'!$41:$41,'[2]IS Grid (2)'!$46:$46,'[2]IS Grid (2)'!$48:$48,'[2]IS Grid (2)'!$50:$50,'[2]IS Grid (2)'!$52:$52,'[2]IS Grid (2)'!$54:$54,'[2]IS Grid (2)'!$56:$56,'[2]IS Grid (2)'!$58:$58,'[2]IS Grid (2)'!$60:$60,'[2]IS Grid (2)'!$62:$62,'[2]IS Grid (2)'!$64:$64,'[2]IS Grid (2)'!$66:$66,'[2]IS Grid (2)'!$68:$68,'[2]IS Grid (2)'!$70:$70,'[2]IS Grid (2)'!$72:$72,'[2]IS Grid (2)'!$74:$74</definedName>
    <definedName name="IS_Grid_BasisForAdj">'[2]IS Grid'!$35:$35,'[2]IS Grid'!$37:$37,'[2]IS Grid'!$39:$39,'[2]IS Grid'!$41:$41,'[2]IS Grid'!$46:$46,'[2]IS Grid'!$48:$48,'[2]IS Grid'!$50:$50,'[2]IS Grid'!$52:$52,'[2]IS Grid'!$54:$54,'[2]IS Grid'!$56:$56,'[2]IS Grid'!$58:$58,'[2]IS Grid'!$60:$60,'[2]IS Grid'!$62:$62,'[2]IS Grid'!$64:$64,'[2]IS Grid'!$66:$66,'[2]IS Grid'!$68:$68,'[2]IS Grid'!$70:$70,'[2]IS Grid'!$72:$72,'[2]IS Grid'!$74:$74</definedName>
    <definedName name="IS_Grid_Rows2">'[2]IS Grid'!$B$2</definedName>
    <definedName name="IS_Grid_Rows2_2">'[2]IS Grid (2)'!$B$2</definedName>
    <definedName name="IS_Grid_Values">'[2]IS Grid'!#REF!,'[2]IS Grid'!$E$30:$L$30,'[2]IS Grid'!$E$36:$L$36,'[2]IS Grid'!$E$55:$L$55</definedName>
    <definedName name="ISaleDataLU">[3]ISaleData!$A$2:$AH$11</definedName>
    <definedName name="isOARRange">#REF!</definedName>
    <definedName name="KeyAssumpRange">'[1]Key Assumptions'!$A$1:$Y$5</definedName>
    <definedName name="L_adjsalespr">'[2]WA Import'!$AV$32:$AV$34</definedName>
    <definedName name="L_Amounts_List">[2]InputsRangeNames!$O$4:$O$6</definedName>
    <definedName name="L_Amounts_Value">[2]InputsRangeNames!$O$2</definedName>
    <definedName name="L_city">'[2]WA Import'!$Q$32:$Q$34</definedName>
    <definedName name="L_loc1">'[2]WA Import'!$O$32:$O$34</definedName>
    <definedName name="L_loc2">'[2]WA Import'!$P$32:$P$34</definedName>
    <definedName name="L_name">'[2]WA Import'!$L$32:$L$34</definedName>
    <definedName name="L_numunits">'[2]WA Import'!$AK$32:$AK$34</definedName>
    <definedName name="L_propuse">'[2]WA Import'!$AZ$32:$AZ$34</definedName>
    <definedName name="L_salemoyr">'[2]WA Import'!$AM$32:$AM$34</definedName>
    <definedName name="L_saleprice">'[2]WA Import'!$AR$32:$AR$34</definedName>
    <definedName name="L_state">'[2]WA Import'!$T$32:$T$34</definedName>
    <definedName name="L_t_xn">'[2]WA Import'!$DM$32:$DM$34</definedName>
    <definedName name="L_Type_List">[2]InputsRangeNames!$P$4:$P$6</definedName>
    <definedName name="L_Type_Value">[2]InputsRangeNames!$P$2</definedName>
    <definedName name="L_Units_List">[2]InputsRangeNames!$N$4:$N$6</definedName>
    <definedName name="L_Units_Value">[2]InputsRangeNames!$N$2</definedName>
    <definedName name="L_usabacres">'[2]WA Import'!$AA$32:$AA$34</definedName>
    <definedName name="L_usabsqft">'[2]WA Import'!$AB$32:$AB$34</definedName>
    <definedName name="L_zip">'[2]WA Import'!$R$32:$R$34</definedName>
    <definedName name="L_zoning">'[2]WA Import'!$AH$32:$AH$34</definedName>
    <definedName name="L2_adjsalespr">'[2]WA Import'!$AV$44:$AV$49</definedName>
    <definedName name="L2_city">'[2]WA Import'!$Q$44:$Q$49</definedName>
    <definedName name="L2_loc1">'[2]WA Import'!$O$44:$O$49</definedName>
    <definedName name="L2_loc2">'[2]WA Import'!$P$44:$P$49</definedName>
    <definedName name="L2_name">'[2]WA Import'!$L$44:$L$49</definedName>
    <definedName name="L2_numunits">'[2]WA Import'!$AK$44:$AK$49</definedName>
    <definedName name="L2_propuse">'[2]WA Import'!$AZ$44:$AZ$49</definedName>
    <definedName name="L2_salemoyr">'[2]WA Import'!$AM$44:$AM$49</definedName>
    <definedName name="L2_saleprice">'[2]WA Import'!$AR$44:$AR$49</definedName>
    <definedName name="L2_state">'[2]WA Import'!$T$44:$T$49</definedName>
    <definedName name="L2_t_xn">'[2]WA Import'!$DM$44:$DM$49</definedName>
    <definedName name="L2_usabacres">'[2]WA Import'!$AA$44:$AA$49</definedName>
    <definedName name="L2_usabsqft">'[2]WA Import'!$AB$44:$AB$49</definedName>
    <definedName name="L2_zip">'[2]WA Import'!$R$44:$R$49</definedName>
    <definedName name="L2_zoning">'[2]WA Import'!$AH$44:$AH$49</definedName>
    <definedName name="land.value.range">'[2]L Grid'!$G$58:$L$58</definedName>
    <definedName name="Land__ac.">[2]Inputs!$C$78</definedName>
    <definedName name="Land__allowable_units">[2]Inputs!$C$77</definedName>
    <definedName name="Land__sf">[2]Inputs!$C$79</definedName>
    <definedName name="Land_Area">[2]Inputs!$C$78</definedName>
    <definedName name="Land_Area_SF">[2]Inputs!$C$79</definedName>
    <definedName name="Land_Bldg_Ratio">[2]Improv!$F$48</definedName>
    <definedName name="Land_Grid_2_BasisForAdj">'[2]L Grid (2)'!$24:$24,'[2]L Grid (2)'!$26:$26,'[2]L Grid (2)'!$28:$28,'[2]L Grid (2)'!$30:$30,'[2]L Grid (2)'!$33:$33,'[2]L Grid (2)'!$35:$35,'[2]L Grid (2)'!$37:$37,'[2]L Grid (2)'!$39:$39,'[2]L Grid (2)'!$41:$41,'[2]L Grid (2)'!$43:$43,'[2]L Grid (2)'!$45:$45,'[2]L Grid (2)'!$47:$47,'[2]L Grid (2)'!$49:$49</definedName>
    <definedName name="Land_Grid_BasisForAdj">'[2]L Grid'!$25:$25,'[2]L Grid'!$27:$27,'[2]L Grid'!$29:$29,'[2]L Grid'!$31:$31,'[2]L Grid'!$34:$34,'[2]L Grid'!$36:$36,'[2]L Grid'!$38:$38,'[2]L Grid'!$40:$40,'[2]L Grid'!$42:$42,'[2]L Grid'!$44:$44,'[2]L Grid'!$46:$46,'[2]L Grid'!$48:$48,'[2]L Grid'!$50:$50</definedName>
    <definedName name="Land_Grid_Values">'[2]L Grid'!$G$23:$N$23,'[2]L Grid'!$G$32:$N$32,'[2]L Grid'!$G$52:$N$52,'[2]L Grid'!$P$59:$P$60</definedName>
    <definedName name="Land_UOC">'[2]L Sum'!$E$2</definedName>
    <definedName name="Land_Value">'[2]L Grid'!$T$61</definedName>
    <definedName name="Lease_Chart">'[2]Mkt Rent'!#REF!</definedName>
    <definedName name="Lease_Up">[2]LUD!$H$68</definedName>
    <definedName name="Lease_Up_Period">[2]LUD!$D$2</definedName>
    <definedName name="Leased_Fee_Land">'[2]Ground Lease'!$L$38</definedName>
    <definedName name="Leasehold_Value">'[2]Ground Lease'!$P$45</definedName>
    <definedName name="List_Arrows">[9]Lists!$H$2:$H$4</definedName>
    <definedName name="List_Qualitative">[9]Lists!$AA$2:$AA$10</definedName>
    <definedName name="List_VC_Unit">[9]Lists!$BV$2:$BV$4</definedName>
    <definedName name="LS_Units">'[2]L Grid'!$C$5</definedName>
    <definedName name="lstCondition">[3]CertificationsOptions!$G$34:$G$46</definedName>
    <definedName name="LUD_Rate">[2]LUD!$D$5</definedName>
    <definedName name="LUD_Rate_Value">[2]LUD!$BE$5</definedName>
    <definedName name="LUD_Schedule">[2]LUD!$D$4</definedName>
    <definedName name="LUD_Schedule_Value">[2]LUD!$C$4</definedName>
    <definedName name="LUD_Type">[2]LUD!$D$3</definedName>
    <definedName name="LUD_Type_Value">[2]LUD!$BE$3</definedName>
    <definedName name="MACROS">'[1]Key Assumptions'!#REF!</definedName>
    <definedName name="MANAGERS">'[1]Key Assumptions'!#REF!</definedName>
    <definedName name="Mkt.Cat.1">[2]Inputs!$C$133</definedName>
    <definedName name="Mkt.Cat.1.SF">[2]Inputs!$C$134</definedName>
    <definedName name="Mkt.Cat.2">[2]Inputs!$C$135</definedName>
    <definedName name="Mkt.Cat.2.SF">[2]Inputs!$C$136</definedName>
    <definedName name="Mkt.Cat.3">[2]Inputs!$C$137</definedName>
    <definedName name="Mkt.Cat.3.SF">[2]Inputs!$C$138</definedName>
    <definedName name="Mkt.Cat.4">[2]Inputs!$C$139</definedName>
    <definedName name="Mkt.Cat.4.SF">[2]Inputs!$C$140</definedName>
    <definedName name="Mkt.Cat.5">[2]Inputs!$C$141</definedName>
    <definedName name="Mkt.Cat.5.SF">[2]Inputs!$C$142</definedName>
    <definedName name="Mkt.Cat.6">[2]Inputs!$C$143</definedName>
    <definedName name="Mkt.Cat.6.SF">[2]Inputs!$C$144</definedName>
    <definedName name="Mkt.Cat.List">[2]InputsRangeNames!$Y$4:$Y$38</definedName>
    <definedName name="Mkt.Rent">'[2]Mkt Rent'!$BN$70</definedName>
    <definedName name="Mkt_Rent_Categories">[2]Inputs!$D$132</definedName>
    <definedName name="Mkt_Rnt_PSF">'[2]Mkt Rent'!#REF!</definedName>
    <definedName name="Mo_Mkt_Rent">'[2]Mkt Rent'!#REF!</definedName>
    <definedName name="MPRI">'[2]Mkt Rent'!#REF!</definedName>
    <definedName name="No_Doors">[2]Inputs!$C$103</definedName>
    <definedName name="No_of_Bldgs">[2]Inputs!$C$154</definedName>
    <definedName name="No_of_Stories">[2]Inputs!$C$155</definedName>
    <definedName name="No_Screens">[2]Inputs!$C$118</definedName>
    <definedName name="No_Seats">[2]Inputs!$C$117</definedName>
    <definedName name="No_SF">[2]Inputs!$C$147</definedName>
    <definedName name="No_Units">[2]Inputs!$C$148</definedName>
    <definedName name="NOI">[3]ProForma!$D$36</definedName>
    <definedName name="NOI_Per_Unit">'[2]IS Concl'!$C$43:$C$50</definedName>
    <definedName name="NOI_Per_Units">'[2]IS Concl'!$C$44:$C$50</definedName>
    <definedName name="NRA">[3]LeaseAbstracts!$C$7</definedName>
    <definedName name="NRI">'[2]Dir Cap'!$H$14</definedName>
    <definedName name="OARSpread">#REF!</definedName>
    <definedName name="Office">[2]Inputs!$C$12</definedName>
    <definedName name="Office_Area">[2]Inputs!$C$95</definedName>
    <definedName name="OneBRData">#REF!</definedName>
    <definedName name="OneBRRents">#REF!</definedName>
    <definedName name="optFEMAid">[3]OptionsProperty!$A$29:$A$40</definedName>
    <definedName name="pdAccess">'[7]Site Information'!$C$29</definedName>
    <definedName name="pdActualAge">'[7]Improvement Description'!$C$100</definedName>
    <definedName name="pdADA">'[7]Improvement Description'!$C$50</definedName>
    <definedName name="pdAddressCity">[3]Assignment!$B$33</definedName>
    <definedName name="pdAddressCounty">[7]Assignment!$B$34</definedName>
    <definedName name="pdAddressState">[3]Assignment!$B$35</definedName>
    <definedName name="pdAddressStreet">[3]Assignment!$B$32</definedName>
    <definedName name="pdAddressZip">[7]Assignment!$B$36</definedName>
    <definedName name="pdBayDepth">'[7]Improvement Description'!$C$28</definedName>
    <definedName name="pdBldgAreaClubhouse">'[7]Improvement Description'!$C$14</definedName>
    <definedName name="pdBldgAreaGross">'[3]Improvement Description'!$B$11</definedName>
    <definedName name="pdBldgAreaMezz">'[7]Improvement Description'!$C$16</definedName>
    <definedName name="pdBldgAreaNet">'[3]Improvement Description'!$B$12</definedName>
    <definedName name="pdBldgAreaOther">'[7]Improvement Description'!$C$15</definedName>
    <definedName name="pdBldgCondition">'[7]Improvement Description'!$C$95</definedName>
    <definedName name="pdBldgCount">'[7]Improvement Description'!$C$7</definedName>
    <definedName name="pdBldgFootprint">'[7]Improvement Description'!$C$17</definedName>
    <definedName name="pdBldgQuality">'[7]Improvement Description'!$C$97</definedName>
    <definedName name="pdBldgStories">'[7]Improvement Description'!$C$8</definedName>
    <definedName name="pdBuildingClass">'[7]Improvement Description'!$C$9</definedName>
    <definedName name="pdCeilingHeights">'[7]Improvement Description'!$C$22</definedName>
    <definedName name="pdCeilings">'[7]Improvement Description'!$C$66</definedName>
    <definedName name="pdCensusTract">'[7]Site Information'!$C$22</definedName>
    <definedName name="pdClearHeights">'[3]Improvement Description'!$B$28</definedName>
    <definedName name="pdCommonName">[3]Assignment!$B$30</definedName>
    <definedName name="pdConfiguration">'[7]Site Information'!$C$12</definedName>
    <definedName name="pdConstruction">'[7]Improvement Description'!$C$56</definedName>
    <definedName name="pdCooling">'[7]Improvement Description'!$C$76</definedName>
    <definedName name="pdCosttoCure">'[7]Improvement Description'!$C$92</definedName>
    <definedName name="pdCoverageRatio">'[7]Improvement Description'!$C$31</definedName>
    <definedName name="pdDeferredMaintenance">'[7]Improvement Description'!$C$91</definedName>
    <definedName name="pdDesignFunctionality">'[7]Improvement Description'!$C$99</definedName>
    <definedName name="pdDockHigh">'[7]Improvement Description'!$C$37</definedName>
    <definedName name="pdEasements">'[7]Site Information'!$C$39</definedName>
    <definedName name="pdEffectiveAge">'[13]Improvement Description'!$C$96</definedName>
    <definedName name="pdElectrical">'[7]Improvement Description'!$C$78</definedName>
    <definedName name="pdElevators">'[7]Improvement Description'!$C$27</definedName>
    <definedName name="pdEnterpriseZone">'[7]Site Information'!$C$32</definedName>
    <definedName name="pdEnvironmental">'[7]Site Information'!$C$25</definedName>
    <definedName name="pdExpectedEconLife">'[13]Improvement Description'!$C$95</definedName>
    <definedName name="pdExteriorWalls">'[7]Improvement Description'!$C$58</definedName>
    <definedName name="pdFAR">'[7]Improvement Description'!$C$30</definedName>
    <definedName name="pdFencing">'[7]Improvement Description'!$C$86</definedName>
    <definedName name="pdFireProtection">'[7]Improvement Description'!$C$80</definedName>
    <definedName name="pdFloodDescription">'[7]Site Information'!$C$21</definedName>
    <definedName name="pdFloodID">'[7]Site Information'!$C$20</definedName>
    <definedName name="pdFloodMapDate">'[7]Site Information'!$C$19</definedName>
    <definedName name="pdFloodMapNo">'[7]Site Information'!$C$18</definedName>
    <definedName name="pdFloorCoverings">'[7]Improvement Description'!$C$67</definedName>
    <definedName name="pdFloorStructure">'[7]Improvement Description'!$C$57</definedName>
    <definedName name="pdFoundation">'[7]Improvement Description'!$C$55</definedName>
    <definedName name="pdFrontage">'[7]Site Information'!$C$28</definedName>
    <definedName name="pdGeneralLayout">'[7]Improvement Description'!$C$54</definedName>
    <definedName name="pdGenPropUse">[7]Menu!$D$15</definedName>
    <definedName name="pdGenPropUse2">[7]Menu!$D$17</definedName>
    <definedName name="pdHazards">'[7]Site Information'!$C$27</definedName>
    <definedName name="pdHBUAsIfVacant">'[7]H&amp;BU'!$B$2</definedName>
    <definedName name="pdHBUAsImproved">'[7]H&amp;BU'!$B$3</definedName>
    <definedName name="pdHeating">'[7]Improvement Description'!$C$75</definedName>
    <definedName name="pdIngressEgress">'[7]Improvement Description'!$C$39</definedName>
    <definedName name="pdInteriorWalls">'[7]Improvement Description'!$C$65</definedName>
    <definedName name="pdLandscaping">'[7]Improvement Description'!$C$84</definedName>
    <definedName name="pdLEEDRating">'[7]Improvement Description'!$C$29</definedName>
    <definedName name="pdLegalDesc">'[7]Site Information'!$C$38</definedName>
    <definedName name="pdLighting">'[7]Improvement Description'!$C$69</definedName>
    <definedName name="pdLocationDesc">'[7]Site Information'!$C$2</definedName>
    <definedName name="pdLtoBRatio">'[3]Improvement Description'!$B$26</definedName>
    <definedName name="pdMostProbablePurchaser">[7]MethodAssump!$B$4</definedName>
    <definedName name="pdOccupancy">[3]RentRoll!$C$9</definedName>
    <definedName name="pdOfficeBuildOut">'[3]Improvement Description'!$B$27</definedName>
    <definedName name="pdParkingGarage">'[7]Improvement Description'!$C$46</definedName>
    <definedName name="pdParkingOther">'[7]Improvement Description'!$C$45</definedName>
    <definedName name="pdParkingRatio">'[7]Improvement Description'!$C$48</definedName>
    <definedName name="pdParkingSpaces">'[3]Improvement Description'!$B$39</definedName>
    <definedName name="pdParkingSurface">'[7]Improvement Description'!$C$44</definedName>
    <definedName name="pdParkingType">'[7]Improvement Description'!$C$83</definedName>
    <definedName name="pdPlumbing">'[7]Improvement Description'!$C$77</definedName>
    <definedName name="pdPower">'[7]Improvement Description'!$C$35</definedName>
    <definedName name="pdPropertyDescription">'[7]Improvement Description'!$C$4</definedName>
    <definedName name="pdPropertyType">'[7]Improvement Description'!$C$2</definedName>
    <definedName name="pdPropertyUse">'[7]Improvement Description'!$C$3</definedName>
    <definedName name="pdRailAccess">'[7]Improvement Description'!$C$40</definedName>
    <definedName name="pdRemainingEconLife">'[7]Improvement Description'!$C$103</definedName>
    <definedName name="pdRenovations">'[7]Improvement Description'!$C$90</definedName>
    <definedName name="pdRestrooms">'[7]Improvement Description'!$C$70</definedName>
    <definedName name="pdRollUp">'[7]Improvement Description'!$C$38</definedName>
    <definedName name="pdRoofCover">'[7]Improvement Description'!$C$60</definedName>
    <definedName name="pdRoofType">'[7]Improvement Description'!$C$59</definedName>
    <definedName name="pdSignage">'[7]Improvement Description'!$C$85</definedName>
    <definedName name="pdSiteAreaNetAc">'[3]Site Information'!$B$6</definedName>
    <definedName name="pdSiteAreaNetSF">'[3]Site Information'!$B$5</definedName>
    <definedName name="pdSiteAreaSurplusAc">'[7]Site Information'!$C$11</definedName>
    <definedName name="pdSiteOther">'[7]Improvement Description'!$C$87</definedName>
    <definedName name="pdSiteUtilities">'[7]Site Information'!$C$16</definedName>
    <definedName name="pdSoilCondition">'[7]Site Information'!$C$24</definedName>
    <definedName name="pdStorageYard">'[7]Improvement Description'!$C$41</definedName>
    <definedName name="pdSurroundingUses">'[7]Site Information'!$C$31</definedName>
    <definedName name="pdTaxID">'[7]Site Information'!$C$37</definedName>
    <definedName name="pdTrafficCounts">'[7]Site Information'!$C$33</definedName>
    <definedName name="pdTransportationFacilities">'[7]Site Information'!$C$34</definedName>
    <definedName name="pdUnits">'[3]Improvement Description'!$B$16</definedName>
    <definedName name="pdUtilityMetering">'[7]Improvement Description'!$C$23</definedName>
    <definedName name="pdVisibility">'[7]Site Information'!$C$30</definedName>
    <definedName name="pdWindows">'[7]Improvement Description'!$C$61</definedName>
    <definedName name="pdYearBuilt">'[3]Improvement Description'!$B$5</definedName>
    <definedName name="pdYearRenov">'[7]Improvement Description'!$C$6</definedName>
    <definedName name="pdZoningCompliance">'Site Information'!$C$5</definedName>
    <definedName name="pdZoningDescription">'Site Information'!$C$3</definedName>
    <definedName name="pdZoningid">'Site Information'!$C$2</definedName>
    <definedName name="pdZoningNarr">'Site Information'!$C$4</definedName>
    <definedName name="Percent_AC">[2]Inputs!$C$109</definedName>
    <definedName name="Percent_Ambient">[2]Inputs!$C$105</definedName>
    <definedName name="Percent_Cold_Storage">[2]Inputs!$C$106</definedName>
    <definedName name="Percent_Cooler">[2]Inputs!$C$107</definedName>
    <definedName name="Percent_Freezer">[2]Inputs!$C$108</definedName>
    <definedName name="Percent_Office">[2]Inputs!$C$104</definedName>
    <definedName name="Premise_List">[2]InputsRangeNames!$S$4:$S$9</definedName>
    <definedName name="Price_Per_Unit">'[2]IS Concl'!$D$43:$D$50</definedName>
    <definedName name="Price_Per_Units">'[2]IS Concl'!$D$44:$D$50</definedName>
    <definedName name="Pro_Forma_AV1">[2]Tax!#REF!</definedName>
    <definedName name="Pro_Forma_AV2">[2]Tax!#REF!</definedName>
    <definedName name="Profit">[2]LUD!$D$6</definedName>
    <definedName name="Profit_Value">[2]LUD!$BE$6</definedName>
    <definedName name="Proj_Name">[2]Inputs!$C$56</definedName>
    <definedName name="Prop_Class_List_2">[2]InputsRangeNames!$W$4:$W$7</definedName>
    <definedName name="Prop_Class_Value_2">[2]InputsRangeNames!$W$2</definedName>
    <definedName name="Prop_Type_List">[2]InputsRangeNames!#REF!</definedName>
    <definedName name="Prop_Type_Value">[2]InputsRangeNames!#REF!</definedName>
    <definedName name="Prop_Type_Value_List">[2]InputsRangeNames!#REF!</definedName>
    <definedName name="Property.List">[2]InputsRangeNames!$T$4:$T$19</definedName>
    <definedName name="Property.List.2">[2]InputsRangeNames!$U$4:$U$19</definedName>
    <definedName name="Property.List.3">[2]InputsRangeNames!$V$4:$V$13</definedName>
    <definedName name="Property.Type">[2]Exposure!$C$1</definedName>
    <definedName name="Property.Type.1.Check">[2]Exposure!$D$1</definedName>
    <definedName name="Property.Type.2">[2]Exposure!$C$2</definedName>
    <definedName name="Property.Type.2.Check">[2]Exposure!$D$2</definedName>
    <definedName name="Property.Type.3">[2]Exposure!$C$3</definedName>
    <definedName name="Property.Type.3.Check">[2]Exposure!$D$3</definedName>
    <definedName name="Property.Value">[2]InputsRangeNames!$T$2</definedName>
    <definedName name="Property.Value.2">[2]InputsRangeNames!$U$2</definedName>
    <definedName name="Property.Value.3">[2]InputsRangeNames!$V$2</definedName>
    <definedName name="Property_City">[2]Inputs!$C$60</definedName>
    <definedName name="Property_Class">[2]Inputs!$C$70</definedName>
    <definedName name="Property_Class_2">[2]Inputs!$C$76</definedName>
    <definedName name="Property_County">[2]Inputs!$C$63</definedName>
    <definedName name="Property_Description">[2]Inputs!$C$65</definedName>
    <definedName name="Property_Entity">[2]Inputs!$D$63</definedName>
    <definedName name="Property_State">[2]Inputs!$C$61</definedName>
    <definedName name="Property_Street">[2]Inputs!$C$59</definedName>
    <definedName name="Property_Tenancy">[2]Inputs!$D$65</definedName>
    <definedName name="Property_Type">[2]Inputs!#REF!</definedName>
    <definedName name="Property_Zip">[2]Inputs!$C$62</definedName>
    <definedName name="Prospective_Val_Growth">[2]Inputs!$C$42</definedName>
    <definedName name="QualArray">[6]Assumptions!$E$9:$F$21</definedName>
    <definedName name="R_basis">'[2]WA Import'!$CR$56:$CR$60</definedName>
    <definedName name="R_bserentsqf">'[2]WA Import'!$CO$56:$CO$60</definedName>
    <definedName name="R_city">'[2]WA Import'!$S$56:$S$60</definedName>
    <definedName name="R_clrceiling">'[2]WA Import'!$AH$56:$AH$60</definedName>
    <definedName name="R_Display.Value">'[2]Rent Sum'!$C$2</definedName>
    <definedName name="R_exppasthru">'[2]WA Import'!$CS$56:$CS$60</definedName>
    <definedName name="R_glatot">'[2]WA Import'!$AS$56:$AS$60</definedName>
    <definedName name="R_grosbldare">'[2]WA Import'!$AC$56:$AC$60</definedName>
    <definedName name="R_ldate1">'[2]WA Import'!$CZ$56:$CZ$60</definedName>
    <definedName name="R_ldate2">'[2]WA Import'!$DB$56:$DB$60</definedName>
    <definedName name="R_ldate3">'[2]WA Import'!$DD$56:$DD$60</definedName>
    <definedName name="R_ldate4">'[2]WA Import'!$DF$56:$DF$60</definedName>
    <definedName name="R_lesc1">'[2]WA Import'!$EH$56:$EH$60</definedName>
    <definedName name="R_lesc2">'[2]WA Import'!$EI$56:$EI$60</definedName>
    <definedName name="R_lesc3">'[2]WA Import'!$EJ$56:$EJ$60</definedName>
    <definedName name="R_lesc4">'[2]WA Import'!$EK$56:$EK$60</definedName>
    <definedName name="R_loc1">'[2]WA Import'!$Q$56:$Q$60</definedName>
    <definedName name="R_loc2">'[2]WA Import'!$R$56:$R$60</definedName>
    <definedName name="R_lrent_avg">'[2]WA Import'!$EN$56:$EN$60</definedName>
    <definedName name="R_lrent1">'[2]WA Import'!$DS$56:$DS$60</definedName>
    <definedName name="R_lrent10">'[2]WA Import'!$EK$56:$EK$60</definedName>
    <definedName name="R_lrent11">'[2]WA Import'!$EL$56:$EL$60</definedName>
    <definedName name="R_lrent12">'[2]WA Import'!$EM$56:$EM$60</definedName>
    <definedName name="R_lrent2">'[2]WA Import'!$DT$56:$DT$60</definedName>
    <definedName name="R_lrent3">'[2]WA Import'!$DU$56:$DU$60</definedName>
    <definedName name="R_lrent4">'[2]WA Import'!$DV$56:$DV$60</definedName>
    <definedName name="R_lrent5">'[2]WA Import'!$DW$56:$DW$60</definedName>
    <definedName name="R_lrent6">'[2]WA Import'!$EG$56:$EG$60</definedName>
    <definedName name="R_lrent7">'[2]WA Import'!$EH$56:$EH$60</definedName>
    <definedName name="R_lrent8">'[2]WA Import'!$EI$56:$EI$60</definedName>
    <definedName name="R_lrent9">'[2]WA Import'!$EJ$56:$EJ$60</definedName>
    <definedName name="R_lrentpsf1">'[2]WA Import'!$EO$56:$EO$60</definedName>
    <definedName name="R_lrentpsf10">'[2]WA Import'!$EX$56:$EX$60</definedName>
    <definedName name="R_lrentpsf11">'[2]WA Import'!$EY$56:$EY$60</definedName>
    <definedName name="R_lrentpsf12">'[2]WA Import'!$EZ$56:$EZ$60</definedName>
    <definedName name="R_lrentpsf2">'[2]WA Import'!$EP$56:$EP$60</definedName>
    <definedName name="R_lrentpsf3">'[2]WA Import'!$EQ$56:$EQ$60</definedName>
    <definedName name="R_lrentpsf4">'[2]WA Import'!$ER$56:$ER$60</definedName>
    <definedName name="R_lrentpsf5">'[2]WA Import'!$ES$56:$ES$60</definedName>
    <definedName name="R_lrentpsf6">'[2]WA Import'!$ET$56:$ET$60</definedName>
    <definedName name="R_lrentpsf7">'[2]WA Import'!$EU$56:$EU$60</definedName>
    <definedName name="R_lrentpsf8">'[2]WA Import'!$EV$56:$EV$60</definedName>
    <definedName name="R_lrentpsf9">'[2]WA Import'!$EW$56:$EW$60</definedName>
    <definedName name="R_lsize1">'[2]WA Import'!$DI$56:$DI$60</definedName>
    <definedName name="R_lsize10">'[2]WA Import'!$DL$56:$DL$60</definedName>
    <definedName name="R_lsize11">'[2]WA Import'!$DM$56:$DM$60</definedName>
    <definedName name="R_lsize12">'[2]WA Import'!$DN$56:$DN$60</definedName>
    <definedName name="R_lsize2">'[2]WA Import'!$DJ$56:$DJ$60</definedName>
    <definedName name="R_lsize3">'[2]WA Import'!$DK$56:$DK$60</definedName>
    <definedName name="R_lsize4">'[2]WA Import'!$DL$56:$DL$60</definedName>
    <definedName name="R_lsize5">'[2]WA Import'!$DM$56:$DM$60</definedName>
    <definedName name="R_lsize6">'[2]WA Import'!$DH$56:$DH$60</definedName>
    <definedName name="R_lsize7">'[2]WA Import'!$DI$56:$DI$60</definedName>
    <definedName name="R_lsize8">'[2]WA Import'!$DJ$56:$DJ$60</definedName>
    <definedName name="R_lsize9">'[2]WA Import'!$DK$56:$DK$60</definedName>
    <definedName name="R_lten1">'[2]WA Import'!$DN$56:$DN$60</definedName>
    <definedName name="R_lten2">'[2]WA Import'!$DO$56:$DO$60</definedName>
    <definedName name="R_lten3">'[2]WA Import'!$DP$56:$DP$60</definedName>
    <definedName name="R_lten4">'[2]WA Import'!$DQ$56:$DQ$60</definedName>
    <definedName name="R_lterm1">'[2]WA Import'!$ER$56:$ER$60</definedName>
    <definedName name="R_lterm2">'[2]WA Import'!$ES$56:$ES$60</definedName>
    <definedName name="R_lterm3">'[2]WA Import'!$ET$56:$ET$60</definedName>
    <definedName name="R_lterm4">'[2]WA Import'!$EU$56:$EU$60</definedName>
    <definedName name="R_lti1">'[2]WA Import'!$DX$56:$DX$60</definedName>
    <definedName name="R_lti2">'[2]WA Import'!$DY$56:$DY$60</definedName>
    <definedName name="R_lti3">'[2]WA Import'!$DZ$56:$DZ$60</definedName>
    <definedName name="R_lti4">'[2]WA Import'!$EA$56:$EA$60</definedName>
    <definedName name="R_ltype1">'[2]WA Import'!$DP$56:$DP$60</definedName>
    <definedName name="R_ltype10">'[2]WA Import'!$DY$56:$DY$60</definedName>
    <definedName name="R_ltype11">'[2]WA Import'!$DZ$56:$DZ$60</definedName>
    <definedName name="R_ltype12">'[2]WA Import'!$EA$56:$EA$60</definedName>
    <definedName name="R_ltype2">'[2]WA Import'!$DQ$56:$DQ$60</definedName>
    <definedName name="R_ltype3">'[2]WA Import'!$DR$56:$DR$60</definedName>
    <definedName name="R_ltype4">'[2]WA Import'!$DS$56:$DS$60</definedName>
    <definedName name="R_ltype5">'[2]WA Import'!$DT$56:$DT$60</definedName>
    <definedName name="R_ltype6">'[2]WA Import'!$DU$56:$DU$60</definedName>
    <definedName name="R_ltype7">'[2]WA Import'!$DV$56:$DV$60</definedName>
    <definedName name="R_ltype8">'[2]WA Import'!$DW$56:$DW$60</definedName>
    <definedName name="R_ltype9">'[2]WA Import'!$DX$56:$DX$60</definedName>
    <definedName name="R_name">'[2]WA Import'!$J$56:$J$60</definedName>
    <definedName name="R_netrntarea">'[2]WA Import'!$AN$56:$AN$60</definedName>
    <definedName name="R_nunits">'[2]WA Import'!$AD$56:$AD$60</definedName>
    <definedName name="R_pctair">'[2]WA Import'!$AG$56:$AG$60</definedName>
    <definedName name="R_pctoccup">'[2]WA Import'!$CK$56:$CK$60</definedName>
    <definedName name="R_pctoccupo">'[2]WA Import'!$CL$56:$CL$60</definedName>
    <definedName name="R_pctoffice">'[2]WA Import'!$AP$56:$AP$60</definedName>
    <definedName name="R_rentescal">'[2]WA Import'!$CQ$56:$CQ$60</definedName>
    <definedName name="R_state">'[2]WA Import'!$V$56:$V$60</definedName>
    <definedName name="R_tenimprov">'[2]WA Import'!$CW$56:$CW$60</definedName>
    <definedName name="R_yrbuilt">'[2]WA Import'!$AU$56:$AU$60</definedName>
    <definedName name="R_zip">'[2]WA Import'!$T$56:$T$60</definedName>
    <definedName name="Rent_Area">[2]Inputs!$C$147</definedName>
    <definedName name="Rental.Trends">[2]MktStdyRents!$F$37:$F$39</definedName>
    <definedName name="Requester_Name">[2]Inputs!$C$15</definedName>
    <definedName name="Requester_Title">[2]Inputs!$C$16</definedName>
    <definedName name="Rev_Unit_Val">'[2]Dir Cap'!$K$6</definedName>
    <definedName name="Revenue_Category_1">[2]Inputs!$C$164</definedName>
    <definedName name="Revenue_Category_2">[2]Inputs!$C$165</definedName>
    <definedName name="Revenue_Category_3">[2]Inputs!$C$166</definedName>
    <definedName name="Revenue_Category_4">[2]Inputs!$C$167</definedName>
    <definedName name="Revenue_Category_5">[2]Inputs!$C$168</definedName>
    <definedName name="Revenue_Category_6">[2]Inputs!$C$169</definedName>
    <definedName name="Revenue_Category_7">[2]Inputs!$C$170</definedName>
    <definedName name="Revenue_Category_8">[2]Inputs!$C$171</definedName>
    <definedName name="Reviewer">[2]Inputs!$C$10</definedName>
    <definedName name="Rights_Appraised">[2]Inputs!$C$34</definedName>
    <definedName name="RR_basis">'[2]WA Import'!$CR$69:$CR$75</definedName>
    <definedName name="RR_bserentsqf">'[2]WA Import'!$CO$69:$CO$75</definedName>
    <definedName name="RR_city">'[2]WA Import'!$S$69:$S$75</definedName>
    <definedName name="RR_CLRCEILING">'[2]WA Import'!$AG$69:$AG$73</definedName>
    <definedName name="RR_Display.Value">'[2]Rent Sum (2)'!$C$2</definedName>
    <definedName name="RR_exppasthru">'[2]WA Import'!$CS$69:$CS$75</definedName>
    <definedName name="RR_glatot">'[2]WA Import'!$AS$69:$AS$75</definedName>
    <definedName name="RR_GROSBLDARE">'[2]WA Import'!$AA$69:$AA$73</definedName>
    <definedName name="RR_ldate1">'[2]WA Import'!$CZ$69:$CZ$75</definedName>
    <definedName name="RR_ldate2">'[2]WA Import'!$DB$69:$DB$75</definedName>
    <definedName name="RR_ldate3">'[2]WA Import'!$DD$69:$DD$75</definedName>
    <definedName name="RR_ldate4">'[2]WA Import'!$DF$69:$DF$75</definedName>
    <definedName name="RR_lesc1">'[2]WA Import'!$EH$69:$EH$75</definedName>
    <definedName name="RR_lesc2">'[2]WA Import'!$EI$69:$EI$75</definedName>
    <definedName name="RR_lesc3">'[2]WA Import'!$EJ$69:$EJ$75</definedName>
    <definedName name="RR_lesc4">'[2]WA Import'!$EK$69:$EK$75</definedName>
    <definedName name="RR_loc1">'[2]WA Import'!$Q$69:$Q$75</definedName>
    <definedName name="RR_loc2">'[2]WA Import'!$R$69:$R$75</definedName>
    <definedName name="RR_lrent_avg">'[2]WA Import'!$EN$69:$EN$75</definedName>
    <definedName name="RR_lrent1">'[2]WA Import'!$DS$69:$DS$75</definedName>
    <definedName name="RR_lrent2">'[2]WA Import'!$DT$69:$DT$75</definedName>
    <definedName name="RR_lrent3">'[2]WA Import'!$DU$69:$DU$75</definedName>
    <definedName name="RR_lrent4">'[2]WA Import'!$DV$69:$DV$75</definedName>
    <definedName name="RR_lsize1">'[2]WA Import'!$DI$69:$DI$75</definedName>
    <definedName name="RR_lsize2">'[2]WA Import'!$DJ$69:$DJ$75</definedName>
    <definedName name="RR_lsize3">'[2]WA Import'!$DK$69:$DK$75</definedName>
    <definedName name="RR_lsize4">'[2]WA Import'!$DL$69:$DL$75</definedName>
    <definedName name="RR_lten1">'[2]WA Import'!$DN$69:$DN$75</definedName>
    <definedName name="RR_lten2">'[2]WA Import'!$DO$69:$DO$75</definedName>
    <definedName name="RR_lten3">'[2]WA Import'!$DP$69:$DP$75</definedName>
    <definedName name="RR_lten4">'[2]WA Import'!$DQ$69:$DQ$75</definedName>
    <definedName name="RR_lterm1">'[2]WA Import'!$ER$69:$ER$75</definedName>
    <definedName name="RR_lterm2">'[2]WA Import'!$ES$69:$ES$75</definedName>
    <definedName name="RR_lterm3">'[2]WA Import'!$ET$69:$ET$75</definedName>
    <definedName name="RR_lterm4">'[2]WA Import'!$EU$69:$EU$75</definedName>
    <definedName name="RR_lti1">'[2]WA Import'!$DX$69:$DX$75</definedName>
    <definedName name="RR_lti2">'[2]WA Import'!$DY$69:$DY$75</definedName>
    <definedName name="RR_lti3">'[2]WA Import'!$DZ$69:$DZ$75</definedName>
    <definedName name="RR_lti4">'[2]WA Import'!$EA$69:$EA$75</definedName>
    <definedName name="RR_name">'[2]WA Import'!$J$69:$J$75</definedName>
    <definedName name="RR_NETRNTAREA">'[2]WA Import'!$AN$69:$AN$73</definedName>
    <definedName name="RR_nunits">'[2]WA Import'!$AD$69:$AD$75</definedName>
    <definedName name="RR_PCTAIR">'[2]WA Import'!$AF$69:$AF$73</definedName>
    <definedName name="RR_pctoccup">'[2]WA Import'!$CK$69:$CK$75</definedName>
    <definedName name="RR_pctoccupo">'[2]WA Import'!$CL$69:$CL$75</definedName>
    <definedName name="RR_rentescal">'[2]WA Import'!$CQ$69:$CQ$75</definedName>
    <definedName name="RR_state">'[2]WA Import'!$V$69:$V$75</definedName>
    <definedName name="RR_tenimprov">'[2]WA Import'!$CW$69:$CW$75</definedName>
    <definedName name="RR_yrbuilt">'[2]WA Import'!$AU$69:$AU$75</definedName>
    <definedName name="RR_zip">'[2]WA Import'!$T$69:$T$75</definedName>
    <definedName name="S_adjsalespr">'[2]WA Import'!$BM$8:$BM$12</definedName>
    <definedName name="S_city">'[2]WA Import'!$S$8:$S$12</definedName>
    <definedName name="S_clrceiling">'[2]WA Import'!$AH$8:$AH$12</definedName>
    <definedName name="S_egim">'[2]WA Import'!$CG$8:$CG$12</definedName>
    <definedName name="S_glap">'[2]WA Import'!$AT$8:$AT$12</definedName>
    <definedName name="S_grosbldare">'[2]WA Import'!$AC$8:$AC$12</definedName>
    <definedName name="S_landarea">'[2]WA Import'!$AA$8:$AA$12</definedName>
    <definedName name="S_loc1">'[2]WA Import'!$Q$8:$Q$12</definedName>
    <definedName name="S_ltbr">'[2]WA Import'!$AW$8:$AW$12</definedName>
    <definedName name="S_name">'[2]WA Import'!$J$8:$J$12</definedName>
    <definedName name="S_netopinpsf">'[2]WA Import'!$CC$8:$CC$12</definedName>
    <definedName name="S_netrntarea">'[2]WA Import'!$AN$8:$AN$11</definedName>
    <definedName name="S_nunits">'[2]WA Import'!$AD$8:$AD$11</definedName>
    <definedName name="S_oar">'[2]WA Import'!$CE$8:$CE$12</definedName>
    <definedName name="S_oer">'[2]WA Import'!$CH$8:$CH$12</definedName>
    <definedName name="S_pctair">'[2]WA Import'!$AG$8:$AG$12</definedName>
    <definedName name="S_pctoffice">'[2]WA Import'!$AP$8:$AP$12</definedName>
    <definedName name="S_priceper">'[2]WA Import'!$CJ$8:$CJ$12</definedName>
    <definedName name="S_pricepsf">'[2]WA Import'!$CI$8:$CI$12</definedName>
    <definedName name="S_salemoyr">'[2]WA Import'!$BD$8:$BD$12</definedName>
    <definedName name="S_saleoccup">'[2]WA Import'!$BQ$8:$BQ$12</definedName>
    <definedName name="S_saleprice">'[2]WA Import'!$BI$8:$BI$12</definedName>
    <definedName name="S_state">'[2]WA Import'!$V$8:$V$12</definedName>
    <definedName name="S_t_xn">'[2]WA Import'!$GM$8:$GM$12</definedName>
    <definedName name="S_yrbuilt">'[2]WA Import'!$AU$8:$AU$12</definedName>
    <definedName name="S_zip">'[2]WA Import'!$T$8:$T$12</definedName>
    <definedName name="saValueComparisonRNDPresent">#REF!</definedName>
    <definedName name="saValueConclusion">[3]ISaleAdj!$D$188</definedName>
    <definedName name="SCA_Value">'[2]IS Concl'!$O$32</definedName>
    <definedName name="Second_Appraisal_Premise">[2]Inputs!$C$40</definedName>
    <definedName name="Second_Premise_Value">[2]Inputs!$D$40</definedName>
    <definedName name="Second_Value_Date">[2]Inputs!$C$44</definedName>
    <definedName name="SiteArea">'[9]Site Information'!$B$3</definedName>
    <definedName name="SS_adjsalespr">'[2]WA Import'!$BM$20:$BM$25</definedName>
    <definedName name="SS_city">'[2]WA Import'!$S$20:$S$25</definedName>
    <definedName name="SS_clrceiling">'[2]WA Import'!$AD$20:$AD$24</definedName>
    <definedName name="SS_glap">'[2]WA Import'!$AT$20:$AT$25</definedName>
    <definedName name="SS_grosbldare">'[2]WA Import'!$Y$20:$Y$24</definedName>
    <definedName name="SS_landarea">'[2]WA Import'!$AA$20:$AA$25</definedName>
    <definedName name="SS_loc1">'[2]WA Import'!$Q$20:$Q$25</definedName>
    <definedName name="SS_name">'[2]WA Import'!$J$20:$J$25</definedName>
    <definedName name="SS_netopinpsf">'[2]WA Import'!$CC$20:$CC$25</definedName>
    <definedName name="SS_netrntarea">'[2]WA Import'!$AL$20:$AL$24</definedName>
    <definedName name="SS_nunits">'[2]WA Import'!$AD$20:$AD$25</definedName>
    <definedName name="SS_oar">'[2]WA Import'!$CE$20:$CE$25</definedName>
    <definedName name="SS_pctair">'[2]WA Import'!$AC$20:$AC$24</definedName>
    <definedName name="SS_pctoffice">'[2]WA Import'!$AL$20:$AL$24</definedName>
    <definedName name="SS_priceper">'[2]WA Import'!$CJ$20:$CJ$25</definedName>
    <definedName name="SS_pricepsf">'[2]WA Import'!$CI$20:$CI$25</definedName>
    <definedName name="SS_salemoyr">'[2]WA Import'!$BD$20:$BD$25</definedName>
    <definedName name="SS_saleoccup">'[2]WA Import'!$BQ$20:$BQ$25</definedName>
    <definedName name="SS_state">'[2]WA Import'!$V$20:$V$25</definedName>
    <definedName name="SS_t_xn">'[2]WA Import'!$GM$20:$GM$25</definedName>
    <definedName name="SS_yrbuilt">'[2]WA Import'!$AU$20:$AU$25</definedName>
    <definedName name="SS_zip">'[2]WA Import'!$T$20:$T$25</definedName>
    <definedName name="Stab.Credit.Weight">[2]MktStdy!$AB$51</definedName>
    <definedName name="Stab.CreditLoss">[2]Inputs!$D$150</definedName>
    <definedName name="Stab.Vac.Weight">[2]MktStdy!$AB$41</definedName>
    <definedName name="Stab.Vacancy">[2]Inputs!$D$151</definedName>
    <definedName name="Stab.VC.Select.Weight">[2]MktStdy!$W$34</definedName>
    <definedName name="Stab_Ancil_Inc">EGI-NRI</definedName>
    <definedName name="Stab_Exp">'[2]Dir Cap'!$H$45</definedName>
    <definedName name="Stab_Exp_Reimb">'[2]Dir Cap'!$H$20</definedName>
    <definedName name="Stab_NOI">'[2]Dir Cap'!$H$47</definedName>
    <definedName name="Stabilized_Occ">[2]Inputs!$C$152</definedName>
    <definedName name="States">#REF!</definedName>
    <definedName name="Status_List">[2]InputsRangeNames!$E$4:$E$15</definedName>
    <definedName name="Status_List_Value">[2]InputsRangeNames!$E$2</definedName>
    <definedName name="Status_of_Property">[2]Inputs!$C$36</definedName>
    <definedName name="Sub_City">[2]IS_Sum!#REF!</definedName>
    <definedName name="Sub_OER">'[2]Dir Cap'!$H$46</definedName>
    <definedName name="Sub_Parc_Num_1">[2]Inputs!$C$66</definedName>
    <definedName name="Sub_Parc_Num_2">[2]Inputs!$C$67</definedName>
    <definedName name="Sub_Parc_Num_3">[2]Inputs!$C$68</definedName>
    <definedName name="Sub_Parc_Num_4">[2]Inputs!$C$69</definedName>
    <definedName name="Surplus_Land_Ac">[2]Inputs!$C$83</definedName>
    <definedName name="Survey.Date">'[2]Survey Results'!$A$2</definedName>
    <definedName name="Survey.Date.2">'[2]Survey Results'!$A$3</definedName>
    <definedName name="survey.results">'[2]Survey Results'!$A$4:$P$62</definedName>
    <definedName name="Tax_Dial_Val">[2]Tax!$B$2</definedName>
    <definedName name="Tax_Dial_Val_2">[2]Tax!$B$3</definedName>
    <definedName name="Tax_Dial_Val_3">[2]Tax!$B$4</definedName>
    <definedName name="Tax_Form_1">[2]Tax!#REF!</definedName>
    <definedName name="Tax_Form_2">[2]Tax!#REF!</definedName>
    <definedName name="Taxes">[2]Tax!$K$21</definedName>
    <definedName name="Taxes.Special">[2]Tax!$K$17</definedName>
    <definedName name="Terminal_Cap_Rate">'[2]DCF Assum'!$D$47</definedName>
    <definedName name="TFDirCap2">[2]Inputs!$D$52</definedName>
    <definedName name="TFExcessLand">[2]Inputs!$D$47</definedName>
    <definedName name="Third_Appraisal_Premise">[2]Inputs!$C$41</definedName>
    <definedName name="Third_Premise_Value">[2]Inputs!$D$41</definedName>
    <definedName name="Third_Value_Date">[2]Inputs!$C$45</definedName>
    <definedName name="ThreeBRRents">#REF!</definedName>
    <definedName name="Total_Land__ac.">[2]Inputs!$C$85</definedName>
    <definedName name="Total_Repl_Cost">[2]Cost!$H$74</definedName>
    <definedName name="TwoBRRents">#REF!</definedName>
    <definedName name="Type_Appraisal">[2]Inputs!$C$13</definedName>
    <definedName name="Type_Report">[2]Inputs!$C$14</definedName>
    <definedName name="Unit.Type">[2]Inputs!$D$148</definedName>
    <definedName name="UOC_Acres">'[2]L Sum'!$T$9:$T$11</definedName>
    <definedName name="UOC_SF">'[2]L Sum'!$S$9:$S$11</definedName>
    <definedName name="UOC_Units">'[2]L Sum'!$U$9:$U$11</definedName>
    <definedName name="UOC_Val">'[2]L Sum'!$R$9:$R$11</definedName>
    <definedName name="Value_List">[2]InputsRangeNames!$A$4:$A$107</definedName>
    <definedName name="Var_Exp_Rate">[2]LUD!$D$7</definedName>
    <definedName name="Var_Exp_Value">[2]LUD!$BE$7</definedName>
    <definedName name="vcDateInspection">[7]Assignment!$B$43</definedName>
    <definedName name="vcExposureTime1">'[7]Value Indications'!$C$14</definedName>
    <definedName name="vcMarketingTime1">'[7]Value Indications'!$C$15</definedName>
    <definedName name="vcPSFOptions">#REF!</definedName>
    <definedName name="vcPSFOptions1">#REF!</definedName>
    <definedName name="vcPSFOptions2">#REF!</definedName>
    <definedName name="vcPSFOptions3">#REF!</definedName>
    <definedName name="vcPSFOptions4">#REF!</definedName>
    <definedName name="vcValueFinalScen">#REF!</definedName>
    <definedName name="Year_Blt.">[2]Inputs!$C$156</definedName>
    <definedName name="Year_Reno">[2]Inputs!$C$157</definedName>
    <definedName name="YOC">[2]Inputs!$C$156</definedName>
    <definedName name="_Hlk504124707" localSheetId="2">FE!#REF!</definedName>
    <definedName name="_xlnm.Print_Area" localSheetId="7">'Final Value'!$C$2:$F$33</definedName>
    <definedName name="ArrTot" localSheetId="12">[5]Assumptions!$F$9:$G$21</definedName>
    <definedName name="caLandValueRNDPresent" localSheetId="12">#REF!</definedName>
    <definedName name="caRCN" localSheetId="12">'[8]Cost Analysis Estimated Costs'!$G$33</definedName>
    <definedName name="caRCNDeprec" localSheetId="12">'[8]Cost Analysis Estimated Costs'!$G$56</definedName>
    <definedName name="iaBOIRate" localSheetId="12">'[8]Cap Rate'!#REF!</definedName>
    <definedName name="iaIntRateBase" localSheetId="12">'[8]Cap Rate'!#REF!</definedName>
    <definedName name="iaLoanAmo" localSheetId="12">'[8]Cap Rate'!#REF!</definedName>
    <definedName name="iaLoanMtgConstant" localSheetId="12">'[8]Cap Rate'!#REF!</definedName>
    <definedName name="iaLoanTV" localSheetId="12">'[8]Cap Rate'!#REF!</definedName>
    <definedName name="iaOARBrokers" localSheetId="12">'[8]Cap Rate'!$AI$72</definedName>
    <definedName name="iaOARDCR" localSheetId="12">'[8]Cap Rate'!$AC$64</definedName>
    <definedName name="iaProjMgmtPct" localSheetId="12">[8]PF!#REF!</definedName>
    <definedName name="iaValueDirectCapRNDPresent" localSheetId="12">#REF!</definedName>
    <definedName name="iaValueYieldCapRNDPresent" localSheetId="12">#REF!</definedName>
    <definedName name="OARSpread" localSheetId="12">#REF!</definedName>
    <definedName name="QualArray" localSheetId="12">[5]Assumptions!$E$9:$F$21</definedName>
    <definedName name="saValueComparisonRNDPresent" localSheetId="12">#REF!</definedName>
    <definedName name="vcPSFOptions" localSheetId="12">#REF!</definedName>
    <definedName name="vcPSFOptions1" localSheetId="12">#REF!</definedName>
    <definedName name="vcPSFOptions2" localSheetId="12">#REF!</definedName>
    <definedName name="vcPSFOptions3" localSheetId="12">#REF!</definedName>
    <definedName name="vcPSFOptions4" localSheetId="12">#REF!</definedName>
    <definedName name="vcValueFinalScen" localSheetId="12">#REF!</definedName>
    <definedName name="_xlnm._FilterDatabase" localSheetId="12" hidden="1">'Export030823'!$B$1:$X$5</definedName>
    <definedName name="iaBOIRate" localSheetId="13">'[12]Cap Rate'!#REF!</definedName>
    <definedName name="iaIntRateBase" localSheetId="13">'[12]Cap Rate'!#REF!</definedName>
    <definedName name="iaLoanAmo" localSheetId="13">'[12]Cap Rate'!#REF!</definedName>
    <definedName name="iaLoanMtgConstant" localSheetId="13">'[12]Cap Rate'!#REF!</definedName>
    <definedName name="iaLoanTV" localSheetId="13">'[12]Cap Rate'!#REF!</definedName>
    <definedName name="iaOARBrokers" localSheetId="13">'[12]Cap Rate'!$AI$72</definedName>
    <definedName name="iaOARDCR" localSheetId="13">'[12]Cap Rate'!$AC$64</definedName>
    <definedName name="iaProjMgmtPct" localSheetId="13">[12]PF!#REF!</definedName>
    <definedName name="vcPSFOptions" localSheetId="13">#REF!</definedName>
    <definedName name="vcPSFOptions1" localSheetId="13">#REF!</definedName>
    <definedName name="vcPSFOptions2" localSheetId="13">#REF!</definedName>
    <definedName name="_xlnm.Print_Area" localSheetId="13">'Basic Sales Grid'!$B$1:$I$36</definedName>
  </definedNames>
  <calcPr calcId="191029" fullCalcOnLoad="1"/>
</workbook>
</file>

<file path=xl/styles.xml><?xml version="1.0" encoding="utf-8"?>
<styleSheet xmlns="http://schemas.openxmlformats.org/spreadsheetml/2006/main">
  <numFmts count="41">
    <numFmt numFmtId="164" formatCode="&quot;$&quot;#,##0.00_);[Red]\(&quot;$&quot;#,##0.00\)"/>
    <numFmt numFmtId="165" formatCode="&quot;$&quot;#,##0_);\(&quot;$&quot;#,##0\)"/>
    <numFmt numFmtId="166" formatCode="_(&quot;$&quot;* #,##0.00_);_(&quot;$&quot;* \(#,##0.00\);_(&quot;$&quot;* &quot;-&quot;??_);_(@_)"/>
    <numFmt numFmtId="167" formatCode="&quot;$&quot;#,##0.00"/>
    <numFmt numFmtId="168" formatCode="_(* #,##0_);_(* \(#,##0\);_(* &quot;-&quot;??_);_(@_)"/>
    <numFmt numFmtId="169" formatCode="&quot;$&quot;#,##0"/>
    <numFmt numFmtId="170" formatCode="&quot;$&quot;#,##0.00_);\(&quot;$&quot;#,##0.00\)"/>
    <numFmt numFmtId="171" formatCode="0.0%"/>
    <numFmt numFmtId="172" formatCode="_(* #,##0.00_);_(* \(#,##0.00\);_(* &quot;-&quot;_);_(@_)"/>
    <numFmt numFmtId="173" formatCode="#,##0.00;;\-"/>
    <numFmt numFmtId="174" formatCode="&quot;Rounded to nearest &quot;\ &quot;$&quot;#,###"/>
    <numFmt numFmtId="175" formatCode="&quot;Based on Low-Range of&quot;\ 0.00%"/>
    <numFmt numFmtId="176" formatCode="&quot;Based on Most Probable Rate of &quot;0.00%"/>
    <numFmt numFmtId="177" formatCode="&quot;Based on High-Range of&quot;\ 0.00%"/>
    <numFmt numFmtId="178" formatCode="&quot;Sensitivity Analysis (&quot;0.00%\ &quot;OAR Spread)&quot;"/>
    <numFmt numFmtId="179" formatCode="[$-409]mmmm\ d\,\ yyyy;@"/>
    <numFmt numFmtId="180" formatCode="[$-409]mmm\-yy;@"/>
    <numFmt numFmtId="181" formatCode="_(&quot;$&quot;* #,##0_);_(&quot;$&quot;* \(#,##0\);_(&quot;$&quot;* &quot;-&quot;??_);_(@_)"/>
    <numFmt numFmtId="182" formatCode="_(* #,##0.000_);_(* \(#,##0.000\);_(* &quot;-&quot;??_);_(@_)"/>
    <numFmt numFmtId="183" formatCode="&quot;x  &quot;#,##0.000_)"/>
    <numFmt numFmtId="184" formatCode="0_);\(0\)"/>
    <numFmt numFmtId="185" formatCode="&quot;Page: &quot;0"/>
    <numFmt numFmtId="186" formatCode="#,##0%"/>
    <numFmt numFmtId="187" formatCode="\$#,##0.00_);[Red]\(\$#,##0.00\)"/>
    <numFmt numFmtId="188" formatCode="\$#,##0"/>
    <numFmt numFmtId="189" formatCode="\$#,##0.00"/>
    <numFmt numFmtId="190" formatCode="#,##0.00%"/>
    <numFmt numFmtId="191" formatCode="#,##0\ &quot;square feet&quot;"/>
    <numFmt numFmtId="192" formatCode="#,##0.00\ &quot;square feet&quot;"/>
    <numFmt numFmtId="193" formatCode="&quot;$&quot;#,##0_);[Red]\(&quot;$&quot;#,##0\)"/>
    <numFmt numFmtId="194" formatCode="&quot;x  &quot;#,##0_)"/>
    <numFmt numFmtId="195" formatCode="&quot;(&quot;#,##0.00\ &quot;acres)&quot;"/>
    <numFmt numFmtId="196" formatCode="0\ &quot;months&quot;"/>
    <numFmt numFmtId="197" formatCode="&quot;$&quot;#,##0.00\ &quot;Per Square Foot&quot;"/>
    <numFmt numFmtId="198" formatCode="0.000"/>
    <numFmt numFmtId="199" formatCode="&quot;$&quot;#,##0;\(&quot;$&quot;#,##0\);&quot;-&quot;"/>
    <numFmt numFmtId="200" formatCode="0\ &quot;years &quot;"/>
    <numFmt numFmtId="201" formatCode="0.00\ &quot;: 1&quot;"/>
    <numFmt numFmtId="202" formatCode="0.00_);\(0.00\)"/>
    <numFmt numFmtId="203" formatCode="#,##0;;\-"/>
    <numFmt numFmtId="204" formatCode="$#,##0"/>
  </numFmts>
  <fonts count="105">
    <font>
      <name val="Calibri"/>
      <family val="2"/>
      <color theme="1"/>
      <sz val="11"/>
      <scheme val="minor"/>
    </font>
    <font>
      <name val="Calibri"/>
      <family val="2"/>
      <color theme="1"/>
      <sz val="11"/>
      <scheme val="minor"/>
    </font>
    <font>
      <name val="Calibri"/>
      <family val="2"/>
      <b val="1"/>
      <color rgb="FFFFFFFF"/>
      <sz val="10"/>
      <scheme val="minor"/>
    </font>
    <font>
      <name val="Calibri"/>
      <family val="2"/>
      <b val="1"/>
      <sz val="10"/>
      <scheme val="minor"/>
    </font>
    <font>
      <name val="Calibri"/>
      <family val="2"/>
      <sz val="9"/>
      <scheme val="minor"/>
    </font>
    <font>
      <name val="Calibri"/>
      <family val="2"/>
      <b val="1"/>
      <color theme="1"/>
      <sz val="11"/>
      <scheme val="minor"/>
    </font>
    <font>
      <name val="Calibri"/>
      <family val="2"/>
      <b val="1"/>
      <color theme="0"/>
      <sz val="9"/>
      <scheme val="minor"/>
    </font>
    <font>
      <name val="Calibri"/>
      <family val="2"/>
      <b val="1"/>
      <sz val="9"/>
      <scheme val="minor"/>
    </font>
    <font>
      <name val="Calibri"/>
      <family val="2"/>
      <b val="1"/>
      <color theme="0"/>
      <sz val="10"/>
      <scheme val="minor"/>
    </font>
    <font>
      <name val="Calibri"/>
      <family val="2"/>
      <color theme="1"/>
      <sz val="9"/>
      <scheme val="minor"/>
    </font>
    <font>
      <name val="Calibri"/>
      <family val="2"/>
      <b val="1"/>
      <color theme="1"/>
      <sz val="8"/>
    </font>
    <font>
      <name val="Calibri"/>
      <family val="2"/>
      <b val="1"/>
      <sz val="8"/>
    </font>
    <font>
      <name val="Calibri"/>
      <family val="2"/>
      <color theme="1"/>
      <sz val="8"/>
      <scheme val="minor"/>
    </font>
    <font>
      <name val="Calibri"/>
      <family val="2"/>
      <color theme="1"/>
      <sz val="10"/>
      <scheme val="minor"/>
    </font>
    <font>
      <name val="Calibri"/>
      <family val="2"/>
      <color indexed="12"/>
      <sz val="10"/>
      <scheme val="minor"/>
    </font>
    <font>
      <name val="Calibri"/>
      <family val="2"/>
      <b val="1"/>
      <sz val="9"/>
    </font>
    <font>
      <name val="Calibri"/>
      <family val="2"/>
      <b val="1"/>
      <color theme="1"/>
      <sz val="9"/>
      <scheme val="minor"/>
    </font>
    <font>
      <name val="Calibri"/>
      <family val="2"/>
      <color indexed="8"/>
      <sz val="9"/>
      <scheme val="minor"/>
    </font>
    <font>
      <name val="Calibri"/>
      <family val="2"/>
      <sz val="9"/>
    </font>
    <font>
      <name val="Calibri"/>
      <family val="2"/>
      <b val="1"/>
      <color indexed="8"/>
      <sz val="9"/>
      <scheme val="minor"/>
    </font>
    <font>
      <name val="Calibri"/>
      <family val="2"/>
      <b val="1"/>
      <color indexed="9"/>
      <sz val="10"/>
      <scheme val="minor"/>
    </font>
    <font>
      <name val="Calibri"/>
      <family val="2"/>
      <b val="1"/>
      <color indexed="9"/>
      <sz val="11"/>
      <scheme val="minor"/>
    </font>
    <font>
      <name val="Calibri"/>
      <family val="2"/>
      <color theme="0"/>
      <sz val="9"/>
      <scheme val="minor"/>
    </font>
    <font>
      <name val="Calibri"/>
      <family val="2"/>
      <sz val="10"/>
      <scheme val="minor"/>
    </font>
    <font>
      <name val="Calibri"/>
      <family val="2"/>
      <color indexed="12"/>
      <sz val="9"/>
      <scheme val="minor"/>
    </font>
    <font>
      <name val="Calibri"/>
      <family val="2"/>
      <b val="1"/>
      <color indexed="9"/>
      <sz val="9"/>
      <scheme val="minor"/>
    </font>
    <font>
      <name val="Calibri"/>
      <family val="2"/>
      <b val="1"/>
      <color indexed="12"/>
      <sz val="9"/>
      <scheme val="minor"/>
    </font>
    <font>
      <name val="Franklin Gothic Demi"/>
      <family val="2"/>
      <sz val="10"/>
    </font>
    <font>
      <name val="Verdana"/>
      <family val="2"/>
      <b val="1"/>
      <sz val="9"/>
    </font>
    <font>
      <name val="Calibri"/>
      <family val="2"/>
      <i val="1"/>
      <color theme="1"/>
      <sz val="11"/>
      <scheme val="minor"/>
    </font>
    <font>
      <name val="Calibri"/>
      <family val="2"/>
      <b val="1"/>
      <color theme="0" tint="-0.0499893185216834"/>
      <sz val="10"/>
      <scheme val="minor"/>
    </font>
    <font>
      <name val="Calibri"/>
      <family val="2"/>
      <color theme="0"/>
      <sz val="11"/>
      <scheme val="minor"/>
    </font>
    <font>
      <name val="Calibri"/>
      <family val="2"/>
      <sz val="11"/>
      <scheme val="minor"/>
    </font>
    <font>
      <name val="Calibri"/>
      <family val="2"/>
      <b val="1"/>
      <color rgb="FF0070C0"/>
      <sz val="9"/>
    </font>
    <font>
      <name val="Calibri"/>
      <family val="2"/>
      <b val="1"/>
      <sz val="11"/>
      <scheme val="minor"/>
    </font>
    <font>
      <name val="Calibri"/>
      <family val="2"/>
      <b val="1"/>
      <i val="1"/>
      <sz val="9"/>
      <scheme val="minor"/>
    </font>
    <font>
      <name val="Calibri"/>
      <family val="2"/>
      <sz val="11"/>
      <u val="singleAccounting"/>
      <scheme val="minor"/>
    </font>
    <font>
      <name val="Calibri"/>
      <family val="2"/>
      <b val="1"/>
      <i val="1"/>
      <sz val="11"/>
      <scheme val="minor"/>
    </font>
    <font>
      <name val="Calibri"/>
      <family val="2"/>
      <color rgb="FF0000FF"/>
      <sz val="9"/>
      <scheme val="minor"/>
    </font>
    <font>
      <name val="Calibri"/>
      <family val="2"/>
      <b val="1"/>
      <color theme="0"/>
      <sz val="11"/>
      <scheme val="minor"/>
    </font>
    <font>
      <name val="Calibri"/>
      <family val="2"/>
      <b val="1"/>
      <color rgb="FFFFFFFF"/>
      <sz val="11"/>
    </font>
    <font>
      <name val="Calibri"/>
      <family val="2"/>
      <color theme="1"/>
      <sz val="11"/>
    </font>
    <font>
      <name val="Calibri"/>
      <family val="2"/>
      <b val="1"/>
      <color theme="0"/>
      <sz val="11"/>
    </font>
    <font>
      <name val="Calibri"/>
      <family val="2"/>
      <b val="1"/>
      <color theme="1"/>
      <sz val="11"/>
    </font>
    <font>
      <name val="Calibri"/>
      <family val="2"/>
      <b val="1"/>
      <sz val="11"/>
    </font>
    <font>
      <name val="Calibri"/>
      <family val="2"/>
      <b val="1"/>
      <color theme="0" tint="-0.0499893185216834"/>
      <sz val="11"/>
      <scheme val="minor"/>
    </font>
    <font>
      <name val="Calibri"/>
      <family val="2"/>
      <b val="1"/>
      <color rgb="FFFF0000"/>
      <sz val="11"/>
      <scheme val="minor"/>
    </font>
    <font>
      <name val="Calibri"/>
      <family val="2"/>
      <color indexed="8"/>
      <sz val="11"/>
      <scheme val="minor"/>
    </font>
    <font>
      <name val="Calibri"/>
      <family val="2"/>
      <sz val="11"/>
    </font>
    <font>
      <name val="Calibri"/>
      <family val="2"/>
      <color indexed="8"/>
      <sz val="11"/>
    </font>
    <font>
      <name val="Calibri"/>
      <family val="2"/>
      <b val="1"/>
      <color indexed="8"/>
      <sz val="11"/>
      <scheme val="minor"/>
    </font>
    <font>
      <name val="Calibri"/>
      <family val="2"/>
      <b val="1"/>
      <color indexed="12"/>
      <sz val="11"/>
    </font>
    <font>
      <name val="Calibri"/>
      <family val="2"/>
      <b val="1"/>
      <color indexed="8"/>
      <sz val="11"/>
    </font>
    <font>
      <name val="Calibri"/>
      <family val="2"/>
      <color indexed="12"/>
      <sz val="11"/>
    </font>
    <font>
      <name val="Calibri"/>
      <family val="2"/>
      <i val="1"/>
      <color indexed="8"/>
      <sz val="11"/>
      <scheme val="minor"/>
    </font>
    <font>
      <name val="Calibri"/>
      <family val="2"/>
      <b val="1"/>
      <color indexed="9"/>
      <sz val="11"/>
    </font>
    <font>
      <name val="Calibri"/>
      <family val="2"/>
      <i val="1"/>
      <color indexed="8"/>
      <sz val="11"/>
    </font>
    <font>
      <name val="Calibri"/>
      <family val="2"/>
      <i val="1"/>
      <sz val="11"/>
    </font>
    <font>
      <name val="Calibri"/>
      <family val="2"/>
      <b val="1"/>
      <color rgb="FFFFFFFF"/>
      <sz val="11"/>
      <scheme val="minor"/>
    </font>
    <font>
      <name val="Calibri"/>
      <family val="2"/>
      <color rgb="FF000000"/>
      <sz val="11"/>
      <scheme val="minor"/>
    </font>
    <font>
      <name val="Calibri"/>
      <family val="2"/>
      <b val="1"/>
      <color rgb="FF000000"/>
      <sz val="11"/>
      <scheme val="minor"/>
    </font>
    <font>
      <name val="Arial"/>
      <family val="2"/>
      <color indexed="8"/>
      <sz val="11"/>
    </font>
    <font>
      <name val="Calibri"/>
      <family val="2"/>
      <i val="1"/>
      <sz val="11"/>
      <scheme val="minor"/>
    </font>
    <font>
      <name val="Calibri"/>
      <family val="2"/>
      <b val="1"/>
      <color theme="9" tint="0.3999755851924192"/>
      <sz val="11"/>
      <scheme val="minor"/>
    </font>
    <font>
      <name val="Wingdings"/>
      <charset val="2"/>
      <color theme="1"/>
      <sz val="11"/>
    </font>
    <font>
      <name val="Calibri"/>
      <family val="2"/>
      <b val="1"/>
      <sz val="11"/>
      <u val="single"/>
      <scheme val="minor"/>
    </font>
    <font>
      <name val="Arial"/>
      <family val="2"/>
      <sz val="10"/>
    </font>
    <font>
      <name val="Calibri"/>
      <family val="2"/>
      <b val="1"/>
      <color rgb="FF000000"/>
      <sz val="11"/>
    </font>
    <font>
      <name val="Calibri"/>
      <family val="2"/>
      <color rgb="FF000000"/>
      <sz val="11"/>
    </font>
    <font>
      <name val="Calibri"/>
      <family val="2"/>
      <color theme="0" tint="-0.249977111117893"/>
      <sz val="11"/>
      <scheme val="minor"/>
    </font>
    <font>
      <name val="Calibri"/>
      <family val="2"/>
      <color rgb="FF333333"/>
      <sz val="11"/>
    </font>
    <font>
      <name val="Calibri"/>
      <color theme="1"/>
      <sz val="11"/>
      <scheme val="minor"/>
    </font>
    <font>
      <name val="Calibri"/>
      <family val="2"/>
      <i val="1"/>
      <color theme="1"/>
      <sz val="9"/>
      <scheme val="minor"/>
    </font>
    <font>
      <name val="Calibri"/>
      <family val="2"/>
      <b val="1"/>
      <sz val="10"/>
    </font>
    <font>
      <name val="Calibri"/>
      <family val="2"/>
      <b val="1"/>
      <i val="1"/>
      <sz val="10"/>
    </font>
    <font>
      <name val="Arial"/>
      <family val="2"/>
      <color theme="0" tint="-0.249977111117893"/>
      <sz val="10"/>
    </font>
    <font>
      <name val="Calibri"/>
      <family val="2"/>
      <b val="1"/>
      <color rgb="FFFFFFFF"/>
      <sz val="13"/>
      <scheme val="minor"/>
    </font>
    <font>
      <name val="Calibri"/>
      <family val="2"/>
      <i val="1"/>
      <color rgb="FFFF0000"/>
      <sz val="11"/>
      <scheme val="minor"/>
    </font>
    <font>
      <name val="Calibri"/>
      <family val="2"/>
      <b val="1"/>
      <i val="1"/>
      <color rgb="FFFFFFFF"/>
      <sz val="11"/>
      <scheme val="minor"/>
    </font>
    <font>
      <name val="Arial"/>
      <b val="1"/>
      <color rgb="FF000000"/>
      <sz val="10"/>
    </font>
    <font>
      <name val="Arial"/>
      <color rgb="FF0000FF"/>
      <sz val="10"/>
    </font>
    <font>
      <name val="Arial"/>
      <color rgb="FF000000"/>
      <sz val="10"/>
    </font>
    <font>
      <name val="Calibri"/>
      <b val="1"/>
      <color rgb="00FFFFFF"/>
      <sz val="16"/>
    </font>
    <font>
      <name val="Calibri"/>
      <b val="1"/>
      <color rgb="00C9A227"/>
      <sz val="11"/>
    </font>
    <font>
      <name val="Calibri"/>
      <i val="1"/>
      <color rgb="00555555"/>
      <sz val="9"/>
    </font>
    <font>
      <name val="Calibri"/>
      <b val="1"/>
      <color rgb="00FFFFFF"/>
      <sz val="10"/>
    </font>
    <font>
      <name val="Calibri"/>
      <color rgb="001155CC"/>
      <sz val="9"/>
      <u val="single"/>
    </font>
    <font>
      <name val="Calibri"/>
      <sz val="9"/>
    </font>
    <font>
      <name val="Calibri"/>
      <b val="1"/>
      <color rgb="001F3864"/>
      <sz val="11"/>
    </font>
    <font>
      <name val="Calibri"/>
      <b val="1"/>
      <color rgb="001F3864"/>
      <sz val="12"/>
    </font>
    <font>
      <name val="Calibri"/>
      <i val="1"/>
      <color rgb="00666666"/>
      <sz val="9"/>
    </font>
    <font>
      <b val="1"/>
      <color rgb="00FFFFFF"/>
      <sz val="11"/>
    </font>
    <font>
      <b val="1"/>
      <color rgb="001F4E79"/>
      <sz val="10"/>
    </font>
    <font>
      <sz val="10"/>
    </font>
    <font>
      <b val="1"/>
    </font>
    <font>
      <b val="1"/>
      <color rgb="00FFFFFF"/>
    </font>
    <font>
      <b val="1"/>
      <color rgb="00FFFFFF"/>
      <sz val="13"/>
    </font>
    <font>
      <b val="1"/>
      <color rgb="001F4E79"/>
    </font>
    <font>
      <i val="1"/>
      <color rgb="00595959"/>
      <sz val="9"/>
    </font>
    <font>
      <b val="1"/>
      <color rgb="00FFFFFF"/>
      <sz val="16"/>
    </font>
    <font>
      <i val="1"/>
      <color rgb="00FFFFFF"/>
      <sz val="11"/>
    </font>
    <font>
      <i val="1"/>
      <sz val="9"/>
    </font>
    <font>
      <b val="1"/>
      <color rgb="001F4E79"/>
      <sz val="12"/>
    </font>
    <font>
      <color rgb="000563C1"/>
      <sz val="9"/>
      <u val="single"/>
    </font>
    <font>
      <color rgb="000563C1"/>
      <sz val="10"/>
      <u val="single"/>
    </font>
  </fonts>
  <fills count="39">
    <fill>
      <patternFill/>
    </fill>
    <fill>
      <patternFill patternType="gray125"/>
    </fill>
    <fill>
      <patternFill patternType="solid">
        <fgColor rgb="FF125370"/>
        <bgColor indexed="64"/>
      </patternFill>
    </fill>
    <fill>
      <patternFill patternType="solid">
        <fgColor theme="0" tint="-0.1499984740745262"/>
        <bgColor indexed="64"/>
      </patternFill>
    </fill>
    <fill>
      <patternFill patternType="solid">
        <fgColor rgb="FF337AB7"/>
        <bgColor indexed="64"/>
      </patternFill>
    </fill>
    <fill>
      <patternFill patternType="solid">
        <fgColor rgb="FFFFFF00"/>
        <bgColor indexed="64"/>
      </patternFill>
    </fill>
    <fill>
      <patternFill patternType="solid">
        <fgColor theme="0"/>
        <bgColor indexed="64"/>
      </patternFill>
    </fill>
    <fill>
      <patternFill patternType="solid">
        <fgColor indexed="47"/>
        <bgColor indexed="64"/>
      </patternFill>
    </fill>
    <fill>
      <patternFill patternType="solid">
        <fgColor theme="0" tint="-0.1499374370555742"/>
        <bgColor indexed="64"/>
      </patternFill>
    </fill>
    <fill>
      <patternFill patternType="solid">
        <fgColor rgb="FF808080"/>
        <bgColor indexed="64"/>
      </patternFill>
    </fill>
    <fill>
      <patternFill patternType="solid">
        <fgColor rgb="FFFFFFFF"/>
        <bgColor indexed="64"/>
      </patternFill>
    </fill>
    <fill>
      <patternFill patternType="solid">
        <fgColor rgb="FFD9D9D9"/>
        <bgColor indexed="64"/>
      </patternFill>
    </fill>
    <fill>
      <patternFill patternType="solid">
        <fgColor rgb="FF000000"/>
        <bgColor indexed="64"/>
      </patternFill>
    </fill>
    <fill>
      <patternFill patternType="solid">
        <fgColor theme="0"/>
        <bgColor theme="4"/>
      </patternFill>
    </fill>
    <fill>
      <patternFill patternType="solid">
        <fgColor theme="7" tint="0.7999816888943144"/>
        <bgColor indexed="64"/>
      </patternFill>
    </fill>
    <fill>
      <patternFill patternType="solid">
        <fgColor theme="0" tint="-0.499984740745262"/>
        <bgColor indexed="64"/>
      </patternFill>
    </fill>
    <fill>
      <patternFill patternType="solid">
        <fgColor rgb="FF005710"/>
        <bgColor indexed="64"/>
      </patternFill>
    </fill>
    <fill>
      <patternFill patternType="solid">
        <fgColor theme="1" tint="0.499984740745262"/>
        <bgColor indexed="64"/>
      </patternFill>
    </fill>
    <fill>
      <patternFill patternType="solid">
        <fgColor theme="9" tint="0.3999755851924192"/>
        <bgColor theme="4"/>
      </patternFill>
    </fill>
    <fill>
      <patternFill patternType="solid">
        <fgColor theme="2" tint="-0.499984740745262"/>
        <bgColor indexed="64"/>
      </patternFill>
    </fill>
    <fill>
      <patternFill patternType="solid">
        <fgColor rgb="FF005710"/>
        <bgColor rgb="FF000000"/>
      </patternFill>
    </fill>
    <fill>
      <patternFill patternType="solid">
        <fgColor theme="2" tint="-0.499984740745262"/>
        <bgColor rgb="FF000000"/>
      </patternFill>
    </fill>
    <fill>
      <patternFill patternType="solid">
        <fgColor theme="0" tint="-0.0499893185216834"/>
        <bgColor indexed="64"/>
      </patternFill>
    </fill>
    <fill>
      <patternFill patternType="solid">
        <fgColor rgb="FFFFFFCC"/>
        <bgColor indexed="64"/>
      </patternFill>
    </fill>
    <fill>
      <patternFill patternType="solid">
        <fgColor rgb="FFD3D3D3"/>
        <bgColor indexed="64"/>
      </patternFill>
    </fill>
    <fill>
      <patternFill patternType="solid">
        <fgColor rgb="002D4059"/>
      </patternFill>
    </fill>
    <fill>
      <patternFill patternType="solid">
        <fgColor rgb="001F3864"/>
      </patternFill>
    </fill>
    <fill>
      <patternFill patternType="solid">
        <fgColor rgb="00F0F4FA"/>
      </patternFill>
    </fill>
    <fill>
      <patternFill patternType="solid">
        <fgColor rgb="00F5F7FA"/>
      </patternFill>
    </fill>
    <fill>
      <patternFill patternType="solid">
        <fgColor rgb="00FFFFFF"/>
      </patternFill>
    </fill>
    <fill>
      <patternFill patternType="solid">
        <fgColor rgb="00FFF3CD"/>
      </patternFill>
    </fill>
    <fill>
      <patternFill patternType="solid">
        <fgColor rgb="001F4E79"/>
      </patternFill>
    </fill>
    <fill>
      <patternFill patternType="solid">
        <fgColor rgb="00D9E1F2"/>
      </patternFill>
    </fill>
    <fill>
      <patternFill patternType="solid">
        <fgColor rgb="00FFFF99"/>
      </patternFill>
    </fill>
    <fill>
      <patternFill patternType="solid">
        <fgColor rgb="00C6EFCE"/>
      </patternFill>
    </fill>
    <fill>
      <patternFill patternType="solid">
        <fgColor rgb="00E2EFDA"/>
      </patternFill>
    </fill>
    <fill>
      <patternFill patternType="solid">
        <fgColor rgb="002E74B5"/>
      </patternFill>
    </fill>
    <fill>
      <patternFill patternType="solid">
        <fgColor rgb="00EBF3FB"/>
      </patternFill>
    </fill>
    <fill>
      <patternFill patternType="solid">
        <fgColor rgb="00F2F2F2"/>
      </patternFill>
    </fill>
  </fills>
  <borders count="92">
    <border>
      <left/>
      <right/>
      <top/>
      <bottom/>
      <diagonal/>
    </border>
    <border>
      <left/>
      <right/>
      <top/>
      <bottom style="thin">
        <color auto="1"/>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46592608417"/>
      </top>
      <bottom/>
      <diagonal/>
    </border>
    <border>
      <left/>
      <right/>
      <top style="thin">
        <color theme="1"/>
      </top>
      <bottom/>
      <diagonal/>
    </border>
    <border>
      <left/>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1499374370555742"/>
      </top>
      <bottom style="thin">
        <color theme="0" tint="-0.1499374370555742"/>
      </bottom>
      <diagonal/>
    </border>
    <border>
      <left style="thin">
        <color indexed="64"/>
      </left>
      <right style="hair">
        <color indexed="64"/>
      </right>
      <top/>
      <bottom style="thin">
        <color indexed="64"/>
      </bottom>
      <diagonal/>
    </border>
    <border>
      <left style="thin">
        <color indexed="64"/>
      </left>
      <right style="thin">
        <color indexed="64"/>
      </right>
      <top/>
      <bottom style="thin">
        <color indexed="64"/>
      </bottom>
      <diagonal/>
    </border>
    <border>
      <left/>
      <right/>
      <top style="thin">
        <color theme="0" tint="-0.1499374370555742"/>
      </top>
      <bottom style="thin">
        <color theme="0" tint="-0.1499374370555742"/>
      </bottom>
      <diagonal/>
    </border>
    <border>
      <left/>
      <right/>
      <top style="thin">
        <color theme="1"/>
      </top>
      <bottom style="thin">
        <color theme="1"/>
      </bottom>
      <diagonal/>
    </border>
    <border>
      <left style="double">
        <color indexed="64"/>
      </left>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style="thin">
        <color theme="1"/>
      </top>
      <bottom/>
      <diagonal/>
    </border>
    <border>
      <left style="thin">
        <color indexed="64"/>
      </left>
      <right/>
      <top style="thin">
        <color theme="1"/>
      </top>
      <bottom style="thin">
        <color theme="1"/>
      </bottom>
      <diagonal/>
    </border>
    <border>
      <left/>
      <right style="thin">
        <color auto="1"/>
      </right>
      <top style="thin">
        <color auto="1"/>
      </top>
      <bottom/>
      <diagonal/>
    </border>
    <border>
      <left/>
      <right style="thin">
        <color indexed="64"/>
      </right>
      <top style="thin">
        <color theme="1"/>
      </top>
      <bottom/>
      <diagonal/>
    </border>
    <border>
      <left/>
      <right style="thin">
        <color indexed="64"/>
      </right>
      <top style="thin">
        <color theme="1"/>
      </top>
      <bottom style="thin">
        <color theme="1"/>
      </bottom>
      <diagonal/>
    </border>
    <border>
      <left/>
      <right style="thin">
        <color indexed="64"/>
      </right>
      <top style="thin">
        <color theme="1"/>
      </top>
      <bottom style="thin">
        <color indexed="64"/>
      </bottom>
      <diagonal/>
    </border>
    <border>
      <left style="thin">
        <color indexed="64"/>
      </left>
      <right/>
      <top/>
      <bottom style="thin">
        <color theme="1"/>
      </bottom>
      <diagonal/>
    </border>
    <border>
      <left/>
      <right style="thin">
        <color indexed="64"/>
      </right>
      <top/>
      <bottom style="thin">
        <color theme="1"/>
      </bottom>
      <diagonal/>
    </border>
    <border>
      <left style="thin">
        <color indexed="64"/>
      </left>
      <right/>
      <top style="thin">
        <color indexed="64"/>
      </top>
      <bottom style="thin">
        <color theme="0" tint="-0.249946592608417"/>
      </bottom>
      <diagonal/>
    </border>
    <border>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style="thin">
        <color indexed="64"/>
      </left>
      <right/>
      <top style="thin">
        <color indexed="64"/>
      </top>
      <bottom style="thin">
        <color theme="1"/>
      </bottom>
      <diagonal/>
    </border>
    <border>
      <left/>
      <right style="thin">
        <color theme="0" tint="-0.1499374370555742"/>
      </right>
      <top/>
      <bottom/>
      <diagonal/>
    </border>
    <border>
      <left/>
      <right/>
      <top/>
      <bottom style="thin">
        <color theme="0" tint="-0.249946592608417"/>
      </bottom>
      <diagonal/>
    </border>
    <border>
      <left/>
      <right/>
      <top style="thin">
        <color theme="0" tint="-0.249946592608417"/>
      </top>
      <bottom style="thin">
        <color theme="0" tint="-0.249946592608417"/>
      </bottom>
      <diagonal/>
    </border>
    <border>
      <left/>
      <right/>
      <top style="thin">
        <color theme="0" tint="-0.249946592608417"/>
      </top>
      <bottom style="thin">
        <color indexed="64"/>
      </bottom>
      <diagonal/>
    </border>
    <border>
      <left style="thin">
        <color indexed="64"/>
      </left>
      <right/>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64"/>
      </left>
      <right/>
      <top style="thin">
        <color theme="0" tint="-0.249946592608417"/>
      </top>
      <bottom style="thin">
        <color indexed="64"/>
      </bottom>
      <diagonal/>
    </border>
    <border>
      <left/>
      <right/>
      <top style="thin">
        <color indexed="64"/>
      </top>
      <bottom style="thin">
        <color theme="0" tint="-0.1499374370555742"/>
      </bottom>
      <diagonal/>
    </border>
    <border>
      <left/>
      <right style="thin">
        <color indexed="64"/>
      </right>
      <top style="thin">
        <color indexed="64"/>
      </top>
      <bottom style="thin">
        <color theme="0" tint="-0.1499374370555742"/>
      </bottom>
      <diagonal/>
    </border>
    <border>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diagonal/>
    </border>
    <border>
      <left/>
      <right/>
      <top style="thin">
        <color theme="0" tint="-0.1499374370555742"/>
      </top>
      <bottom style="thin">
        <color theme="0" tint="-0.249946592608417"/>
      </bottom>
      <diagonal/>
    </border>
    <border>
      <left/>
      <right style="thin">
        <color indexed="64"/>
      </right>
      <top style="thin">
        <color theme="0" tint="-0.1499374370555742"/>
      </top>
      <bottom style="thin">
        <color theme="0" tint="-0.249946592608417"/>
      </bottom>
      <diagonal/>
    </border>
    <border>
      <left/>
      <right style="thin">
        <color indexed="64"/>
      </right>
      <top style="thin">
        <color theme="0" tint="-0.249946592608417"/>
      </top>
      <bottom/>
      <diagonal/>
    </border>
    <border>
      <left/>
      <right style="thin">
        <color indexed="64"/>
      </right>
      <top style="thin">
        <color theme="0" tint="-0.249946592608417"/>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theme="1"/>
      </bottom>
      <diagonal/>
    </border>
    <border>
      <left/>
      <right/>
      <top/>
      <bottom style="thin">
        <color rgb="FF125370"/>
      </bottom>
      <diagonal/>
    </border>
    <border>
      <left/>
      <right/>
      <top style="thin">
        <color rgb="FF125370"/>
      </top>
      <bottom/>
      <diagonal/>
    </border>
    <border>
      <left style="thin">
        <color indexed="64"/>
      </left>
      <right style="thin">
        <color indexed="64"/>
      </right>
      <top style="thin">
        <color indexed="64"/>
      </top>
      <bottom style="thin">
        <color theme="0" tint="-0.1499374370555742"/>
      </bottom>
      <diagonal/>
    </border>
    <border>
      <left style="thin">
        <color indexed="64"/>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theme="1"/>
      </bottom>
      <diagonal/>
    </border>
    <border>
      <left style="thin">
        <color indexed="64"/>
      </left>
      <right style="thin">
        <color auto="1"/>
      </right>
      <top style="thin">
        <color indexed="64"/>
      </top>
      <bottom/>
      <diagonal/>
    </border>
    <border>
      <left/>
      <right style="thin">
        <color auto="1"/>
      </right>
      <top style="thin">
        <color indexed="64"/>
      </top>
      <bottom/>
      <diagonal/>
    </border>
    <border>
      <left/>
      <right/>
      <top style="thin">
        <color indexed="64"/>
      </top>
      <bottom style="thin">
        <color auto="1"/>
      </bottom>
      <diagonal/>
    </border>
    <border>
      <left/>
      <right style="thin">
        <color indexed="64"/>
      </right>
      <top style="thin">
        <color indexed="64"/>
      </top>
      <bottom/>
      <diagonal/>
    </border>
    <border>
      <left/>
      <right/>
      <top style="thin">
        <color theme="0" tint="-0.1499374370555742"/>
      </top>
      <bottom/>
      <diagonal/>
    </border>
    <border>
      <left/>
      <right style="thin">
        <color indexed="64"/>
      </right>
      <top style="thin">
        <color theme="0" tint="-0.1499374370555742"/>
      </top>
      <bottom/>
      <diagonal/>
    </border>
    <border>
      <left style="thin">
        <color rgb="00C0C8D4"/>
      </left>
      <right style="thin">
        <color rgb="00C0C8D4"/>
      </right>
      <top style="thin">
        <color rgb="00C0C8D4"/>
      </top>
      <bottom style="thin">
        <color rgb="00C0C8D4"/>
      </bottom>
    </border>
    <border>
      <left style="medium">
        <color rgb="00C9A227"/>
      </left>
      <right style="medium">
        <color rgb="00C9A227"/>
      </right>
      <top style="medium">
        <color rgb="00C9A227"/>
      </top>
      <bottom style="medium">
        <color rgb="00C9A227"/>
      </bottom>
    </border>
    <border>
      <left/>
      <right/>
      <top style="medium">
        <color rgb="00C9A227"/>
      </top>
      <bottom/>
      <diagonal/>
    </border>
    <border>
      <left/>
      <right style="medium">
        <color rgb="00C9A227"/>
      </right>
      <top style="medium">
        <color rgb="00C9A227"/>
      </top>
      <bottom/>
      <diagonal/>
    </border>
    <border>
      <left/>
      <right style="medium">
        <color rgb="00C9A227"/>
      </right>
      <top style="medium">
        <color rgb="00C9A227"/>
      </top>
      <bottom style="medium">
        <color rgb="00C9A227"/>
      </bottom>
      <diagonal/>
    </border>
    <border>
      <left style="thin"/>
      <right style="thin"/>
      <top style="thin"/>
      <bottom style="thin"/>
    </border>
    <border>
      <left/>
      <right/>
      <top style="thin"/>
      <bottom/>
      <diagonal/>
    </border>
    <border>
      <left/>
      <right style="thin"/>
      <top style="thin"/>
      <bottom/>
      <diagonal/>
    </border>
    <border>
      <left/>
      <right/>
      <top style="thin"/>
      <bottom style="thin"/>
      <diagonal/>
    </border>
    <border>
      <left/>
      <right style="thin"/>
      <top style="thin"/>
      <bottom style="thin"/>
      <diagonal/>
    </border>
  </borders>
  <cellStyleXfs count="15">
    <xf numFmtId="0" fontId="1" fillId="0" borderId="0"/>
    <xf numFmtId="0" fontId="1" fillId="0" borderId="0"/>
    <xf numFmtId="43" fontId="1" fillId="0" borderId="0"/>
    <xf numFmtId="44" fontId="1" fillId="0" borderId="0"/>
    <xf numFmtId="9" fontId="1" fillId="0" borderId="0"/>
    <xf numFmtId="0" fontId="27" fillId="7" borderId="25" applyAlignment="1">
      <alignment horizontal="centerContinuous"/>
    </xf>
    <xf numFmtId="0" fontId="28" fillId="7" borderId="26" applyAlignment="1">
      <alignment horizontal="centerContinuous" vertical="center"/>
    </xf>
    <xf numFmtId="0" fontId="28" fillId="7" borderId="27" applyAlignment="1">
      <alignment horizontal="center"/>
    </xf>
    <xf numFmtId="0" fontId="1" fillId="0" borderId="0"/>
    <xf numFmtId="0" fontId="1" fillId="0" borderId="0"/>
    <xf numFmtId="0" fontId="8" fillId="2" borderId="0" applyAlignment="1">
      <alignment horizontal="centerContinuous" vertical="center"/>
    </xf>
    <xf numFmtId="0" fontId="4" fillId="0" borderId="0" applyAlignment="1">
      <alignment horizontal="left" vertical="top" wrapText="1"/>
    </xf>
    <xf numFmtId="9" fontId="66" fillId="0" borderId="0"/>
    <xf numFmtId="0" fontId="71" fillId="0" borderId="0"/>
    <xf numFmtId="0" fontId="73" fillId="5" borderId="10" applyAlignment="1">
      <alignment horizontal="center" vertical="center" wrapText="1"/>
    </xf>
  </cellStyleXfs>
  <cellXfs count="2314">
    <xf numFmtId="0" fontId="0" fillId="0" borderId="0" pivotButton="0" quotePrefix="0" xfId="0"/>
    <xf numFmtId="0" fontId="6" fillId="4" borderId="0" pivotButton="0" quotePrefix="0" xfId="0"/>
    <xf numFmtId="0" fontId="4" fillId="0" borderId="0" pivotButton="0" quotePrefix="0" xfId="0"/>
    <xf numFmtId="0" fontId="7" fillId="0" borderId="0" pivotButton="0" quotePrefix="0" xfId="0"/>
    <xf numFmtId="0" fontId="9" fillId="0" borderId="0" applyAlignment="1" pivotButton="0" quotePrefix="0" xfId="0">
      <alignment wrapText="1"/>
    </xf>
    <xf numFmtId="0" fontId="5" fillId="0" borderId="0" pivotButton="0" quotePrefix="0" xfId="0"/>
    <xf numFmtId="0" fontId="11" fillId="0" borderId="0" applyAlignment="1" pivotButton="0" quotePrefix="0" xfId="0">
      <alignment horizontal="left" vertical="center" wrapText="1"/>
    </xf>
    <xf numFmtId="0" fontId="12" fillId="0" borderId="0" pivotButton="0" quotePrefix="0" xfId="0"/>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0" fontId="13" fillId="4" borderId="0" pivotButton="0" quotePrefix="0" xfId="0"/>
    <xf numFmtId="0" fontId="13" fillId="0" borderId="0" pivotButton="0" quotePrefix="0" xfId="0"/>
    <xf numFmtId="0" fontId="0" fillId="0" borderId="0" applyAlignment="1" pivotButton="0" quotePrefix="0" xfId="0">
      <alignment vertical="top"/>
    </xf>
    <xf numFmtId="0" fontId="17" fillId="0" borderId="0" applyAlignment="1" pivotButton="0" quotePrefix="0" xfId="0">
      <alignment horizontal="left"/>
    </xf>
    <xf numFmtId="0" fontId="17" fillId="0" borderId="1" pivotButton="0" quotePrefix="0" xfId="0"/>
    <xf numFmtId="164" fontId="0" fillId="0" borderId="0" pivotButton="0" quotePrefix="0" xfId="0"/>
    <xf numFmtId="0" fontId="6" fillId="4" borderId="0" applyAlignment="1" pivotButton="0" quotePrefix="0" xfId="0">
      <alignment horizontal="left" vertical="center"/>
    </xf>
    <xf numFmtId="0" fontId="6" fillId="4" borderId="0" applyAlignment="1" pivotButton="0" quotePrefix="0" xfId="0">
      <alignment horizontal="centerContinuous"/>
    </xf>
    <xf numFmtId="0" fontId="6" fillId="4" borderId="0" applyAlignment="1" pivotButton="0" quotePrefix="0" xfId="0">
      <alignment horizontal="centerContinuous" vertical="center"/>
    </xf>
    <xf numFmtId="0" fontId="8" fillId="4" borderId="0" applyAlignment="1" pivotButton="0" quotePrefix="0" xfId="0">
      <alignment horizontal="centerContinuous" vertical="center"/>
    </xf>
    <xf numFmtId="0" fontId="6" fillId="4" borderId="0" applyAlignment="1" pivotButton="0" quotePrefix="0" xfId="0">
      <alignment horizontal="center"/>
    </xf>
    <xf numFmtId="0" fontId="8" fillId="4" borderId="0" applyAlignment="1" pivotButton="0" quotePrefix="0" xfId="0">
      <alignment horizontal="centerContinuous"/>
    </xf>
    <xf numFmtId="0" fontId="8" fillId="4" borderId="0" applyAlignment="1" pivotButton="0" quotePrefix="0" xfId="0">
      <alignment horizontal="center"/>
    </xf>
    <xf numFmtId="0" fontId="4" fillId="0" borderId="0" applyAlignment="1" pivotButton="0" quotePrefix="0" xfId="0">
      <alignment horizontal="center"/>
    </xf>
    <xf numFmtId="0" fontId="4" fillId="0" borderId="0" applyAlignment="1" pivotButton="0" quotePrefix="0" xfId="0">
      <alignment horizontal="left" indent="1"/>
    </xf>
    <xf numFmtId="165" fontId="4" fillId="0" borderId="0" pivotButton="0" quotePrefix="0" xfId="3"/>
    <xf numFmtId="166" fontId="4" fillId="0" borderId="0" pivotButton="0" quotePrefix="0" xfId="3"/>
    <xf numFmtId="0" fontId="4" fillId="0" borderId="0" applyAlignment="1" pivotButton="0" quotePrefix="0" xfId="0">
      <alignment horizontal="right"/>
    </xf>
    <xf numFmtId="167" fontId="4" fillId="0" borderId="0" pivotButton="0" quotePrefix="0" xfId="0"/>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37" fontId="4" fillId="0" borderId="0" pivotButton="0" quotePrefix="0" xfId="3"/>
    <xf numFmtId="37" fontId="4" fillId="0" borderId="0" applyProtection="1" pivotButton="0" quotePrefix="0" xfId="3">
      <protection locked="0" hidden="0"/>
    </xf>
    <xf numFmtId="37" fontId="14"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0" fontId="7" fillId="0" borderId="0" applyAlignment="1" pivotButton="0" quotePrefix="0" xfId="0">
      <alignment horizontal="right"/>
    </xf>
    <xf numFmtId="167" fontId="7" fillId="0" borderId="0" pivotButton="0" quotePrefix="0" xfId="0"/>
    <xf numFmtId="165" fontId="3" fillId="0" borderId="0" pivotButton="0" quotePrefix="0" xfId="0"/>
    <xf numFmtId="165" fontId="4" fillId="0" borderId="0" pivotButton="0" quotePrefix="0" xfId="0"/>
    <xf numFmtId="0" fontId="7" fillId="0" borderId="0" applyAlignment="1" pivotButton="0" quotePrefix="0" xfId="0">
      <alignment horizontal="left" indent="1"/>
    </xf>
    <xf numFmtId="37" fontId="23" fillId="0" borderId="0" pivotButton="0" quotePrefix="0" xfId="0"/>
    <xf numFmtId="165" fontId="4" fillId="4" borderId="0" pivotButton="0" quotePrefix="0" xfId="3"/>
    <xf numFmtId="0" fontId="4" fillId="4" borderId="0" applyAlignment="1" pivotButton="0" quotePrefix="0" xfId="0">
      <alignment horizontal="center"/>
    </xf>
    <xf numFmtId="167" fontId="4" fillId="4" borderId="0" pivotButton="0" quotePrefix="0" xfId="0"/>
    <xf numFmtId="0" fontId="23" fillId="4" borderId="0" pivotButton="0" quotePrefix="0" xfId="0"/>
    <xf numFmtId="168" fontId="4" fillId="0" borderId="0" pivotButton="0" quotePrefix="0" xfId="2"/>
    <xf numFmtId="169" fontId="4" fillId="0" borderId="0" pivotButton="0" quotePrefix="0" xfId="3"/>
    <xf numFmtId="168" fontId="4" fillId="0" borderId="0" pivotButton="0" quotePrefix="0" xfId="3"/>
    <xf numFmtId="168" fontId="4" fillId="4" borderId="0" pivotButton="0" quotePrefix="0" xfId="2"/>
    <xf numFmtId="37" fontId="4" fillId="4" borderId="0" applyProtection="1" pivotButton="0" quotePrefix="0" xfId="3">
      <protection locked="0" hidden="0"/>
    </xf>
    <xf numFmtId="167" fontId="24" fillId="4" borderId="0" applyProtection="1" pivotButton="0" quotePrefix="0" xfId="0">
      <protection locked="0" hidden="0"/>
    </xf>
    <xf numFmtId="37" fontId="23" fillId="4" borderId="0" pivotButton="0" quotePrefix="0" xfId="0"/>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0" borderId="0" applyAlignment="1" pivotButton="0" quotePrefix="0" xfId="3">
      <alignment horizontal="right"/>
    </xf>
    <xf numFmtId="169" fontId="26" fillId="0" borderId="0" pivotButton="0" quotePrefix="0" xfId="3"/>
    <xf numFmtId="0" fontId="7" fillId="0" borderId="0" applyAlignment="1" pivotButton="0" quotePrefix="0" xfId="0">
      <alignment horizontal="center"/>
    </xf>
    <xf numFmtId="167" fontId="3" fillId="0" borderId="0" pivotButton="0" quotePrefix="0" xfId="0"/>
    <xf numFmtId="165" fontId="7" fillId="0" borderId="9" pivotButton="0" quotePrefix="0" xfId="3"/>
    <xf numFmtId="0" fontId="7" fillId="0" borderId="9" applyAlignment="1" pivotButton="0" quotePrefix="0" xfId="0">
      <alignment horizontal="center"/>
    </xf>
    <xf numFmtId="167" fontId="7" fillId="0" borderId="9" pivotButton="0" quotePrefix="0" xfId="0"/>
    <xf numFmtId="165" fontId="3" fillId="0" borderId="9" pivotButton="0" quotePrefix="0" xfId="0"/>
    <xf numFmtId="3" fontId="0" fillId="0" borderId="0" pivotButton="0" quotePrefix="0" xfId="0"/>
    <xf numFmtId="170" fontId="4" fillId="0" borderId="0" pivotButton="0" quotePrefix="0" xfId="3"/>
    <xf numFmtId="0" fontId="8" fillId="4" borderId="0" applyAlignment="1" pivotButton="0" quotePrefix="0" xfId="0">
      <alignment horizontal="left"/>
    </xf>
    <xf numFmtId="0" fontId="4" fillId="0" borderId="0" applyAlignment="1" pivotButton="0" quotePrefix="0" xfId="5">
      <alignment horizontal="left"/>
    </xf>
    <xf numFmtId="0" fontId="24" fillId="0" borderId="0" applyAlignment="1" pivotButton="0" quotePrefix="0" xfId="5">
      <alignment horizontal="left"/>
    </xf>
    <xf numFmtId="0" fontId="24" fillId="0" borderId="14" applyAlignment="1" pivotButton="0" quotePrefix="0" xfId="5">
      <alignment horizontal="left"/>
    </xf>
    <xf numFmtId="3" fontId="24" fillId="0" borderId="0" applyAlignment="1" pivotButton="0" quotePrefix="0" xfId="5">
      <alignment horizontal="left"/>
    </xf>
    <xf numFmtId="3" fontId="24" fillId="0" borderId="14" applyAlignment="1" pivotButton="0" quotePrefix="0" xfId="5">
      <alignment horizontal="left"/>
    </xf>
    <xf numFmtId="0" fontId="4" fillId="0" borderId="14" pivotButton="0" quotePrefix="0" xfId="0"/>
    <xf numFmtId="41" fontId="4" fillId="0" borderId="2" pivotButton="0" quotePrefix="0" xfId="0"/>
    <xf numFmtId="41" fontId="4" fillId="0" borderId="0" pivotButton="0" quotePrefix="0" xfId="0"/>
    <xf numFmtId="169" fontId="7" fillId="0" borderId="9" pivotButton="0" quotePrefix="0" xfId="0"/>
    <xf numFmtId="0" fontId="4" fillId="0" borderId="9" pivotButton="0" quotePrefix="0" xfId="0"/>
    <xf numFmtId="0" fontId="9" fillId="0" borderId="2" applyAlignment="1" pivotButton="0" quotePrefix="0" xfId="5">
      <alignment horizontal="left"/>
    </xf>
    <xf numFmtId="0" fontId="4" fillId="0" borderId="1" applyAlignment="1" pivotButton="0" quotePrefix="0" xfId="5">
      <alignment horizontal="left"/>
    </xf>
    <xf numFmtId="9" fontId="9" fillId="0" borderId="3" applyAlignment="1" pivotButton="0" quotePrefix="0" xfId="4">
      <alignment horizontal="left"/>
    </xf>
    <xf numFmtId="0" fontId="24" fillId="0" borderId="1" applyAlignment="1" pivotButton="0" quotePrefix="0" xfId="5">
      <alignment horizontal="left"/>
    </xf>
    <xf numFmtId="0" fontId="24" fillId="0" borderId="4" applyAlignment="1" pivotButton="0" quotePrefix="0" xfId="5">
      <alignment horizontal="left"/>
    </xf>
    <xf numFmtId="0" fontId="7" fillId="3" borderId="9" pivotButton="0" quotePrefix="0" xfId="0"/>
    <xf numFmtId="165" fontId="7" fillId="3" borderId="9" pivotButton="0" quotePrefix="0" xfId="3"/>
    <xf numFmtId="166" fontId="7" fillId="3" borderId="9" pivotButton="0" quotePrefix="0" xfId="3"/>
    <xf numFmtId="0" fontId="7" fillId="3" borderId="9" applyAlignment="1" pivotButton="0" quotePrefix="0" xfId="0">
      <alignment horizontal="center"/>
    </xf>
    <xf numFmtId="167" fontId="7" fillId="3" borderId="9" pivotButton="0" quotePrefix="0" xfId="0"/>
    <xf numFmtId="170" fontId="7" fillId="3" borderId="9" pivotButton="0" quotePrefix="0" xfId="3"/>
    <xf numFmtId="165" fontId="9" fillId="0" borderId="2" pivotButton="0" quotePrefix="0" xfId="3"/>
    <xf numFmtId="166" fontId="9" fillId="0" borderId="0" pivotButton="0" quotePrefix="0" xfId="3"/>
    <xf numFmtId="0" fontId="9" fillId="0" borderId="0" pivotButton="0" quotePrefix="0" xfId="0"/>
    <xf numFmtId="0" fontId="20" fillId="4" borderId="0" applyAlignment="1" pivotButton="0" quotePrefix="0" xfId="7">
      <alignment horizontal="center"/>
    </xf>
    <xf numFmtId="0" fontId="20" fillId="4" borderId="0" applyAlignment="1" pivotButton="0" quotePrefix="0" xfId="7">
      <alignment horizontal="centerContinuous"/>
    </xf>
    <xf numFmtId="0" fontId="4" fillId="0" borderId="0" applyAlignment="1" pivotButton="0" quotePrefix="0" xfId="0">
      <alignment horizontal="left" vertical="center"/>
    </xf>
    <xf numFmtId="166" fontId="4" fillId="0" borderId="0" applyAlignment="1" pivotButton="0" quotePrefix="0" xfId="3">
      <alignment horizontal="center" vertical="center"/>
    </xf>
    <xf numFmtId="166" fontId="4" fillId="0" borderId="15" applyAlignment="1" pivotButton="0" quotePrefix="0" xfId="3">
      <alignment horizontal="center" vertical="center"/>
    </xf>
    <xf numFmtId="165" fontId="4" fillId="0" borderId="0" applyAlignment="1" pivotButton="0" quotePrefix="0" xfId="3">
      <alignment horizontal="center" vertical="center"/>
    </xf>
    <xf numFmtId="165" fontId="4" fillId="0" borderId="15" applyAlignment="1" pivotButton="0" quotePrefix="0" xfId="3">
      <alignment horizontal="center" vertical="center"/>
    </xf>
    <xf numFmtId="0" fontId="4" fillId="0" borderId="0" applyAlignment="1" pivotButton="0" quotePrefix="0" xfId="0">
      <alignment horizontal="center" vertical="center"/>
    </xf>
    <xf numFmtId="170" fontId="4" fillId="0" borderId="0" applyAlignment="1" pivotButton="0" quotePrefix="0" xfId="0">
      <alignment horizontal="center" vertical="center"/>
    </xf>
    <xf numFmtId="49" fontId="4" fillId="0" borderId="0" applyAlignment="1" pivotButton="0" quotePrefix="0" xfId="0">
      <alignment horizontal="left" vertical="center"/>
    </xf>
    <xf numFmtId="0" fontId="19" fillId="0" borderId="1" pivotButton="0" quotePrefix="0" xfId="0"/>
    <xf numFmtId="0" fontId="9" fillId="0" borderId="0" applyAlignment="1" pivotButton="0" quotePrefix="0" xfId="5">
      <alignment horizontal="left"/>
    </xf>
    <xf numFmtId="3" fontId="9" fillId="0" borderId="0" applyAlignment="1" pivotButton="0" quotePrefix="0" xfId="1">
      <alignment horizontal="left"/>
    </xf>
    <xf numFmtId="9" fontId="9" fillId="0" borderId="1" applyAlignment="1" pivotButton="0" quotePrefix="0" xfId="4">
      <alignment horizontal="left"/>
    </xf>
    <xf numFmtId="165" fontId="9" fillId="0" borderId="0" pivotButton="0" quotePrefix="0" xfId="3"/>
    <xf numFmtId="0" fontId="7" fillId="3" borderId="9" applyAlignment="1" pivotButton="0" quotePrefix="0" xfId="0">
      <alignment horizontal="left"/>
    </xf>
    <xf numFmtId="169" fontId="7" fillId="3" borderId="8" pivotButton="0" quotePrefix="0" xfId="0"/>
    <xf numFmtId="0" fontId="4" fillId="3" borderId="9" pivotButton="0" quotePrefix="0" xfId="0"/>
    <xf numFmtId="0" fontId="23" fillId="0" borderId="0" pivotButton="0" quotePrefix="0" xfId="0"/>
    <xf numFmtId="39" fontId="23" fillId="0" borderId="0"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28" applyAlignment="1" pivotButton="0" quotePrefix="0" xfId="0">
      <alignment horizontal="center"/>
    </xf>
    <xf numFmtId="0" fontId="3" fillId="0" borderId="17" applyAlignment="1" pivotButton="0" quotePrefix="0" xfId="0">
      <alignment horizontal="center"/>
    </xf>
    <xf numFmtId="0" fontId="7" fillId="0" borderId="29" applyAlignment="1" pivotButton="0" quotePrefix="0" xfId="0">
      <alignment horizontal="center" vertical="center"/>
    </xf>
    <xf numFmtId="0" fontId="7" fillId="0" borderId="30" applyAlignment="1" pivotButton="0" quotePrefix="0" xfId="0">
      <alignment horizontal="center" vertical="center"/>
    </xf>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0" fontId="4" fillId="0" borderId="12" applyAlignment="1" pivotButton="0" quotePrefix="0" xfId="0">
      <alignment horizontal="center" vertical="center"/>
    </xf>
    <xf numFmtId="171" fontId="4" fillId="0" borderId="13" applyAlignment="1" pivotButton="0" quotePrefix="0" xfId="4">
      <alignment horizontal="center" vertical="center"/>
    </xf>
    <xf numFmtId="37" fontId="23" fillId="0" borderId="13" pivotButton="0" quotePrefix="0" xfId="0"/>
    <xf numFmtId="0" fontId="4" fillId="0" borderId="12" applyAlignment="1" pivotButton="0" quotePrefix="0" xfId="0">
      <alignment horizontal="right" vertical="center"/>
    </xf>
    <xf numFmtId="41" fontId="4" fillId="0" borderId="13" applyAlignment="1" pivotButton="0" quotePrefix="0" xfId="0">
      <alignment horizontal="right" vertical="center"/>
    </xf>
    <xf numFmtId="39" fontId="23" fillId="0" borderId="13" pivotButton="0" quotePrefix="0" xfId="0"/>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0" fontId="23" fillId="0" borderId="13" pivotButton="0" quotePrefix="0" xfId="0"/>
    <xf numFmtId="0" fontId="4" fillId="0" borderId="31" applyAlignment="1" pivotButton="0" quotePrefix="0" xfId="0">
      <alignment horizontal="right" vertical="center"/>
    </xf>
    <xf numFmtId="172" fontId="4" fillId="0" borderId="32" applyAlignment="1" pivotButton="0" quotePrefix="0" xfId="0">
      <alignment horizontal="right" vertical="center"/>
    </xf>
    <xf numFmtId="9" fontId="23" fillId="0" borderId="0" pivotButton="0" quotePrefix="0" xfId="4"/>
    <xf numFmtId="9" fontId="4" fillId="0" borderId="0" applyAlignment="1" pivotButton="0" quotePrefix="0" xfId="4">
      <alignment horizontal="right"/>
    </xf>
    <xf numFmtId="0" fontId="23" fillId="0" borderId="33" pivotButton="0" quotePrefix="0" xfId="0"/>
    <xf numFmtId="0" fontId="23" fillId="0" borderId="12" applyAlignment="1" pivotButton="0" quotePrefix="0" xfId="0">
      <alignment horizontal="right" vertical="center"/>
    </xf>
    <xf numFmtId="41" fontId="23" fillId="0" borderId="13" applyAlignment="1" pivotButton="0" quotePrefix="0" xfId="0">
      <alignment horizontal="right" vertical="center"/>
    </xf>
    <xf numFmtId="169" fontId="23" fillId="0" borderId="12" applyAlignment="1" pivotButton="0" quotePrefix="0" xfId="0">
      <alignment horizontal="right" vertical="center"/>
    </xf>
    <xf numFmtId="43" fontId="23" fillId="0" borderId="13" applyAlignment="1" pivotButton="0" quotePrefix="0" xfId="0">
      <alignment horizontal="right" vertical="center"/>
    </xf>
    <xf numFmtId="169" fontId="23" fillId="0" borderId="31" applyAlignment="1" pivotButton="0" quotePrefix="0" xfId="0">
      <alignment horizontal="right" vertical="center"/>
    </xf>
    <xf numFmtId="9" fontId="23" fillId="0" borderId="32" applyAlignment="1" pivotButton="0" quotePrefix="0" xfId="4">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0" fontId="7" fillId="3" borderId="9" applyAlignment="1" pivotButton="0" quotePrefix="0" xfId="0">
      <alignment horizontal="right"/>
    </xf>
    <xf numFmtId="165" fontId="7" fillId="3" borderId="9" applyAlignment="1" pivotButton="0" quotePrefix="0" xfId="3">
      <alignment horizontal="right"/>
    </xf>
    <xf numFmtId="170" fontId="9" fillId="0" borderId="0" applyAlignment="1" pivotButton="0" quotePrefix="0" xfId="3">
      <alignment horizontal="center" vertical="center"/>
    </xf>
    <xf numFmtId="170" fontId="9" fillId="0" borderId="15" applyAlignment="1" pivotButton="0" quotePrefix="0" xfId="3">
      <alignment horizontal="center" vertical="center"/>
    </xf>
    <xf numFmtId="171" fontId="0" fillId="0" borderId="0" pivotButton="0" quotePrefix="0" xfId="4"/>
    <xf numFmtId="1" fontId="0" fillId="0" borderId="0" pivotButton="0" quotePrefix="0" xfId="0"/>
    <xf numFmtId="10" fontId="0" fillId="0" borderId="0" pivotButton="0" quotePrefix="0" xfId="4"/>
    <xf numFmtId="0" fontId="19" fillId="3" borderId="11" pivotButton="0" quotePrefix="0" xfId="0"/>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0" fontId="19"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0" fontId="17" fillId="3" borderId="3" pivotButton="0" quotePrefix="0" xfId="0"/>
    <xf numFmtId="0" fontId="17" fillId="3" borderId="11" applyAlignment="1" pivotButton="0" quotePrefix="0" xfId="0">
      <alignment horizontal="center" vertical="center"/>
    </xf>
    <xf numFmtId="170" fontId="17" fillId="3" borderId="1" pivotButton="0" quotePrefix="0" xfId="0"/>
    <xf numFmtId="170" fontId="4" fillId="0" borderId="0" applyAlignment="1" pivotButton="0" quotePrefix="0" xfId="3">
      <alignment horizontal="center" vertical="center"/>
    </xf>
    <xf numFmtId="0" fontId="4" fillId="0" borderId="14" applyAlignment="1" pivotButton="0" quotePrefix="0" xfId="5">
      <alignment horizontal="left"/>
    </xf>
    <xf numFmtId="0" fontId="6" fillId="4" borderId="0" applyAlignment="1" pivotButton="0" quotePrefix="0" xfId="0">
      <alignment horizontal="center" vertical="center"/>
    </xf>
    <xf numFmtId="0" fontId="17" fillId="0" borderId="0" applyAlignment="1" pivotButton="0" quotePrefix="0" xfId="0">
      <alignment horizontal="left" indent="1"/>
    </xf>
    <xf numFmtId="0" fontId="17" fillId="0" borderId="0" applyAlignment="1" pivotButton="0" quotePrefix="0" xfId="0">
      <alignment horizontal="center"/>
    </xf>
    <xf numFmtId="0" fontId="19" fillId="0" borderId="0" pivotButton="0" quotePrefix="0" xfId="0"/>
    <xf numFmtId="10" fontId="17" fillId="0" borderId="0" applyAlignment="1" pivotButton="0" quotePrefix="0" xfId="0">
      <alignment horizontal="center"/>
    </xf>
    <xf numFmtId="165" fontId="17" fillId="0" borderId="0" pivotButton="0" quotePrefix="0" xfId="0"/>
    <xf numFmtId="0" fontId="25" fillId="4" borderId="0" pivotButton="0" quotePrefix="0" xfId="0"/>
    <xf numFmtId="0" fontId="25" fillId="4" borderId="0" applyAlignment="1" pivotButton="0" quotePrefix="0" xfId="0">
      <alignment horizontal="center"/>
    </xf>
    <xf numFmtId="167" fontId="17" fillId="4" borderId="0" pivotButton="0" quotePrefix="0" xfId="0"/>
    <xf numFmtId="166" fontId="4" fillId="4" borderId="0" applyProtection="1" pivotButton="0" quotePrefix="0" xfId="3">
      <protection locked="0" hidden="0"/>
    </xf>
    <xf numFmtId="0" fontId="19" fillId="0" borderId="0" applyAlignment="1" pivotButton="0" quotePrefix="0" xfId="0">
      <alignment horizontal="center"/>
    </xf>
    <xf numFmtId="169" fontId="17" fillId="0" borderId="0" pivotButton="0" quotePrefix="0" xfId="0"/>
    <xf numFmtId="169" fontId="9" fillId="0" borderId="0" pivotButton="0" quotePrefix="0" xfId="0"/>
    <xf numFmtId="169" fontId="9" fillId="0" borderId="0" applyAlignment="1" pivotButton="0" quotePrefix="0" xfId="0">
      <alignment horizontal="right"/>
    </xf>
    <xf numFmtId="0" fontId="8" fillId="4" borderId="0" pivotButton="0" quotePrefix="0" xfId="0"/>
    <xf numFmtId="0" fontId="8" fillId="4" borderId="0" applyAlignment="1" pivotButton="0" quotePrefix="0" xfId="0">
      <alignment horizontal="center" wrapText="1"/>
    </xf>
    <xf numFmtId="0" fontId="17" fillId="0" borderId="11" applyAlignment="1" pivotButton="0" quotePrefix="0" xfId="0">
      <alignment horizontal="left"/>
    </xf>
    <xf numFmtId="0" fontId="17" fillId="0" borderId="11" pivotButton="0" quotePrefix="0" xfId="0"/>
    <xf numFmtId="10" fontId="17" fillId="0" borderId="11" applyAlignment="1" pivotButton="0" quotePrefix="0" xfId="4">
      <alignment horizontal="center"/>
    </xf>
    <xf numFmtId="0" fontId="17" fillId="0" borderId="0" pivotButton="0" quotePrefix="0" xfId="0"/>
    <xf numFmtId="10" fontId="17" fillId="0" borderId="0" applyAlignment="1" pivotButton="0" quotePrefix="0" xfId="4">
      <alignment horizontal="center"/>
    </xf>
    <xf numFmtId="0" fontId="19" fillId="3" borderId="9" pivotButton="0" quotePrefix="0" xfId="0"/>
    <xf numFmtId="10" fontId="16" fillId="3" borderId="9" applyAlignment="1" pivotButton="0" quotePrefix="0" xfId="4">
      <alignment horizontal="center"/>
    </xf>
    <xf numFmtId="0" fontId="19" fillId="0" borderId="11" pivotButton="0" quotePrefix="0" xfId="0"/>
    <xf numFmtId="2" fontId="8" fillId="4" borderId="0" applyAlignment="1" pivotButton="0" quotePrefix="0" xfId="0">
      <alignment horizontal="center" wrapText="1"/>
    </xf>
    <xf numFmtId="9" fontId="8" fillId="4" borderId="0" applyAlignment="1" pivotButton="0" quotePrefix="0" xfId="4">
      <alignment horizontal="center" wrapText="1"/>
    </xf>
    <xf numFmtId="10" fontId="8" fillId="4" borderId="0" applyAlignment="1" pivotButton="0" quotePrefix="0" xfId="4">
      <alignment horizontal="center" wrapText="1"/>
    </xf>
    <xf numFmtId="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0" fontId="4" fillId="3" borderId="11" applyAlignment="1" pivotButton="0" quotePrefix="0" xfId="4">
      <alignment horizontal="center" vertical="center" shrinkToFit="1"/>
    </xf>
    <xf numFmtId="0" fontId="0" fillId="3" borderId="0" pivotButton="0" quotePrefix="0" xfId="0"/>
    <xf numFmtId="0" fontId="0" fillId="3" borderId="1" pivotButton="0" quotePrefix="0" xfId="0"/>
    <xf numFmtId="37" fontId="17" fillId="0" borderId="1" pivotButton="0" quotePrefix="0" xfId="0"/>
    <xf numFmtId="165" fontId="19" fillId="0" borderId="11" pivotButton="0" quotePrefix="0" xfId="0"/>
    <xf numFmtId="0" fontId="19" fillId="0" borderId="9"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0" fontId="7" fillId="3" borderId="1" applyAlignment="1" pivotButton="0" quotePrefix="0" xfId="0">
      <alignment horizontal="left"/>
    </xf>
    <xf numFmtId="170" fontId="7" fillId="3" borderId="1" pivotButton="0" quotePrefix="0" xfId="0"/>
    <xf numFmtId="0" fontId="19" fillId="3" borderId="9" applyAlignment="1" pivotButton="0" quotePrefix="0" xfId="0">
      <alignment horizontal="center"/>
    </xf>
    <xf numFmtId="166" fontId="7" fillId="3" borderId="9" applyProtection="1" pivotButton="0" quotePrefix="0" xfId="3">
      <protection locked="0" hidden="0"/>
    </xf>
    <xf numFmtId="169" fontId="19" fillId="3" borderId="9" pivotButton="0" quotePrefix="0" xfId="0"/>
    <xf numFmtId="175" fontId="17" fillId="0" borderId="0" applyAlignment="1" pivotButton="0" quotePrefix="0" xfId="0">
      <alignment horizontal="left"/>
    </xf>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0" fontId="17" fillId="0" borderId="11" pivotButton="0" quotePrefix="0" xfId="0"/>
    <xf numFmtId="165" fontId="17" fillId="0" borderId="11" pivotButton="0" quotePrefix="0" xfId="0"/>
    <xf numFmtId="10" fontId="17" fillId="0" borderId="0" pivotButton="0" quotePrefix="0" xfId="0"/>
    <xf numFmtId="0" fontId="17" fillId="0" borderId="0" applyProtection="1" pivotButton="0" quotePrefix="0" xfId="0">
      <protection locked="0" hidden="0"/>
    </xf>
    <xf numFmtId="165" fontId="17" fillId="0" borderId="0" applyProtection="1" pivotButton="0" quotePrefix="0" xfId="3">
      <protection locked="0" hidden="0"/>
    </xf>
    <xf numFmtId="170" fontId="19" fillId="0" borderId="11" pivotButton="0" quotePrefix="0" xfId="0"/>
    <xf numFmtId="0" fontId="19" fillId="3" borderId="1" applyAlignment="1" pivotButton="0" quotePrefix="0" xfId="0">
      <alignment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0" fontId="16" fillId="0" borderId="9" applyAlignment="1" pivotButton="0" quotePrefix="0" xfId="0">
      <alignment horizontal="center"/>
    </xf>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2" fontId="9" fillId="0" borderId="0" applyAlignment="1" pivotButton="0" quotePrefix="0" xfId="0">
      <alignment horizontal="left"/>
    </xf>
    <xf numFmtId="9" fontId="9" fillId="0" borderId="0" applyAlignment="1" pivotButton="0" quotePrefix="0" xfId="0">
      <alignment horizontal="center"/>
    </xf>
    <xf numFmtId="10" fontId="9" fillId="0" borderId="0" applyAlignment="1" pivotButton="0" quotePrefix="0" xfId="4">
      <alignment horizontal="center"/>
    </xf>
    <xf numFmtId="2" fontId="9" fillId="0" borderId="0" applyAlignment="1" pivotButton="0" quotePrefix="0" xfId="0">
      <alignment horizontal="left" indent="1"/>
    </xf>
    <xf numFmtId="2" fontId="16" fillId="3" borderId="9" applyAlignment="1" pivotButton="0" quotePrefix="0" xfId="0">
      <alignment horizontal="left"/>
    </xf>
    <xf numFmtId="9" fontId="16" fillId="3" borderId="9" applyAlignment="1" pivotButton="0" quotePrefix="0" xfId="0">
      <alignment horizontal="center"/>
    </xf>
    <xf numFmtId="0" fontId="6" fillId="4" borderId="0" applyAlignment="1" pivotButton="0" quotePrefix="0" xfId="0">
      <alignment horizontal="right"/>
    </xf>
    <xf numFmtId="0" fontId="4" fillId="6" borderId="0" pivotButton="0" quotePrefix="0" xfId="0"/>
    <xf numFmtId="0" fontId="16" fillId="0" borderId="0" applyAlignment="1" pivotButton="0" quotePrefix="0" xfId="0">
      <alignment horizontal="right"/>
    </xf>
    <xf numFmtId="0" fontId="16" fillId="0" borderId="0" applyAlignment="1" pivotButton="0" quotePrefix="0" xfId="0">
      <alignment horizontal="right" wrapText="1"/>
    </xf>
    <xf numFmtId="10" fontId="16" fillId="3" borderId="9" applyAlignment="1" pivotButton="0" quotePrefix="0" xfId="0">
      <alignment horizontal="right"/>
    </xf>
    <xf numFmtId="0" fontId="2" fillId="4" borderId="0" applyAlignment="1" pivotButton="0" quotePrefix="0" xfId="0">
      <alignment horizontal="left" vertical="center" justifyLastLine="1"/>
    </xf>
    <xf numFmtId="165" fontId="17" fillId="0" borderId="0" applyAlignment="1" pivotButton="0" quotePrefix="0" xfId="3">
      <alignment horizontal="left"/>
    </xf>
    <xf numFmtId="166" fontId="17" fillId="0" borderId="0" applyAlignment="1" pivotButton="0" quotePrefix="0" xfId="3">
      <alignment horizontal="left"/>
    </xf>
    <xf numFmtId="0" fontId="9" fillId="0" borderId="0" applyAlignment="1" pivotButton="0" quotePrefix="0" xfId="0">
      <alignment horizontal="left"/>
    </xf>
    <xf numFmtId="0" fontId="9" fillId="0" borderId="1" applyAlignment="1" pivotButton="0" quotePrefix="0" xfId="0">
      <alignment horizontal="left"/>
    </xf>
    <xf numFmtId="0" fontId="17" fillId="0" borderId="1" applyAlignment="1" pivotButton="0" quotePrefix="0" xfId="0">
      <alignment horizontal="left"/>
    </xf>
    <xf numFmtId="169" fontId="4" fillId="0" borderId="1" applyAlignment="1" pivotButton="0" quotePrefix="0" xfId="0">
      <alignment horizontal="center" vertical="center"/>
    </xf>
    <xf numFmtId="0" fontId="4" fillId="0" borderId="1" applyAlignment="1" pivotButton="0" quotePrefix="0" xfId="0">
      <alignment horizontal="center"/>
    </xf>
    <xf numFmtId="179" fontId="4" fillId="0" borderId="1" applyAlignment="1" pivotButton="0" quotePrefix="0" xfId="0">
      <alignment horizontal="center"/>
    </xf>
    <xf numFmtId="165" fontId="4" fillId="0" borderId="1" applyAlignment="1" pivotButton="0" quotePrefix="0" xfId="3">
      <alignment horizontal="center"/>
    </xf>
    <xf numFmtId="0" fontId="4" fillId="5" borderId="0" pivotButton="0" quotePrefix="0" xfId="0"/>
    <xf numFmtId="41" fontId="4" fillId="5" borderId="2" pivotButton="0" quotePrefix="0" xfId="0"/>
    <xf numFmtId="165" fontId="9" fillId="5" borderId="2" pivotButton="0" quotePrefix="0" xfId="3"/>
    <xf numFmtId="0" fontId="9" fillId="5" borderId="0" pivotButton="0" quotePrefix="0" xfId="0"/>
    <xf numFmtId="3" fontId="9" fillId="0" borderId="2" applyAlignment="1" pivotButton="0" quotePrefix="0" xfId="1">
      <alignment horizontal="left"/>
    </xf>
    <xf numFmtId="0" fontId="9" fillId="0" borderId="2" applyAlignment="1" pivotButton="0" quotePrefix="0" xfId="5">
      <alignment horizontal="center"/>
    </xf>
    <xf numFmtId="3" fontId="9" fillId="0" borderId="2" applyAlignment="1" pivotButton="0" quotePrefix="0" xfId="1">
      <alignment horizontal="center"/>
    </xf>
    <xf numFmtId="9" fontId="9" fillId="0" borderId="3" applyAlignment="1" pivotButton="0" quotePrefix="0" xfId="4">
      <alignment horizontal="center"/>
    </xf>
    <xf numFmtId="167" fontId="7" fillId="3" borderId="9" applyAlignment="1" pivotButton="0" quotePrefix="0" xfId="0">
      <alignment horizontal="center"/>
    </xf>
    <xf numFmtId="0" fontId="4" fillId="3" borderId="17" applyAlignment="1" pivotButton="0" quotePrefix="0" xfId="0">
      <alignment horizontal="center"/>
    </xf>
    <xf numFmtId="169" fontId="7" fillId="3" borderId="8" applyAlignment="1" pivotButton="0" quotePrefix="0" xfId="0">
      <alignment horizontal="center"/>
    </xf>
    <xf numFmtId="0" fontId="7" fillId="0" borderId="36" pivotButton="0" quotePrefix="0" xfId="0"/>
    <xf numFmtId="41" fontId="4" fillId="0" borderId="0" applyAlignment="1" pivotButton="0" quotePrefix="0" xfId="0">
      <alignment horizontal="center"/>
    </xf>
    <xf numFmtId="167" fontId="4" fillId="0" borderId="0" applyAlignment="1" pivotButton="0" quotePrefix="0" xfId="3">
      <alignment horizontal="center"/>
    </xf>
    <xf numFmtId="166" fontId="4" fillId="0" borderId="19" pivotButton="0" quotePrefix="0" xfId="3"/>
    <xf numFmtId="167" fontId="9" fillId="0" borderId="15" applyAlignment="1" pivotButton="0" quotePrefix="0" xfId="3">
      <alignment horizont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7" fontId="0" fillId="0" borderId="0" pivotButton="0" quotePrefix="0" xfId="0"/>
    <xf numFmtId="180" fontId="17" fillId="0" borderId="0" applyAlignment="1" pivotButton="0" quotePrefix="0" xfId="0">
      <alignment horizontal="center"/>
    </xf>
    <xf numFmtId="1" fontId="17" fillId="0" borderId="0" applyAlignment="1" pivotButton="0" quotePrefix="0" xfId="0">
      <alignment horizontal="center"/>
    </xf>
    <xf numFmtId="3" fontId="17" fillId="0" borderId="0" applyAlignment="1" pivotButton="0" quotePrefix="0" xfId="0">
      <alignment horizontal="center"/>
    </xf>
    <xf numFmtId="9" fontId="17" fillId="0" borderId="0" applyAlignment="1" pivotButton="0" quotePrefix="0" xfId="4">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7" fontId="4" fillId="0" borderId="0" applyProtection="1" pivotButton="0" quotePrefix="0" xfId="3">
      <protection locked="0" hidden="0"/>
    </xf>
    <xf numFmtId="167" fontId="7" fillId="3" borderId="9" applyProtection="1" pivotButton="0" quotePrefix="0" xfId="3">
      <protection locked="0" hidden="0"/>
    </xf>
    <xf numFmtId="167" fontId="4" fillId="0" borderId="0" pivotButton="0" quotePrefix="0" xfId="3"/>
    <xf numFmtId="167" fontId="7" fillId="0" borderId="0" applyProtection="1" pivotButton="0" quotePrefix="0" xfId="3">
      <protection locked="0" hidden="0"/>
    </xf>
    <xf numFmtId="169" fontId="19" fillId="0" borderId="0" pivotButton="0" quotePrefix="0" xfId="3"/>
    <xf numFmtId="167" fontId="4" fillId="0" borderId="15" applyAlignment="1" pivotButton="0" quotePrefix="0" xfId="3">
      <alignment horizontal="center" vertical="center"/>
    </xf>
    <xf numFmtId="167" fontId="9" fillId="0" borderId="15" applyAlignment="1" pivotButton="0" quotePrefix="0" xfId="3">
      <alignment horizontal="center" vertical="center"/>
    </xf>
    <xf numFmtId="169" fontId="4" fillId="0" borderId="15" applyAlignment="1" pivotButton="0" quotePrefix="0" xfId="3">
      <alignment horizontal="center" vertical="center"/>
    </xf>
    <xf numFmtId="0" fontId="7" fillId="3" borderId="11" applyAlignment="1" pivotButton="0" quotePrefix="0" xfId="0">
      <alignment vertical="center" wrapText="1"/>
    </xf>
    <xf numFmtId="180" fontId="7" fillId="3" borderId="11" applyAlignment="1" pivotButton="0" quotePrefix="0" xfId="0">
      <alignment horizontal="center" vertical="center"/>
    </xf>
    <xf numFmtId="3" fontId="7" fillId="3" borderId="11" applyAlignment="1" pivotButton="0" quotePrefix="0" xfId="0">
      <alignment horizontal="center" vertical="center" wrapText="1"/>
    </xf>
    <xf numFmtId="9" fontId="7" fillId="3" borderId="11" applyAlignment="1" pivotButton="0" quotePrefix="0" xfId="4">
      <alignment horizontal="center" vertical="center"/>
    </xf>
    <xf numFmtId="9" fontId="7" fillId="3" borderId="11" applyAlignment="1" pivotButton="0" quotePrefix="0" xfId="4">
      <alignment horizontal="center" vertical="center" shrinkToFit="1"/>
    </xf>
    <xf numFmtId="0" fontId="7" fillId="3" borderId="11" applyAlignment="1" pivotButton="0" quotePrefix="0" xfId="0">
      <alignment horizontal="center" vertical="center" shrinkToFit="1"/>
    </xf>
    <xf numFmtId="0" fontId="16" fillId="3" borderId="0" pivotButton="0" quotePrefix="0" xfId="0"/>
    <xf numFmtId="0" fontId="5" fillId="3" borderId="0" pivotButton="0" quotePrefix="0" xfId="0"/>
    <xf numFmtId="2" fontId="16" fillId="3" borderId="0" applyAlignment="1" pivotButton="0" quotePrefix="0" xfId="0">
      <alignment horizontal="center"/>
    </xf>
    <xf numFmtId="0" fontId="16" fillId="3" borderId="1" pivotButton="0" quotePrefix="0" xfId="0"/>
    <xf numFmtId="0" fontId="5" fillId="3" borderId="1" pivotButton="0" quotePrefix="0" xfId="0"/>
    <xf numFmtId="10" fontId="4" fillId="5" borderId="0" applyAlignment="1" pivotButton="0" quotePrefix="0" xfId="4">
      <alignment horizontal="center" vertical="center" shrinkToFit="1"/>
    </xf>
    <xf numFmtId="165" fontId="16" fillId="3" borderId="1" applyAlignment="1" pivotButton="0" quotePrefix="0" xfId="3">
      <alignment horizontal="left"/>
    </xf>
    <xf numFmtId="166" fontId="19" fillId="3" borderId="1" applyAlignment="1" pivotButton="0" quotePrefix="0" xfId="3">
      <alignment horizontal="left"/>
    </xf>
    <xf numFmtId="0" fontId="7" fillId="3" borderId="9" applyAlignment="1" pivotButton="0" quotePrefix="0" xfId="0">
      <alignment vertical="center"/>
    </xf>
    <xf numFmtId="169" fontId="16" fillId="3" borderId="9" applyAlignment="1" pivotButton="0" quotePrefix="0" xfId="0">
      <alignment horizontal="right" vertical="center" wrapText="1"/>
    </xf>
    <xf numFmtId="165" fontId="7" fillId="3" borderId="9" applyAlignment="1" pivotButton="0" quotePrefix="0" xfId="4">
      <alignment horizontal="right" vertical="center"/>
    </xf>
    <xf numFmtId="0" fontId="4" fillId="6" borderId="0" applyAlignment="1" pivotButton="0" quotePrefix="0" xfId="0">
      <alignmen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0" fontId="4" fillId="0" borderId="9" applyAlignment="1" pivotButton="0" quotePrefix="0" xfId="0">
      <alignment vertical="center"/>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6" fillId="3" borderId="9" applyAlignment="1" pivotButton="0" quotePrefix="0" xfId="3">
      <alignment horizontal="left"/>
    </xf>
    <xf numFmtId="166" fontId="19" fillId="3" borderId="9" applyAlignment="1" pivotButton="0" quotePrefix="0" xfId="3">
      <alignment horizontal="left"/>
    </xf>
    <xf numFmtId="0" fontId="4" fillId="5" borderId="0" applyAlignment="1" pivotButton="0" quotePrefix="0" xfId="0">
      <alignment horizontal="center" vertical="center"/>
    </xf>
    <xf numFmtId="0" fontId="4" fillId="5" borderId="0" applyAlignment="1" pivotButton="0" quotePrefix="0" xfId="0">
      <alignment vertical="center" wrapText="1"/>
    </xf>
    <xf numFmtId="180" fontId="4" fillId="5" borderId="0" applyAlignment="1" pivotButton="0" quotePrefix="0" xfId="0">
      <alignment horizontal="center" vertical="top"/>
    </xf>
    <xf numFmtId="180" fontId="17" fillId="5" borderId="0" applyAlignment="1" pivotButton="0" quotePrefix="0" xfId="0">
      <alignment vertical="top"/>
    </xf>
    <xf numFmtId="3" fontId="4" fillId="5" borderId="0" applyAlignment="1" pivotButton="0" quotePrefix="0" xfId="0">
      <alignment horizontal="center" vertical="top" wrapText="1"/>
    </xf>
    <xf numFmtId="3" fontId="4" fillId="5" borderId="0" applyAlignment="1" pivotButton="0" quotePrefix="0" xfId="0">
      <alignment horizontal="center" vertical="center" wrapText="1"/>
    </xf>
    <xf numFmtId="9" fontId="4" fillId="5" borderId="0" applyAlignment="1" pivotButton="0" quotePrefix="0" xfId="4">
      <alignment horizontal="center" vertical="top"/>
    </xf>
    <xf numFmtId="9" fontId="9" fillId="5" borderId="0" applyAlignment="1" pivotButton="0" quotePrefix="0" xfId="4">
      <alignment horizontal="center" vertical="top" shrinkToFit="1"/>
    </xf>
    <xf numFmtId="3" fontId="9" fillId="5" borderId="0" applyAlignment="1" pivotButton="0" quotePrefix="0" xfId="0">
      <alignment horizontal="center" vertical="top" shrinkToFit="1"/>
    </xf>
    <xf numFmtId="9" fontId="4" fillId="5" borderId="0" applyAlignment="1" pivotButton="0" quotePrefix="0" xfId="4">
      <alignment horizontal="center" vertical="top" shrinkToFit="1"/>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3" fontId="4" fillId="5" borderId="0" applyAlignment="1" pivotButton="0" quotePrefix="0" xfId="0">
      <alignment vertical="top" wrapText="1"/>
    </xf>
    <xf numFmtId="2" fontId="4" fillId="5" borderId="0" applyAlignment="1" pivotButton="0" quotePrefix="0" xfId="0">
      <alignment horizontal="center" vertical="top" wrapText="1"/>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 fontId="4" fillId="5" borderId="0" applyAlignment="1" pivotButton="0" quotePrefix="0" xfId="0">
      <alignment horizontal="center" vertical="top"/>
    </xf>
    <xf numFmtId="3" fontId="4"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 fontId="4" fillId="5" borderId="0" applyAlignment="1" pivotButton="0" quotePrefix="0" xfId="0">
      <alignment horizontal="center" vertical="center"/>
    </xf>
    <xf numFmtId="0" fontId="4" fillId="5" borderId="0" applyAlignment="1" pivotButton="0" quotePrefix="0" xfId="0">
      <alignment horizontal="center" vertical="center" wrapText="1"/>
    </xf>
    <xf numFmtId="3" fontId="4" fillId="5" borderId="0" applyAlignment="1" pivotButton="0" quotePrefix="0" xfId="0">
      <alignment horizontal="center" vertical="center"/>
    </xf>
    <xf numFmtId="2" fontId="4" fillId="5" borderId="0" applyAlignment="1" pivotButton="0" quotePrefix="0" xfId="0">
      <alignment horizontal="center" vertical="center"/>
    </xf>
    <xf numFmtId="9" fontId="24" fillId="5" borderId="0" applyAlignment="1" pivotButton="0" quotePrefix="0" xfId="4">
      <alignment horizontal="center" vertical="center" shrinkToFit="1"/>
    </xf>
    <xf numFmtId="3" fontId="24" fillId="5" borderId="0" applyAlignment="1" pivotButton="0" quotePrefix="0" xfId="0">
      <alignment horizontal="center" vertical="center" shrinkToFit="1"/>
    </xf>
    <xf numFmtId="9" fontId="4" fillId="5" borderId="0" applyAlignment="1" pivotButton="0" quotePrefix="0" xfId="4">
      <alignment horizontal="center" vertical="center" shrinkToFit="1"/>
    </xf>
    <xf numFmtId="3" fontId="4" fillId="5" borderId="0" applyAlignment="1" pivotButton="0" quotePrefix="0" xfId="0">
      <alignment horizontal="center" vertical="center" shrinkToFit="1"/>
    </xf>
    <xf numFmtId="167" fontId="4" fillId="5" borderId="0" applyAlignment="1" pivotButton="0" quotePrefix="0" xfId="0">
      <alignment horizontal="center" vertical="center" wrapText="1" shrinkToFit="1"/>
    </xf>
    <xf numFmtId="0" fontId="16" fillId="3" borderId="11" applyAlignment="1" pivotButton="0" quotePrefix="0" xfId="0">
      <alignment horizontal="left" vertical="top"/>
    </xf>
    <xf numFmtId="165" fontId="9" fillId="0" borderId="0" pivotButton="0" quotePrefix="0" xfId="0"/>
    <xf numFmtId="170" fontId="17" fillId="0" borderId="0" applyAlignment="1" pivotButton="0" quotePrefix="0" xfId="3">
      <alignment horizontal="right"/>
    </xf>
    <xf numFmtId="166" fontId="0" fillId="0" borderId="0" pivotButton="0" quotePrefix="0" xfId="3"/>
    <xf numFmtId="181" fontId="0" fillId="0" borderId="0" pivotButton="0" quotePrefix="0" xfId="3"/>
    <xf numFmtId="170" fontId="0" fillId="0" borderId="0" pivotButton="0" quotePrefix="0" xfId="0"/>
    <xf numFmtId="0" fontId="17" fillId="6" borderId="0" applyAlignment="1" pivotButton="0" quotePrefix="0" xfId="0">
      <alignment horizontal="left"/>
    </xf>
    <xf numFmtId="180" fontId="17" fillId="6" borderId="0" applyAlignment="1" pivotButton="0" quotePrefix="0" xfId="0">
      <alignment horizontal="center"/>
    </xf>
    <xf numFmtId="0" fontId="17" fillId="6" borderId="0" applyAlignment="1" pivotButton="0" quotePrefix="0" xfId="0">
      <alignment horizontal="center"/>
    </xf>
    <xf numFmtId="3" fontId="17" fillId="6" borderId="0" applyAlignment="1" pivotButton="0" quotePrefix="0" xfId="0">
      <alignment horizontal="center"/>
    </xf>
    <xf numFmtId="9" fontId="17" fillId="6" borderId="0" applyAlignment="1" pivotButton="0" quotePrefix="0" xfId="4">
      <alignment horizontal="center"/>
    </xf>
    <xf numFmtId="170" fontId="17" fillId="6" borderId="0" applyAlignment="1" pivotButton="0" quotePrefix="0" xfId="3">
      <alignment horizontal="center"/>
    </xf>
    <xf numFmtId="10" fontId="17" fillId="6" borderId="0" applyAlignment="1" pivotButton="0" quotePrefix="0" xfId="0">
      <alignment horizontal="center"/>
    </xf>
    <xf numFmtId="1" fontId="17" fillId="6" borderId="0" applyAlignment="1" pivotButton="0" quotePrefix="0" xfId="0">
      <alignment horizontal="center"/>
    </xf>
    <xf numFmtId="9" fontId="24" fillId="0" borderId="0" applyAlignment="1" pivotButton="0" quotePrefix="0" xfId="0">
      <alignment horizontal="center"/>
    </xf>
    <xf numFmtId="10" fontId="24" fillId="0" borderId="0" applyAlignment="1" pivotButton="0" quotePrefix="0" xfId="4">
      <alignment horizontal="center"/>
    </xf>
    <xf numFmtId="10" fontId="4" fillId="0" borderId="0" applyAlignment="1" pivotButton="0" quotePrefix="0" xfId="4">
      <alignment horizontal="right"/>
    </xf>
    <xf numFmtId="38" fontId="0" fillId="0" borderId="0" pivotButton="0" quotePrefix="0" xfId="0"/>
    <xf numFmtId="166" fontId="0" fillId="0" borderId="0" pivotButton="0" quotePrefix="0" xfId="0"/>
    <xf numFmtId="9" fontId="0" fillId="0" borderId="0" pivotButton="0" quotePrefix="0" xfId="4"/>
    <xf numFmtId="0" fontId="17" fillId="6" borderId="0" applyAlignment="1" pivotButton="0" quotePrefix="0" xfId="0">
      <alignment vertical="center"/>
    </xf>
    <xf numFmtId="0" fontId="17" fillId="6" borderId="0" applyAlignment="1" pivotButton="0" quotePrefix="0" xfId="0">
      <alignment horizontal="left" vertical="center"/>
    </xf>
    <xf numFmtId="0" fontId="32" fillId="6" borderId="2" pivotButton="0" quotePrefix="0" xfId="0"/>
    <xf numFmtId="0" fontId="32" fillId="6" borderId="0" pivotButton="0" quotePrefix="0" xfId="0"/>
    <xf numFmtId="0" fontId="32" fillId="0" borderId="0" pivotButton="0" quotePrefix="0" xfId="0"/>
    <xf numFmtId="3" fontId="32" fillId="0" borderId="0" pivotButton="0" quotePrefix="0" xfId="0"/>
    <xf numFmtId="165" fontId="32" fillId="0" borderId="0" pivotButton="0" quotePrefix="0" xfId="0"/>
    <xf numFmtId="0" fontId="23" fillId="0" borderId="0" applyAlignment="1" pivotButton="0" quotePrefix="0" xfId="0">
      <alignment vertical="center"/>
    </xf>
    <xf numFmtId="0" fontId="19" fillId="6" borderId="0" pivotButton="0" quotePrefix="0" xfId="0"/>
    <xf numFmtId="3" fontId="19" fillId="6" borderId="1" applyAlignment="1" pivotButton="0" quotePrefix="0" xfId="0">
      <alignment horizontal="center"/>
    </xf>
    <xf numFmtId="165" fontId="19" fillId="6" borderId="1" applyAlignment="1" pivotButton="0" quotePrefix="0" xfId="0">
      <alignment horizontal="center"/>
    </xf>
    <xf numFmtId="166" fontId="23" fillId="0" borderId="0" applyAlignment="1" pivotButton="0" quotePrefix="0" xfId="3">
      <alignment vertical="center"/>
    </xf>
    <xf numFmtId="0" fontId="4" fillId="0" borderId="0" applyAlignment="1" pivotButton="0" quotePrefix="0" xfId="0">
      <alignment vertical="center"/>
    </xf>
    <xf numFmtId="0" fontId="37" fillId="0" borderId="0" pivotButton="0" quotePrefix="0" xfId="0"/>
    <xf numFmtId="0" fontId="23" fillId="0" borderId="0" applyAlignment="1" pivotButton="0" quotePrefix="1" xfId="0">
      <alignment vertical="center"/>
    </xf>
    <xf numFmtId="0" fontId="17" fillId="6" borderId="0" applyAlignment="1" pivotButton="0" quotePrefix="0" xfId="0">
      <alignment horizontal="left" vertical="center" indent="1"/>
    </xf>
    <xf numFmtId="3" fontId="17" fillId="6" borderId="0" applyAlignment="1" pivotButton="0" quotePrefix="0" xfId="0">
      <alignment vertical="center"/>
    </xf>
    <xf numFmtId="165" fontId="17" fillId="6" borderId="0" applyAlignment="1" pivotButton="0" quotePrefix="0" xfId="0">
      <alignment vertical="center"/>
    </xf>
    <xf numFmtId="0" fontId="17" fillId="6" borderId="0" applyAlignment="1" pivotButton="0" quotePrefix="0" xfId="0">
      <alignment horizontal="left" vertical="center" indent="2"/>
    </xf>
    <xf numFmtId="37" fontId="17" fillId="6" borderId="0" applyAlignment="1" pivotButton="0" quotePrefix="0" xfId="0">
      <alignment horizontal="right"/>
    </xf>
    <xf numFmtId="170" fontId="17" fillId="6" borderId="0" applyAlignment="1" pivotButton="0" quotePrefix="0" xfId="0">
      <alignment vertical="center"/>
    </xf>
    <xf numFmtId="37" fontId="4" fillId="6" borderId="0" pivotButton="0" quotePrefix="0" xfId="0"/>
    <xf numFmtId="170" fontId="4" fillId="6" borderId="0" applyAlignment="1" pivotButton="0" quotePrefix="0" xfId="0">
      <alignment vertical="center"/>
    </xf>
    <xf numFmtId="165" fontId="4" fillId="6" borderId="0" applyAlignment="1" pivotButton="0" quotePrefix="0" xfId="0">
      <alignment vertical="center"/>
    </xf>
    <xf numFmtId="0" fontId="24" fillId="6" borderId="0" applyAlignment="1" pivotButton="0" quotePrefix="0" xfId="0">
      <alignment horizontal="left" vertical="center" indent="2"/>
    </xf>
    <xf numFmtId="3" fontId="4" fillId="6" borderId="0" applyAlignment="1" pivotButton="0" quotePrefix="0" xfId="0">
      <alignment horizontal="center" vertical="center"/>
    </xf>
    <xf numFmtId="165" fontId="4" fillId="6" borderId="11" applyAlignment="1" pivotButton="0" quotePrefix="0" xfId="0">
      <alignment vertical="center"/>
    </xf>
    <xf numFmtId="3" fontId="4" fillId="6" borderId="0" applyAlignment="1" pivotButton="0" quotePrefix="0" xfId="0">
      <alignment vertical="center"/>
    </xf>
    <xf numFmtId="182" fontId="4" fillId="6" borderId="0" applyAlignment="1" pivotButton="0" quotePrefix="0" xfId="2">
      <alignment vertical="center"/>
    </xf>
    <xf numFmtId="182" fontId="4" fillId="6"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0" fontId="19" fillId="6" borderId="0" applyAlignment="1" pivotButton="0" quotePrefix="0" xfId="0">
      <alignment horizontal="left" vertical="center" indent="1"/>
    </xf>
    <xf numFmtId="165" fontId="4" fillId="6" borderId="1" applyAlignment="1" pivotButton="0" quotePrefix="0" xfId="3">
      <alignment vertical="center"/>
    </xf>
    <xf numFmtId="37" fontId="4" fillId="6" borderId="11" applyAlignment="1" pivotButton="0" quotePrefix="0" xfId="3">
      <alignment vertical="center"/>
    </xf>
    <xf numFmtId="165" fontId="17" fillId="6" borderId="1" applyAlignment="1" pivotButton="0" quotePrefix="0" xfId="0">
      <alignment vertical="center"/>
    </xf>
    <xf numFmtId="9" fontId="4" fillId="6"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0" fontId="19" fillId="6" borderId="0" applyAlignment="1" pivotButton="0" quotePrefix="0" xfId="0">
      <alignment vertical="center"/>
    </xf>
    <xf numFmtId="0" fontId="19" fillId="6" borderId="0" applyAlignment="1" pivotButton="0" quotePrefix="0" xfId="0">
      <alignment horizontal="left" vertical="center" indent="2"/>
    </xf>
    <xf numFmtId="165" fontId="24" fillId="6" borderId="0" applyAlignment="1" pivotButton="0" quotePrefix="0" xfId="0">
      <alignment vertical="center"/>
    </xf>
    <xf numFmtId="0" fontId="17" fillId="6" borderId="0" applyAlignment="1" pivotButton="0" quotePrefix="0" xfId="0">
      <alignment horizontal="left" vertical="center" indent="3"/>
    </xf>
    <xf numFmtId="184" fontId="4" fillId="6" borderId="1" applyAlignment="1" pivotButton="0" quotePrefix="0" xfId="0">
      <alignment vertical="center"/>
    </xf>
    <xf numFmtId="174" fontId="7" fillId="6" borderId="0" applyAlignment="1" applyProtection="1" pivotButton="0" quotePrefix="0" xfId="0">
      <alignment horizontal="left"/>
      <protection locked="0" hidden="0"/>
    </xf>
    <xf numFmtId="0" fontId="19" fillId="6" borderId="0" applyAlignment="1" applyProtection="1" pivotButton="0" quotePrefix="0" xfId="0">
      <alignment horizontal="center"/>
      <protection locked="0" hidden="0"/>
    </xf>
    <xf numFmtId="165" fontId="19" fillId="6" borderId="0" pivotButton="0" quotePrefix="0" xfId="0"/>
    <xf numFmtId="3" fontId="17" fillId="6" borderId="0" applyAlignment="1" pivotButton="0" quotePrefix="0" xfId="0">
      <alignment horizontal="left" vertical="center" indent="1"/>
    </xf>
    <xf numFmtId="166" fontId="17" fillId="6" borderId="0" applyAlignment="1" pivotButton="0" quotePrefix="0" xfId="3">
      <alignment vertical="center"/>
    </xf>
    <xf numFmtId="0" fontId="19" fillId="6" borderId="11" applyAlignment="1" pivotButton="0" quotePrefix="0" xfId="0">
      <alignment horizontal="left" vertical="center"/>
    </xf>
    <xf numFmtId="0" fontId="35" fillId="6" borderId="0" pivotButton="0" quotePrefix="0" xfId="0"/>
    <xf numFmtId="3" fontId="4" fillId="6" borderId="0" pivotButton="0" quotePrefix="0" xfId="0"/>
    <xf numFmtId="165" fontId="4" fillId="6" borderId="0" pivotButton="0" quotePrefix="0" xfId="0"/>
    <xf numFmtId="41" fontId="36" fillId="6" borderId="0" pivotButton="0" quotePrefix="0" xfId="0"/>
    <xf numFmtId="3" fontId="32" fillId="6" borderId="0" pivotButton="0" quotePrefix="0" xfId="0"/>
    <xf numFmtId="165" fontId="32" fillId="6" borderId="0" pivotButton="0" quotePrefix="0" xfId="0"/>
    <xf numFmtId="0" fontId="34" fillId="6" borderId="0" pivotButton="0" quotePrefix="0" xfId="0"/>
    <xf numFmtId="165" fontId="32" fillId="6" borderId="0" applyAlignment="1" pivotButton="0" quotePrefix="0" xfId="0">
      <alignment vertical="center"/>
    </xf>
    <xf numFmtId="0" fontId="37" fillId="6" borderId="0" pivotButton="0" quotePrefix="0" xfId="0"/>
    <xf numFmtId="0" fontId="3" fillId="6" borderId="0" pivotButton="0" quotePrefix="0" xfId="0"/>
    <xf numFmtId="0" fontId="32" fillId="6" borderId="0" applyAlignment="1" pivotButton="0" quotePrefix="0" xfId="0">
      <alignment horizontal="center"/>
    </xf>
    <xf numFmtId="0" fontId="23" fillId="6" borderId="0" applyAlignment="1" pivotButton="0" quotePrefix="0" xfId="0">
      <alignment horizontal="center"/>
    </xf>
    <xf numFmtId="0" fontId="3" fillId="6" borderId="0" applyAlignment="1" pivotButton="0" quotePrefix="0" xfId="0">
      <alignment vertical="center"/>
    </xf>
    <xf numFmtId="0" fontId="3" fillId="6" borderId="1" applyAlignment="1" pivotButton="0" quotePrefix="0" xfId="0">
      <alignment vertical="center"/>
    </xf>
    <xf numFmtId="164" fontId="23" fillId="6" borderId="1" applyAlignment="1" pivotButton="0" quotePrefix="0" xfId="0">
      <alignment horizontal="center"/>
    </xf>
    <xf numFmtId="0" fontId="7" fillId="3" borderId="0" pivotButton="0" quotePrefix="0" xfId="0"/>
    <xf numFmtId="3" fontId="17" fillId="6" borderId="1" applyAlignment="1" pivotButton="0" quotePrefix="0" xfId="0">
      <alignment horizontal="left" vertical="center" indent="1"/>
    </xf>
    <xf numFmtId="3" fontId="17" fillId="6" borderId="1" applyAlignment="1" pivotButton="0" quotePrefix="0" xfId="0">
      <alignment vertical="center"/>
    </xf>
    <xf numFmtId="0" fontId="17" fillId="6" borderId="1" applyAlignment="1" pivotButton="0" quotePrefix="0" xfId="0">
      <alignment vertical="center"/>
    </xf>
    <xf numFmtId="166" fontId="17" fillId="6" borderId="1" applyAlignment="1" pivotButton="0" quotePrefix="0" xfId="3">
      <alignment vertical="center"/>
    </xf>
    <xf numFmtId="0" fontId="7" fillId="6" borderId="0" applyAlignment="1" pivotButton="0" quotePrefix="0" xfId="0">
      <alignment horizontal="left" vertical="center"/>
    </xf>
    <xf numFmtId="0" fontId="3" fillId="6" borderId="0" applyAlignment="1" pivotButton="0" quotePrefix="1" xfId="0">
      <alignment vertical="center"/>
    </xf>
    <xf numFmtId="185" fontId="4" fillId="6" borderId="0" applyAlignment="1" pivotButton="0" quotePrefix="0" xfId="0">
      <alignment horizontal="left"/>
    </xf>
    <xf numFmtId="185" fontId="7" fillId="6" borderId="0" applyAlignment="1" pivotButton="0" quotePrefix="0" xfId="0">
      <alignment horizontal="left"/>
    </xf>
    <xf numFmtId="0" fontId="19" fillId="6" borderId="1" applyAlignment="1" pivotButton="0" quotePrefix="0" xfId="0">
      <alignment horizontal="left" vertical="center"/>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0" fontId="17" fillId="6" borderId="0" applyAlignment="1" pivotButton="0" quotePrefix="0" xfId="0">
      <alignment horizontal="left" vertical="center" wrapText="1"/>
    </xf>
    <xf numFmtId="165" fontId="4" fillId="6" borderId="1" applyAlignment="1" pivotButton="0" quotePrefix="0" xfId="0">
      <alignment vertical="center"/>
    </xf>
    <xf numFmtId="165" fontId="17" fillId="6" borderId="1" applyAlignment="1" pivotButton="0" quotePrefix="0" xfId="3">
      <alignment horizontal="right" vertical="center"/>
    </xf>
    <xf numFmtId="0" fontId="19" fillId="6" borderId="9" applyAlignment="1" pivotButton="0" quotePrefix="0" xfId="0">
      <alignment horizontal="left" vertical="center"/>
    </xf>
    <xf numFmtId="170" fontId="24" fillId="6" borderId="9" applyAlignment="1" pivotButton="0" quotePrefix="0" xfId="0">
      <alignment vertical="center"/>
    </xf>
    <xf numFmtId="37" fontId="17" fillId="6" borderId="9" applyAlignment="1" pivotButton="0" quotePrefix="0" xfId="0">
      <alignment horizontal="right" vertical="center"/>
    </xf>
    <xf numFmtId="37" fontId="17" fillId="6" borderId="11" applyAlignment="1" pivotButton="0" quotePrefix="0" xfId="0">
      <alignment horizontal="right" vertical="center"/>
    </xf>
    <xf numFmtId="37" fontId="17" fillId="6" borderId="0" applyAlignment="1" pivotButton="0" quotePrefix="0" xfId="0">
      <alignment horizontal="right" vertical="center"/>
    </xf>
    <xf numFmtId="37" fontId="17" fillId="6" borderId="1" applyAlignment="1" pivotButton="0" quotePrefix="0" xfId="0">
      <alignment horizontal="righ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0" fontId="19" fillId="6" borderId="11" applyAlignment="1" pivotButton="0" quotePrefix="0" xfId="0">
      <alignment vertical="center"/>
    </xf>
    <xf numFmtId="3" fontId="17" fillId="6" borderId="11" applyAlignment="1" pivotButton="0" quotePrefix="0" xfId="0">
      <alignment vertical="center"/>
    </xf>
    <xf numFmtId="165" fontId="17" fillId="6" borderId="11" applyAlignment="1" pivotButton="0" quotePrefix="0" xfId="0">
      <alignment vertical="center"/>
    </xf>
    <xf numFmtId="0" fontId="17" fillId="6" borderId="1" pivotButton="0" quotePrefix="0" xfId="0"/>
    <xf numFmtId="0" fontId="17" fillId="6" borderId="11" applyAlignment="1" pivotButton="0" quotePrefix="0" xfId="0">
      <alignment horizontal="left" vertical="center" indent="1"/>
    </xf>
    <xf numFmtId="0" fontId="17" fillId="6" borderId="11" applyAlignment="1" pivotButton="0" quotePrefix="0" xfId="0">
      <alignment vertical="center"/>
    </xf>
    <xf numFmtId="0" fontId="24" fillId="6" borderId="1" applyAlignment="1" pivotButton="0" quotePrefix="0" xfId="0">
      <alignment horizontal="left" indent="1"/>
    </xf>
    <xf numFmtId="185" fontId="24" fillId="6" borderId="1" applyAlignment="1" pivotButton="0" quotePrefix="0" xfId="0">
      <alignment horizontal="left"/>
    </xf>
    <xf numFmtId="3" fontId="24" fillId="6" borderId="1" applyAlignment="1" pivotButton="0" quotePrefix="0" xfId="0">
      <alignment horizontal="left" indent="1"/>
    </xf>
    <xf numFmtId="168" fontId="32" fillId="6" borderId="0" pivotButton="0" quotePrefix="0" xfId="2"/>
    <xf numFmtId="0" fontId="0" fillId="6" borderId="0" applyAlignment="1" pivotButton="0" quotePrefix="0" xfId="0">
      <alignment horizontal="right"/>
    </xf>
    <xf numFmtId="169" fontId="7" fillId="3" borderId="0" pivotButton="0" quotePrefix="0" xfId="0"/>
    <xf numFmtId="167" fontId="7" fillId="3" borderId="0" pivotButton="0" quotePrefix="0" xfId="0"/>
    <xf numFmtId="169" fontId="4" fillId="6" borderId="0" pivotButton="0" quotePrefix="0" xfId="0"/>
    <xf numFmtId="167" fontId="4" fillId="6" borderId="0" pivotButton="0" quotePrefix="0" xfId="0"/>
    <xf numFmtId="170" fontId="23" fillId="0" borderId="0" applyAlignment="1" pivotButton="0" quotePrefix="0" xfId="0">
      <alignment vertical="center"/>
    </xf>
    <xf numFmtId="0" fontId="8" fillId="0" borderId="0" pivotButton="0" quotePrefix="0" xfId="0"/>
    <xf numFmtId="167" fontId="0" fillId="0" borderId="0" pivotButton="0" quotePrefix="0" xfId="4"/>
    <xf numFmtId="0" fontId="7" fillId="6" borderId="0" applyAlignment="1" pivotButton="0" quotePrefix="0" xfId="0">
      <alignment vertical="center"/>
    </xf>
    <xf numFmtId="0" fontId="7" fillId="6" borderId="0" applyAlignment="1" pivotButton="0" quotePrefix="0" xfId="0">
      <alignment horizontal="left" vertical="center" indent="1"/>
    </xf>
    <xf numFmtId="3" fontId="7" fillId="6" borderId="0" applyAlignment="1" pivotButton="0" quotePrefix="0" xfId="0">
      <alignment vertical="center"/>
    </xf>
    <xf numFmtId="0" fontId="7" fillId="6" borderId="0" applyAlignment="1" pivotButton="0" quotePrefix="0" xfId="0">
      <alignment horizontal="left" vertical="center" indent="2"/>
    </xf>
    <xf numFmtId="0" fontId="4" fillId="6" borderId="0" applyAlignment="1" pivotButton="0" quotePrefix="0" xfId="0">
      <alignment horizontal="left" vertical="center" indent="3"/>
    </xf>
    <xf numFmtId="184" fontId="4" fillId="6" borderId="0" applyAlignment="1" pivotButton="0" quotePrefix="0" xfId="0">
      <alignment vertical="center"/>
    </xf>
    <xf numFmtId="171" fontId="4" fillId="6" borderId="0" applyAlignment="1" pivotButton="0" quotePrefix="0" xfId="0">
      <alignment vertical="center"/>
    </xf>
    <xf numFmtId="171"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0" fontId="4" fillId="6" borderId="0" applyAlignment="1" pivotButton="0" quotePrefix="0" xfId="0">
      <alignment horizontal="left" vertical="center" indent="2"/>
    </xf>
    <xf numFmtId="0" fontId="4" fillId="6" borderId="0" applyAlignment="1" pivotButton="0" quotePrefix="0" xfId="0">
      <alignment horizontal="left" vertical="center" indent="1"/>
    </xf>
    <xf numFmtId="9" fontId="4" fillId="6" borderId="0" applyAlignment="1" pivotButton="0" quotePrefix="0" xfId="4">
      <alignment vertical="center"/>
    </xf>
    <xf numFmtId="0" fontId="7" fillId="6" borderId="0" applyAlignment="1" applyProtection="1" pivotButton="0" quotePrefix="0" xfId="0">
      <alignment horizontal="center"/>
      <protection locked="0" hidden="0"/>
    </xf>
    <xf numFmtId="165" fontId="7" fillId="6" borderId="0" pivotButton="0" quotePrefix="0" xfId="0"/>
    <xf numFmtId="170" fontId="32" fillId="6" borderId="0" pivotButton="0" quotePrefix="0" xfId="0"/>
    <xf numFmtId="9" fontId="41" fillId="6" borderId="14" applyAlignment="1" pivotButton="0" quotePrefix="0" xfId="4">
      <alignment horizontal="center" vertical="center" wrapText="1"/>
    </xf>
    <xf numFmtId="9" fontId="41" fillId="0" borderId="14" applyAlignment="1" pivotButton="0" quotePrefix="0" xfId="4">
      <alignment horizontal="center" vertical="center" wrapText="1"/>
    </xf>
    <xf numFmtId="9" fontId="41" fillId="0" borderId="0" applyAlignment="1" pivotButton="0" quotePrefix="0" xfId="4">
      <alignment horizontal="center" vertical="center" wrapText="1"/>
    </xf>
    <xf numFmtId="180" fontId="41" fillId="0" borderId="16" applyAlignment="1" pivotButton="0" quotePrefix="0" xfId="0">
      <alignment horizontal="center" vertical="center" wrapText="1"/>
    </xf>
    <xf numFmtId="3" fontId="41" fillId="0" borderId="16" applyAlignment="1" pivotButton="0" quotePrefix="0" xfId="0">
      <alignment horizontal="center" vertical="center" wrapText="1"/>
    </xf>
    <xf numFmtId="0" fontId="41" fillId="0" borderId="16" applyAlignment="1" pivotButton="0" quotePrefix="0" xfId="0">
      <alignment horizontal="center" vertical="center" wrapText="1"/>
    </xf>
    <xf numFmtId="2" fontId="41" fillId="0" borderId="16" applyAlignment="1" pivotButton="0" quotePrefix="0" xfId="4">
      <alignment horizontal="center" vertical="center" wrapText="1"/>
    </xf>
    <xf numFmtId="9" fontId="41" fillId="0" borderId="21" applyAlignment="1" pivotButton="0" quotePrefix="0" xfId="4">
      <alignment horizontal="center" vertical="center" wrapText="1"/>
    </xf>
    <xf numFmtId="164" fontId="43" fillId="3" borderId="8" applyAlignment="1" pivotButton="0" quotePrefix="0" xfId="0">
      <alignment horizontal="center" vertical="center" wrapText="1"/>
    </xf>
    <xf numFmtId="9" fontId="43" fillId="3" borderId="17" applyAlignment="1" pivotButton="0" quotePrefix="0" xfId="0">
      <alignment horizontal="center" vertical="center" wrapText="1"/>
    </xf>
    <xf numFmtId="164" fontId="43" fillId="3" borderId="17" applyAlignment="1" pivotButton="0" quotePrefix="0" xfId="0">
      <alignment horizontal="center" vertical="center" wrapText="1"/>
    </xf>
    <xf numFmtId="165" fontId="19" fillId="3" borderId="1" applyAlignment="1" pivotButton="0" quotePrefix="0" xfId="0">
      <alignment horizontal="center" vertical="center"/>
    </xf>
    <xf numFmtId="0" fontId="45" fillId="4" borderId="0" applyAlignment="1" pivotButton="0" quotePrefix="0" xfId="0">
      <alignment horizontal="center" vertical="center"/>
    </xf>
    <xf numFmtId="0" fontId="47" fillId="0" borderId="0" applyAlignment="1" pivotButton="0" quotePrefix="0" xfId="0">
      <alignment vertical="center"/>
    </xf>
    <xf numFmtId="0" fontId="47" fillId="0" borderId="2" applyAlignment="1" pivotButton="0" quotePrefix="0" xfId="0">
      <alignment horizontal="right" vertical="center"/>
    </xf>
    <xf numFmtId="0" fontId="47" fillId="0" borderId="2" applyAlignment="1" pivotButton="0" quotePrefix="0" xfId="0">
      <alignment horizontal="right" vertical="center" wrapText="1"/>
    </xf>
    <xf numFmtId="0" fontId="49" fillId="0" borderId="2" applyAlignment="1" pivotButton="0" quotePrefix="0" xfId="0">
      <alignment horizontal="right" vertical="center"/>
    </xf>
    <xf numFmtId="165" fontId="49" fillId="0" borderId="2" applyAlignment="1" pivotButton="0" quotePrefix="0" xfId="3">
      <alignment horizontal="right" vertical="center"/>
    </xf>
    <xf numFmtId="0" fontId="48" fillId="0" borderId="2" applyAlignment="1" pivotButton="0" quotePrefix="0" xfId="0">
      <alignment vertical="center" justifyLastLine="1"/>
    </xf>
    <xf numFmtId="0" fontId="48" fillId="0" borderId="0" applyAlignment="1" pivotButton="0" quotePrefix="0" xfId="0">
      <alignment horizontal="right" vertical="center" justifyLastLine="1"/>
    </xf>
    <xf numFmtId="0" fontId="49" fillId="0" borderId="2" applyAlignment="1" pivotButton="0" quotePrefix="0" xfId="0">
      <alignment horizontal="right" vertical="center" wrapText="1"/>
    </xf>
    <xf numFmtId="3" fontId="47" fillId="0" borderId="2" applyAlignment="1" pivotButton="0" quotePrefix="0" xfId="2">
      <alignment horizontal="right" vertical="center"/>
    </xf>
    <xf numFmtId="165" fontId="41" fillId="0" borderId="2" applyAlignment="1" pivotButton="0" quotePrefix="0" xfId="3">
      <alignment horizontal="right" vertical="center" wrapText="1"/>
    </xf>
    <xf numFmtId="0" fontId="50" fillId="3" borderId="6" applyAlignment="1" pivotButton="0" quotePrefix="0" xfId="0">
      <alignment vertical="center"/>
    </xf>
    <xf numFmtId="170" fontId="50" fillId="3" borderId="34" applyAlignment="1" pivotButton="0" quotePrefix="0" xfId="3">
      <alignment horizontal="right" vertical="center"/>
    </xf>
    <xf numFmtId="0" fontId="48" fillId="3" borderId="34" applyAlignment="1" pivotButton="0" quotePrefix="0" xfId="0">
      <alignment horizontal="right" vertical="center"/>
    </xf>
    <xf numFmtId="170" fontId="44" fillId="3" borderId="6" applyAlignment="1" pivotButton="0" quotePrefix="0" xfId="3">
      <alignment horizontal="right" vertical="center"/>
    </xf>
    <xf numFmtId="0" fontId="48" fillId="3" borderId="8" applyAlignment="1" pivotButton="0" quotePrefix="0" xfId="0">
      <alignment horizontal="right" vertical="center"/>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0" fontId="21" fillId="4" borderId="6" applyAlignment="1" pivotButton="0" quotePrefix="0" xfId="0">
      <alignment vertical="center"/>
    </xf>
    <xf numFmtId="0" fontId="47" fillId="4" borderId="34" applyAlignment="1" pivotButton="0" quotePrefix="0" xfId="0">
      <alignment horizontal="right" vertical="center"/>
    </xf>
    <xf numFmtId="0" fontId="48" fillId="4" borderId="34" applyAlignment="1" pivotButton="0" quotePrefix="0" xfId="0">
      <alignment horizontal="right" vertical="center"/>
    </xf>
    <xf numFmtId="0" fontId="48" fillId="4" borderId="6" applyAlignment="1" pivotButton="0" quotePrefix="0" xfId="0">
      <alignment horizontal="right" vertical="center"/>
    </xf>
    <xf numFmtId="0" fontId="48" fillId="4" borderId="2" applyAlignment="1" pivotButton="0" quotePrefix="0" xfId="0">
      <alignment horizontal="right" vertical="center"/>
    </xf>
    <xf numFmtId="0" fontId="48" fillId="4" borderId="0" applyAlignment="1" pivotButton="0" quotePrefix="0" xfId="0">
      <alignment horizontal="right" vertical="center"/>
    </xf>
    <xf numFmtId="0" fontId="48" fillId="4" borderId="37" applyAlignment="1" pivotButton="0" quotePrefix="0" xfId="0">
      <alignment horizontal="right" vertical="center"/>
    </xf>
    <xf numFmtId="0" fontId="47" fillId="0" borderId="6" applyAlignment="1" pivotButton="0" quotePrefix="0" xfId="0">
      <alignment vertical="center"/>
    </xf>
    <xf numFmtId="0" fontId="49" fillId="0" borderId="34" applyAlignment="1" pivotButton="0" quotePrefix="0" xfId="0">
      <alignment horizontal="right" vertical="center"/>
    </xf>
    <xf numFmtId="0" fontId="48" fillId="0" borderId="34" applyAlignment="1" pivotButton="0" quotePrefix="0" xfId="0">
      <alignment horizontal="right" vertical="center"/>
    </xf>
    <xf numFmtId="186" fontId="44" fillId="0" borderId="6" applyAlignment="1" pivotButton="0" quotePrefix="0" xfId="4">
      <alignment horizontal="right" vertical="center"/>
    </xf>
    <xf numFmtId="0" fontId="48" fillId="0" borderId="2" applyAlignment="1" pivotButton="0" quotePrefix="0" xfId="0">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0" fontId="47" fillId="0" borderId="0" applyAlignment="1" pivotButton="0" quotePrefix="0" xfId="0">
      <alignment horizontal="lef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0" fontId="50" fillId="3" borderId="24" applyAlignment="1" pivotButton="0" quotePrefix="0" xfId="0">
      <alignment vertical="center" wrapText="1"/>
    </xf>
    <xf numFmtId="0" fontId="52" fillId="3" borderId="35" applyAlignment="1" pivotButton="0" quotePrefix="0" xfId="0">
      <alignment horizontal="right" vertical="center" wrapText="1"/>
    </xf>
    <xf numFmtId="0" fontId="48" fillId="3" borderId="35" applyAlignment="1" pivotButton="0" quotePrefix="0" xfId="0">
      <alignment horizontal="right" vertical="center"/>
    </xf>
    <xf numFmtId="0" fontId="52" fillId="3" borderId="24" applyAlignment="1" pivotButton="0" quotePrefix="0" xfId="0">
      <alignment horizontal="right" vertical="center" wrapText="1"/>
    </xf>
    <xf numFmtId="0" fontId="52" fillId="3" borderId="9" applyAlignment="1" pivotButton="0" quotePrefix="0" xfId="0">
      <alignment horizontal="right" vertical="center" wrapText="1"/>
    </xf>
    <xf numFmtId="0" fontId="52" fillId="3" borderId="38" applyAlignment="1" pivotButton="0" quotePrefix="0" xfId="0">
      <alignment horizontal="right" vertical="center" wrapText="1"/>
    </xf>
    <xf numFmtId="9" fontId="50" fillId="3" borderId="24" applyAlignment="1" pivotButton="0" quotePrefix="0" xfId="4">
      <alignment vertical="center"/>
    </xf>
    <xf numFmtId="9" fontId="47" fillId="3" borderId="35" applyAlignment="1" pivotButton="0" quotePrefix="0" xfId="4">
      <alignment horizontal="right" vertical="center"/>
    </xf>
    <xf numFmtId="170" fontId="44" fillId="3" borderId="24" applyAlignment="1" pivotButton="0" quotePrefix="0" xfId="0">
      <alignment horizontal="right" vertical="center"/>
    </xf>
    <xf numFmtId="170" fontId="44" fillId="3" borderId="9" applyAlignment="1" pivotButton="0" quotePrefix="0" xfId="0">
      <alignment horizontal="right" vertical="center"/>
    </xf>
    <xf numFmtId="170" fontId="44" fillId="3" borderId="38" applyAlignment="1" pivotButton="0" quotePrefix="0" xfId="0">
      <alignment horizontal="right" vertical="center"/>
    </xf>
    <xf numFmtId="0" fontId="21" fillId="0" borderId="0" applyAlignment="1" pivotButton="0" quotePrefix="0" xfId="0">
      <alignment vertical="center"/>
    </xf>
    <xf numFmtId="0" fontId="54" fillId="0" borderId="2" applyAlignment="1" pivotButton="0" quotePrefix="0" xfId="0">
      <alignment horizontal="right" vertical="center"/>
    </xf>
    <xf numFmtId="0" fontId="55" fillId="0" borderId="2"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9" fontId="50" fillId="3" borderId="0" applyAlignment="1" pivotButton="0" quotePrefix="0" xfId="4">
      <alignment vertical="center"/>
    </xf>
    <xf numFmtId="1" fontId="52" fillId="3" borderId="2" applyAlignment="1" pivotButton="0" quotePrefix="0" xfId="0">
      <alignment horizontal="right" vertical="center"/>
    </xf>
    <xf numFmtId="0" fontId="44" fillId="3" borderId="2" applyAlignment="1" pivotButton="0" quotePrefix="0" xfId="0">
      <alignment horizontal="right" vertical="center"/>
    </xf>
    <xf numFmtId="186" fontId="43" fillId="3" borderId="0" applyAlignment="1" pivotButton="0" quotePrefix="0" xfId="4">
      <alignment horizontal="right" vertical="center"/>
    </xf>
    <xf numFmtId="186" fontId="43" fillId="3" borderId="14" applyAlignment="1" pivotButton="0" quotePrefix="0" xfId="4">
      <alignment horizontal="right" vertical="center"/>
    </xf>
    <xf numFmtId="0" fontId="54" fillId="0" borderId="0" applyAlignment="1" pivotButton="0" quotePrefix="0" xfId="0">
      <alignment horizontal="left" vertical="center"/>
    </xf>
    <xf numFmtId="1" fontId="56" fillId="0" borderId="2" applyAlignment="1" pivotButton="0" quotePrefix="0" xfId="0">
      <alignment horizontal="right" vertical="center" wrapText="1"/>
    </xf>
    <xf numFmtId="186" fontId="43" fillId="0" borderId="14" applyAlignment="1" pivotButton="0" quotePrefix="0" xfId="4">
      <alignment horizontal="right" vertical="center"/>
    </xf>
    <xf numFmtId="9" fontId="56" fillId="0" borderId="2" applyAlignment="1" pivotButton="0" quotePrefix="0" xfId="4">
      <alignment horizontal="right" vertical="center"/>
    </xf>
    <xf numFmtId="9" fontId="57" fillId="0" borderId="2" applyAlignment="1" pivotButton="0" quotePrefix="0" xfId="0">
      <alignment horizontal="right" vertical="center" wrapText="1"/>
    </xf>
    <xf numFmtId="0" fontId="54" fillId="6" borderId="0" applyAlignment="1" pivotButton="0" quotePrefix="0" xfId="0">
      <alignment horizontal="left" vertical="center"/>
    </xf>
    <xf numFmtId="9" fontId="56" fillId="6" borderId="2" applyAlignment="1" pivotButton="0" quotePrefix="0" xfId="4">
      <alignment horizontal="right" vertical="center" wrapText="1"/>
    </xf>
    <xf numFmtId="0" fontId="50" fillId="3" borderId="0" applyAlignment="1" pivotButton="0" quotePrefix="0" xfId="0">
      <alignment vertical="center"/>
    </xf>
    <xf numFmtId="3" fontId="44" fillId="3" borderId="2" applyAlignment="1" pivotButton="0" quotePrefix="0" xfId="2">
      <alignment horizontal="right" vertical="center"/>
    </xf>
    <xf numFmtId="1" fontId="50" fillId="3" borderId="0" applyAlignment="1" pivotButton="0" quotePrefix="0" xfId="0">
      <alignmen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9" fontId="56" fillId="0" borderId="2" applyAlignment="1" pivotButton="0" quotePrefix="0" xfId="4">
      <alignment horizontal="right" vertical="center" wrapText="1"/>
    </xf>
    <xf numFmtId="2" fontId="52" fillId="3" borderId="2" applyAlignment="1" pivotButton="0" quotePrefix="0" xfId="4">
      <alignment horizontal="right" vertical="center" wrapText="1"/>
    </xf>
    <xf numFmtId="2" fontId="52" fillId="3" borderId="2" applyAlignment="1" pivotButton="0" quotePrefix="0" xfId="4">
      <alignment horizontal="right" vertical="center"/>
    </xf>
    <xf numFmtId="1" fontId="56" fillId="6" borderId="2" applyAlignment="1" pivotButton="0" quotePrefix="0" xfId="0">
      <alignment horizontal="right" vertical="center"/>
    </xf>
    <xf numFmtId="10" fontId="56" fillId="0" borderId="2" applyAlignment="1" pivotButton="0" quotePrefix="0" xfId="4">
      <alignment horizontal="right" vertical="center"/>
    </xf>
    <xf numFmtId="168" fontId="56" fillId="0" borderId="2" applyAlignment="1" pivotButton="0" quotePrefix="0" xfId="2">
      <alignment horizontal="right" vertical="center"/>
    </xf>
    <xf numFmtId="0" fontId="43" fillId="3" borderId="2" applyAlignment="1" pivotButton="0" quotePrefix="0" xfId="0">
      <alignment horizontal="right" vertical="center"/>
    </xf>
    <xf numFmtId="186" fontId="52" fillId="3" borderId="0" applyAlignment="1" pivotButton="0" quotePrefix="0" xfId="4">
      <alignment horizontal="right" vertical="center"/>
    </xf>
    <xf numFmtId="186" fontId="52" fillId="3" borderId="14" applyAlignment="1" pivotButton="0" quotePrefix="0" xfId="4">
      <alignment horizontal="right" vertical="center"/>
    </xf>
    <xf numFmtId="0" fontId="56" fillId="0" borderId="2" applyAlignment="1" pivotButton="0" quotePrefix="0" xfId="4">
      <alignment horizontal="right" vertical="center" wrapText="1"/>
    </xf>
    <xf numFmtId="186" fontId="53" fillId="0" borderId="1" applyAlignment="1" pivotButton="0" quotePrefix="0" xfId="4">
      <alignment horizontal="right" vertical="center"/>
    </xf>
    <xf numFmtId="0" fontId="52" fillId="3" borderId="6" applyAlignment="1" pivotButton="0" quotePrefix="0" xfId="0">
      <alignment vertical="center"/>
    </xf>
    <xf numFmtId="0" fontId="52" fillId="3" borderId="34" applyAlignment="1" pivotButton="0" quotePrefix="0" xfId="0">
      <alignment vertical="center"/>
    </xf>
    <xf numFmtId="0" fontId="50" fillId="3" borderId="34" applyAlignment="1" pivotButton="0" quotePrefix="0" xfId="0">
      <alignment vertical="center"/>
    </xf>
    <xf numFmtId="186" fontId="50" fillId="3" borderId="6" applyAlignment="1" pivotButton="0" quotePrefix="0" xfId="3">
      <alignment vertical="center"/>
    </xf>
    <xf numFmtId="0" fontId="50" fillId="3" borderId="45" applyAlignment="1" pivotButton="0" quotePrefix="0" xfId="0">
      <alignment vertical="center"/>
    </xf>
    <xf numFmtId="186" fontId="50" fillId="3" borderId="1" applyAlignment="1" pivotButton="0" quotePrefix="0" xfId="3">
      <alignment vertical="center"/>
    </xf>
    <xf numFmtId="0" fontId="50" fillId="3" borderId="35" applyAlignment="1" pivotButton="0" quotePrefix="0" xfId="0">
      <alignment vertical="center"/>
    </xf>
    <xf numFmtId="186" fontId="50" fillId="3" borderId="38" applyAlignment="1" pivotButton="0" quotePrefix="0" xfId="3">
      <alignment vertical="center"/>
    </xf>
    <xf numFmtId="0" fontId="52" fillId="8" borderId="24" applyAlignment="1" pivotButton="0" quotePrefix="0" xfId="0">
      <alignment vertical="center"/>
    </xf>
    <xf numFmtId="0" fontId="52" fillId="8" borderId="35" applyAlignment="1" pivotButton="0" quotePrefix="0" xfId="0">
      <alignment vertical="center"/>
    </xf>
    <xf numFmtId="0" fontId="50" fillId="8" borderId="35" applyAlignment="1" pivotButton="0" quotePrefix="0" xfId="0">
      <alignment horizontal="right" vertical="center"/>
    </xf>
    <xf numFmtId="170" fontId="50" fillId="8" borderId="24"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0" fontId="44" fillId="3" borderId="2" applyAlignment="1" pivotButton="0" quotePrefix="0" xfId="0">
      <alignment horizontal="right" vertical="center" wrapText="1"/>
    </xf>
    <xf numFmtId="0" fontId="13" fillId="13" borderId="0" applyAlignment="1" pivotButton="0" quotePrefix="0" xfId="0">
      <alignment horizontal="left"/>
    </xf>
    <xf numFmtId="187" fontId="13" fillId="13" borderId="0" applyAlignment="1" pivotButton="0" quotePrefix="0" xfId="0">
      <alignment horizontal="center"/>
    </xf>
    <xf numFmtId="0" fontId="13" fillId="13" borderId="0" applyAlignment="1" pivotButton="0" quotePrefix="0" xfId="0">
      <alignment horizontal="center"/>
    </xf>
    <xf numFmtId="171" fontId="13" fillId="13" borderId="0" applyAlignment="1" pivotButton="0" quotePrefix="0" xfId="4">
      <alignment horizontal="center"/>
    </xf>
    <xf numFmtId="0" fontId="13" fillId="13" borderId="1" applyAlignment="1" pivotButton="0" quotePrefix="0" xfId="0">
      <alignment horizontal="left"/>
    </xf>
    <xf numFmtId="187" fontId="13" fillId="13" borderId="1" applyAlignment="1" pivotButton="0" quotePrefix="0" xfId="0">
      <alignment horizontal="center"/>
    </xf>
    <xf numFmtId="170" fontId="47" fillId="0" borderId="1" pivotButton="0" quotePrefix="0" xfId="0"/>
    <xf numFmtId="0" fontId="48" fillId="4" borderId="9" applyAlignment="1" pivotButton="0" quotePrefix="0" xfId="0">
      <alignment horizontal="right" vertical="center"/>
    </xf>
    <xf numFmtId="0" fontId="48" fillId="3" borderId="0" applyAlignment="1" pivotButton="0" quotePrefix="0" xfId="0">
      <alignment horizontal="right" vertical="center"/>
    </xf>
    <xf numFmtId="170" fontId="44" fillId="3" borderId="0" applyAlignment="1" pivotButton="0" quotePrefix="0" xfId="3">
      <alignment horizontal="right" vertical="center"/>
    </xf>
    <xf numFmtId="0" fontId="48" fillId="0" borderId="0" applyAlignment="1" pivotButton="0" quotePrefix="0" xfId="0">
      <alignment horizontal="right" vertical="center"/>
    </xf>
    <xf numFmtId="186" fontId="51" fillId="0" borderId="0" applyAlignment="1" pivotButton="0" quotePrefix="0" xfId="4">
      <alignment horizontal="right" vertical="center"/>
    </xf>
    <xf numFmtId="0" fontId="53" fillId="0" borderId="0" applyAlignment="1" pivotButton="0" quotePrefix="0" xfId="0">
      <alignment horizontal="right" vertical="center"/>
    </xf>
    <xf numFmtId="180" fontId="53" fillId="0" borderId="0" applyAlignment="1" pivotButton="0" quotePrefix="0" xfId="0">
      <alignment horizontal="right" vertical="center"/>
    </xf>
    <xf numFmtId="0" fontId="52" fillId="3" borderId="0" applyAlignment="1" pivotButton="0" quotePrefix="0" xfId="0">
      <alignment horizontal="right" vertical="center" wrapText="1"/>
    </xf>
    <xf numFmtId="170" fontId="44" fillId="3" borderId="0" applyAlignment="1" pivotButton="0" quotePrefix="0" xfId="0">
      <alignment horizontal="right" vertical="center"/>
    </xf>
    <xf numFmtId="0" fontId="55" fillId="0" borderId="0" applyAlignment="1" pivotButton="0" quotePrefix="0" xfId="0">
      <alignment horizontal="right" vertical="center"/>
    </xf>
    <xf numFmtId="0" fontId="44" fillId="3" borderId="0" applyAlignment="1" pivotButton="0" quotePrefix="0" xfId="0">
      <alignment horizontal="right" vertical="center"/>
    </xf>
    <xf numFmtId="1" fontId="56" fillId="0" borderId="0" applyAlignment="1" pivotButton="0" quotePrefix="0" xfId="0">
      <alignment horizontal="right" vertical="center" wrapText="1"/>
    </xf>
    <xf numFmtId="9" fontId="56" fillId="0" borderId="0" applyAlignment="1" pivotButton="0" quotePrefix="0" xfId="4">
      <alignment horizontal="right" vertical="center"/>
    </xf>
    <xf numFmtId="9" fontId="57" fillId="0" borderId="0" applyAlignment="1" pivotButton="0" quotePrefix="0" xfId="0">
      <alignment horizontal="right" vertical="center" wrapText="1"/>
    </xf>
    <xf numFmtId="9" fontId="56" fillId="6" borderId="0" applyAlignment="1" pivotButton="0" quotePrefix="0" xfId="4">
      <alignment horizontal="right" vertical="center" wrapText="1"/>
    </xf>
    <xf numFmtId="3" fontId="44" fillId="3" borderId="0" applyAlignment="1" pivotButton="0" quotePrefix="0" xfId="2">
      <alignment horizontal="right" vertical="center"/>
    </xf>
    <xf numFmtId="9" fontId="56" fillId="0" borderId="0" applyAlignment="1" pivotButton="0" quotePrefix="0" xfId="4">
      <alignment horizontal="right" vertical="center" wrapText="1"/>
    </xf>
    <xf numFmtId="2" fontId="52" fillId="3" borderId="0" applyAlignment="1" pivotButton="0" quotePrefix="0" xfId="4">
      <alignment horizontal="right" vertical="center"/>
    </xf>
    <xf numFmtId="10" fontId="56" fillId="0" borderId="0" applyAlignment="1" pivotButton="0" quotePrefix="0" xfId="4">
      <alignment horizontal="right" vertical="center"/>
    </xf>
    <xf numFmtId="168" fontId="56" fillId="0" borderId="0" applyAlignment="1" pivotButton="0" quotePrefix="0" xfId="2">
      <alignment horizontal="right" vertical="center"/>
    </xf>
    <xf numFmtId="3" fontId="57" fillId="0" borderId="0" applyAlignment="1" pivotButton="0" quotePrefix="0" xfId="0">
      <alignment horizontal="right" vertical="center" wrapText="1"/>
    </xf>
    <xf numFmtId="186" fontId="50" fillId="3" borderId="0" applyAlignment="1" pivotButton="0" quotePrefix="0" xfId="3">
      <alignment vertical="center"/>
    </xf>
    <xf numFmtId="0" fontId="50" fillId="8" borderId="0" applyAlignment="1" pivotButton="0" quotePrefix="0" xfId="0">
      <alignment horizontal="right" vertical="center"/>
    </xf>
    <xf numFmtId="170" fontId="50" fillId="8" borderId="0" applyAlignment="1" pivotButton="0" quotePrefix="0" xfId="3">
      <alignment vertical="center"/>
    </xf>
    <xf numFmtId="169" fontId="48" fillId="6" borderId="2" applyAlignment="1" pivotButton="0" quotePrefix="0" xfId="3">
      <alignment horizontal="right" vertical="top" justifyLastLine="1"/>
    </xf>
    <xf numFmtId="169" fontId="48" fillId="6" borderId="0" applyAlignment="1" pivotButton="0" quotePrefix="0" xfId="3">
      <alignment horizontal="right" vertical="top" justifyLastLine="1"/>
    </xf>
    <xf numFmtId="0" fontId="47" fillId="6" borderId="0" pivotButton="0" quotePrefix="0" xfId="0"/>
    <xf numFmtId="0" fontId="47" fillId="6" borderId="0" applyAlignment="1" pivotButton="0" quotePrefix="0" xfId="0">
      <alignment vertical="top"/>
    </xf>
    <xf numFmtId="0" fontId="50" fillId="3" borderId="6" pivotButton="0" quotePrefix="0" xfId="0"/>
    <xf numFmtId="170" fontId="44" fillId="3" borderId="6" applyAlignment="1" pivotButton="0" quotePrefix="0" xfId="3">
      <alignment horizontal="right" vertical="top"/>
    </xf>
    <xf numFmtId="170" fontId="44" fillId="3" borderId="37" applyAlignment="1" pivotButton="0" quotePrefix="0" xfId="3">
      <alignment horizontal="right" vertical="top"/>
    </xf>
    <xf numFmtId="0" fontId="48" fillId="3" borderId="6" applyAlignment="1" pivotButton="0" quotePrefix="0" xfId="0">
      <alignment horizontal="right" vertical="top"/>
    </xf>
    <xf numFmtId="0" fontId="48" fillId="4" borderId="6" applyAlignment="1" pivotButton="0" quotePrefix="0" xfId="0">
      <alignment horizontal="right" vertical="top"/>
    </xf>
    <xf numFmtId="0" fontId="47" fillId="6" borderId="6" pivotButton="0" quotePrefix="0" xfId="0"/>
    <xf numFmtId="186" fontId="51" fillId="6" borderId="6" applyAlignment="1" pivotButton="0" quotePrefix="0" xfId="4">
      <alignment horizontal="right" vertical="top"/>
    </xf>
    <xf numFmtId="0" fontId="48" fillId="6" borderId="6" applyAlignment="1" pivotButton="0" quotePrefix="0" xfId="0">
      <alignment horizontal="right" vertical="top"/>
    </xf>
    <xf numFmtId="0" fontId="47" fillId="6" borderId="0" applyAlignment="1" pivotButton="0" quotePrefix="0" xfId="0">
      <alignment horizontal="left" indent="2"/>
    </xf>
    <xf numFmtId="170" fontId="52" fillId="6" borderId="0" applyAlignment="1" pivotButton="0" quotePrefix="0" xfId="3">
      <alignment horizontal="right" vertical="top"/>
    </xf>
    <xf numFmtId="0" fontId="48" fillId="6" borderId="0" applyAlignment="1" pivotButton="0" quotePrefix="0" xfId="0">
      <alignment horizontal="right" vertical="top"/>
    </xf>
    <xf numFmtId="186" fontId="43" fillId="6" borderId="0" applyAlignment="1" pivotButton="0" quotePrefix="0" xfId="4">
      <alignment horizontal="right" vertical="top"/>
    </xf>
    <xf numFmtId="0" fontId="53" fillId="6" borderId="0" applyAlignment="1" pivotButton="0" quotePrefix="0" xfId="0">
      <alignment horizontal="right" vertical="top"/>
    </xf>
    <xf numFmtId="0" fontId="50" fillId="3" borderId="24" applyAlignment="1" pivotButton="0" quotePrefix="0" xfId="0">
      <alignment wrapText="1"/>
    </xf>
    <xf numFmtId="0" fontId="52" fillId="3" borderId="24" applyAlignment="1" pivotButton="0" quotePrefix="0" xfId="0">
      <alignment horizontal="right" vertical="top" wrapText="1"/>
    </xf>
    <xf numFmtId="0" fontId="48" fillId="3" borderId="24" applyAlignment="1" pivotButton="0" quotePrefix="0" xfId="0">
      <alignment horizontal="right" vertical="top"/>
    </xf>
    <xf numFmtId="9" fontId="50" fillId="3" borderId="24" pivotButton="0" quotePrefix="0" xfId="4"/>
    <xf numFmtId="170" fontId="44" fillId="3" borderId="24" applyAlignment="1" pivotButton="0" quotePrefix="0" xfId="0">
      <alignment horizontal="right" vertical="top"/>
    </xf>
    <xf numFmtId="170" fontId="44" fillId="3" borderId="38" applyAlignment="1" pivotButton="0" quotePrefix="0" xfId="0">
      <alignment horizontal="right" vertical="top"/>
    </xf>
    <xf numFmtId="186" fontId="55" fillId="0" borderId="0" applyAlignment="1" pivotButton="0" quotePrefix="0" xfId="0">
      <alignment horizontal="right" vertical="top"/>
    </xf>
    <xf numFmtId="0" fontId="55" fillId="0" borderId="0" applyAlignment="1" pivotButton="0" quotePrefix="0" xfId="0">
      <alignment horizontal="right" vertical="top"/>
    </xf>
    <xf numFmtId="186" fontId="43" fillId="3" borderId="0" applyAlignment="1" pivotButton="0" quotePrefix="0" xfId="4">
      <alignment horizontal="right" vertical="top"/>
    </xf>
    <xf numFmtId="0" fontId="44" fillId="3" borderId="0" applyAlignment="1" pivotButton="0" quotePrefix="0" xfId="0">
      <alignment horizontal="right" vertical="top"/>
    </xf>
    <xf numFmtId="3" fontId="44" fillId="3" borderId="0" applyAlignment="1" pivotButton="0" quotePrefix="0" xfId="2">
      <alignment horizontal="right" vertical="top"/>
    </xf>
    <xf numFmtId="2" fontId="44" fillId="3" borderId="0" applyAlignment="1" pivotButton="0" quotePrefix="0" xfId="0">
      <alignment horizontal="right" vertical="top"/>
    </xf>
    <xf numFmtId="186" fontId="52" fillId="3" borderId="0" applyAlignment="1" pivotButton="0" quotePrefix="0" xfId="4">
      <alignment horizontal="right" vertical="top"/>
    </xf>
    <xf numFmtId="0" fontId="43" fillId="3" borderId="0" applyAlignment="1" pivotButton="0" quotePrefix="0" xfId="0">
      <alignment horizontal="right" vertical="top"/>
    </xf>
    <xf numFmtId="0" fontId="52" fillId="3" borderId="6" pivotButton="0" quotePrefix="0" xfId="0"/>
    <xf numFmtId="186" fontId="50" fillId="3" borderId="6" pivotButton="0" quotePrefix="0" xfId="3"/>
    <xf numFmtId="0" fontId="52" fillId="8" borderId="24" pivotButton="0" quotePrefix="0" xfId="0"/>
    <xf numFmtId="170" fontId="50" fillId="8" borderId="64" pivotButton="0" quotePrefix="0" xfId="3"/>
    <xf numFmtId="170" fontId="50" fillId="8" borderId="39" pivotButton="0" quotePrefix="0" xfId="3"/>
    <xf numFmtId="0" fontId="50" fillId="8" borderId="64" applyAlignment="1" pivotButton="0" quotePrefix="0" xfId="0">
      <alignment horizontal="right" vertical="top"/>
    </xf>
    <xf numFmtId="0" fontId="39" fillId="2" borderId="0" applyAlignment="1" pivotButton="0" quotePrefix="0" xfId="0">
      <alignment horizontal="center" justifyLastLine="1"/>
    </xf>
    <xf numFmtId="167" fontId="17" fillId="6" borderId="0" applyAlignment="1" pivotButton="0" quotePrefix="0" xfId="3">
      <alignment horizontal="center"/>
    </xf>
    <xf numFmtId="171" fontId="19" fillId="0" borderId="0" applyAlignment="1" pivotButton="0" quotePrefix="0" xfId="4">
      <alignment horizontal="center"/>
    </xf>
    <xf numFmtId="0" fontId="18" fillId="6" borderId="0" applyAlignment="1" pivotButton="0" quotePrefix="0" xfId="0">
      <alignment vertical="center"/>
    </xf>
    <xf numFmtId="0" fontId="15" fillId="3" borderId="11" applyAlignment="1" pivotButton="0" quotePrefix="0" xfId="0">
      <alignment vertical="center"/>
    </xf>
    <xf numFmtId="0" fontId="15" fillId="3" borderId="1" applyAlignment="1" pivotButton="0" quotePrefix="0" xfId="0">
      <alignment vertical="center"/>
    </xf>
    <xf numFmtId="169" fontId="0" fillId="0" borderId="0" pivotButton="0" quotePrefix="0" xfId="0"/>
    <xf numFmtId="43" fontId="0" fillId="0" borderId="0" pivotButton="0" quotePrefix="0" xfId="2"/>
    <xf numFmtId="0" fontId="1" fillId="6" borderId="0" pivotButton="0" quotePrefix="0" xfId="8"/>
    <xf numFmtId="0" fontId="1" fillId="6" borderId="0" applyAlignment="1" pivotButton="0" quotePrefix="0" xfId="8">
      <alignment horizontal="right"/>
    </xf>
    <xf numFmtId="0" fontId="1" fillId="6" borderId="0" applyAlignment="1" pivotButton="0" quotePrefix="0" xfId="8">
      <alignment horizontal="center"/>
    </xf>
    <xf numFmtId="1" fontId="1" fillId="6" borderId="0" applyAlignment="1" pivotButton="0" quotePrefix="0" xfId="8">
      <alignment horizontal="right"/>
    </xf>
    <xf numFmtId="3" fontId="1" fillId="6" borderId="0" applyAlignment="1" pivotButton="0" quotePrefix="0" xfId="8">
      <alignment horizontal="right"/>
    </xf>
    <xf numFmtId="3" fontId="1" fillId="6" borderId="0" applyAlignment="1" pivotButton="0" quotePrefix="0" xfId="8">
      <alignment horizontal="center"/>
    </xf>
    <xf numFmtId="188" fontId="1" fillId="6" borderId="0" pivotButton="0" quotePrefix="0" xfId="8"/>
    <xf numFmtId="14" fontId="1" fillId="6" borderId="0" pivotButton="0" quotePrefix="0" xfId="8"/>
    <xf numFmtId="2" fontId="1" fillId="6" borderId="0" applyAlignment="1" pivotButton="0" quotePrefix="0" xfId="8">
      <alignment horizontal="center" vertical="center"/>
    </xf>
    <xf numFmtId="0" fontId="1" fillId="6" borderId="0" applyAlignment="1" pivotButton="0" quotePrefix="0" xfId="8">
      <alignment horizontal="center" vertical="center"/>
    </xf>
    <xf numFmtId="9" fontId="1" fillId="6" borderId="0" applyAlignment="1" pivotButton="0" quotePrefix="0" xfId="4">
      <alignment horizontal="center" vertical="center"/>
    </xf>
    <xf numFmtId="0" fontId="5" fillId="6" borderId="0" applyAlignment="1" pivotButton="0" quotePrefix="0" xfId="8">
      <alignment horizontal="center" vertical="center"/>
    </xf>
    <xf numFmtId="0" fontId="1" fillId="6" borderId="1" pivotButton="0" quotePrefix="0" xfId="8"/>
    <xf numFmtId="167" fontId="5" fillId="6" borderId="1" applyAlignment="1" pivotButton="0" quotePrefix="0" xfId="8">
      <alignment horizontal="right"/>
    </xf>
    <xf numFmtId="0" fontId="1" fillId="6" borderId="1" applyAlignment="1" pivotButton="0" quotePrefix="0" xfId="8">
      <alignment horizontal="center"/>
    </xf>
    <xf numFmtId="1" fontId="1" fillId="6" borderId="1" applyAlignment="1" pivotButton="0" quotePrefix="0" xfId="8">
      <alignment horizontal="right"/>
    </xf>
    <xf numFmtId="3" fontId="1" fillId="6" borderId="1" applyAlignment="1" pivotButton="0" quotePrefix="0" xfId="8">
      <alignment horizontal="right"/>
    </xf>
    <xf numFmtId="3" fontId="1" fillId="6" borderId="1" applyAlignment="1" pivotButton="0" quotePrefix="0" xfId="8">
      <alignment horizontal="center"/>
    </xf>
    <xf numFmtId="188" fontId="1" fillId="6" borderId="1" pivotButton="0" quotePrefix="0" xfId="8"/>
    <xf numFmtId="14" fontId="1" fillId="6" borderId="1" pivotButton="0" quotePrefix="0" xfId="8"/>
    <xf numFmtId="0" fontId="0" fillId="6" borderId="1" pivotButton="0" quotePrefix="0" xfId="8"/>
    <xf numFmtId="167" fontId="5" fillId="6" borderId="0" applyAlignment="1" pivotButton="0" quotePrefix="0" xfId="8">
      <alignment horizontal="right"/>
    </xf>
    <xf numFmtId="10" fontId="1" fillId="6" borderId="0" applyAlignment="1" pivotButton="0" quotePrefix="0" xfId="8">
      <alignment horizontal="center"/>
    </xf>
    <xf numFmtId="0" fontId="0" fillId="6" borderId="0" pivotButton="0" quotePrefix="0" xfId="8"/>
    <xf numFmtId="10" fontId="1" fillId="6" borderId="1" applyAlignment="1" pivotButton="0" quotePrefix="0" xfId="8">
      <alignment horizontal="center" vertical="center"/>
    </xf>
    <xf numFmtId="0" fontId="1" fillId="6" borderId="0" applyAlignment="1" pivotButton="0" quotePrefix="0" xfId="8">
      <alignment vertical="center"/>
    </xf>
    <xf numFmtId="167" fontId="1" fillId="6" borderId="0" applyAlignment="1" pivotButton="0" quotePrefix="0" xfId="8">
      <alignment horizontal="right" vertical="center"/>
    </xf>
    <xf numFmtId="10" fontId="1" fillId="6" borderId="0" applyAlignment="1" pivotButton="0" quotePrefix="0" xfId="8">
      <alignment horizontal="center" vertical="center"/>
    </xf>
    <xf numFmtId="0" fontId="1" fillId="6" borderId="9" applyAlignment="1" pivotButton="0" quotePrefix="0" xfId="8">
      <alignment horizontal="right" vertical="center"/>
    </xf>
    <xf numFmtId="1" fontId="44" fillId="6" borderId="9" applyAlignment="1" pivotButton="0" quotePrefix="0" xfId="8">
      <alignment horizontal="right" vertical="center" wrapText="1"/>
    </xf>
    <xf numFmtId="1" fontId="44" fillId="6" borderId="9" applyAlignment="1" pivotButton="0" quotePrefix="0" xfId="8">
      <alignment horizontal="center" vertical="center" wrapText="1"/>
    </xf>
    <xf numFmtId="1" fontId="44" fillId="14" borderId="9" applyAlignment="1" pivotButton="0" quotePrefix="0" xfId="8">
      <alignment horizontal="center" vertical="center" wrapText="1"/>
    </xf>
    <xf numFmtId="2" fontId="44" fillId="14" borderId="9" applyAlignment="1" pivotButton="0" quotePrefix="0" xfId="8">
      <alignment horizontal="center" vertical="center" wrapText="1"/>
    </xf>
    <xf numFmtId="3" fontId="44" fillId="14" borderId="9" applyAlignment="1" pivotButton="0" quotePrefix="0" xfId="8">
      <alignment horizontal="center" vertical="center" wrapText="1"/>
    </xf>
    <xf numFmtId="3" fontId="44" fillId="6" borderId="9" applyAlignment="1" pivotButton="0" quotePrefix="0" xfId="8">
      <alignment horizontal="right" vertical="center"/>
    </xf>
    <xf numFmtId="0" fontId="44" fillId="6" borderId="9" applyAlignment="1" pivotButton="0" quotePrefix="0" xfId="8">
      <alignment horizontal="left" vertical="center"/>
    </xf>
    <xf numFmtId="1" fontId="44" fillId="6" borderId="1" applyAlignment="1" pivotButton="0" quotePrefix="0" xfId="8">
      <alignment horizontal="center" vertical="center" wrapText="1"/>
    </xf>
    <xf numFmtId="1" fontId="44" fillId="14" borderId="1" applyAlignment="1" pivotButton="0" quotePrefix="0" xfId="8">
      <alignment horizontal="center" vertical="center" wrapText="1"/>
    </xf>
    <xf numFmtId="1" fontId="44" fillId="6" borderId="1" applyAlignment="1" pivotButton="0" quotePrefix="0" xfId="8">
      <alignment horizontal="center"/>
    </xf>
    <xf numFmtId="3" fontId="44" fillId="6" borderId="1" applyAlignment="1" pivotButton="0" quotePrefix="0" xfId="8">
      <alignment horizontal="center" wrapText="1"/>
    </xf>
    <xf numFmtId="3" fontId="44" fillId="6" borderId="1" applyAlignment="1" pivotButton="0" quotePrefix="0" xfId="8">
      <alignment horizontal="center"/>
    </xf>
    <xf numFmtId="188" fontId="44" fillId="6" borderId="1" applyAlignment="1" pivotButton="0" quotePrefix="0" xfId="8">
      <alignment horizontal="center" wrapText="1"/>
    </xf>
    <xf numFmtId="14" fontId="44" fillId="6" borderId="1" applyAlignment="1" pivotButton="0" quotePrefix="0" xfId="8">
      <alignment horizontal="center" wrapText="1"/>
    </xf>
    <xf numFmtId="0" fontId="44" fillId="6" borderId="1" applyAlignment="1" pivotButton="0" quotePrefix="0" xfId="8">
      <alignment horizontal="center" wrapText="1"/>
    </xf>
    <xf numFmtId="0" fontId="44" fillId="6" borderId="1" applyAlignment="1" pivotButton="0" quotePrefix="0" xfId="8">
      <alignment horizontal="center"/>
    </xf>
    <xf numFmtId="0" fontId="5" fillId="0" borderId="18" pivotButton="0" quotePrefix="0" xfId="0"/>
    <xf numFmtId="169" fontId="5" fillId="0" borderId="11" pivotButton="0" quotePrefix="0" xfId="0"/>
    <xf numFmtId="167" fontId="5" fillId="0" borderId="36" pivotButton="0" quotePrefix="0" xfId="0"/>
    <xf numFmtId="0" fontId="5" fillId="0" borderId="3" pivotButton="0" quotePrefix="0" xfId="0"/>
    <xf numFmtId="169" fontId="5" fillId="0" borderId="1" pivotButton="0" quotePrefix="0" xfId="0"/>
    <xf numFmtId="167" fontId="5" fillId="0" borderId="4" pivotButton="0" quotePrefix="0" xfId="0"/>
    <xf numFmtId="0" fontId="44" fillId="6" borderId="9" applyAlignment="1" pivotButton="0" quotePrefix="0" xfId="8">
      <alignment horizontal="center" vertical="center" wrapText="1"/>
    </xf>
    <xf numFmtId="189" fontId="5" fillId="6" borderId="0" applyAlignment="1" pivotButton="0" quotePrefix="0" xfId="8">
      <alignment wrapText="1"/>
    </xf>
    <xf numFmtId="189" fontId="5" fillId="6" borderId="1" applyAlignment="1" pivotButton="0" quotePrefix="0" xfId="8">
      <alignment wrapText="1"/>
    </xf>
    <xf numFmtId="188" fontId="1" fillId="6" borderId="0" applyAlignment="1" pivotButton="0" quotePrefix="0" xfId="8">
      <alignment wrapText="1"/>
    </xf>
    <xf numFmtId="2" fontId="29" fillId="6" borderId="0" applyAlignment="1" pivotButton="0" quotePrefix="0" xfId="0">
      <alignment horizontal="right"/>
    </xf>
    <xf numFmtId="9" fontId="29" fillId="6" borderId="0" applyAlignment="1" pivotButton="0" quotePrefix="0" xfId="4">
      <alignment horizontal="right"/>
    </xf>
    <xf numFmtId="0" fontId="18" fillId="6" borderId="0" applyAlignment="1" pivotButton="0" quotePrefix="0" xfId="0">
      <alignment horizontal="center" vertical="center"/>
    </xf>
    <xf numFmtId="0" fontId="18" fillId="6" borderId="0" applyAlignment="1" pivotButton="0" quotePrefix="0" xfId="0">
      <alignment horizontal="center"/>
    </xf>
    <xf numFmtId="0" fontId="15" fillId="3" borderId="11" applyAlignment="1" pivotButton="0" quotePrefix="0" xfId="0">
      <alignment horizontal="center" vertical="center"/>
    </xf>
    <xf numFmtId="0" fontId="15" fillId="3" borderId="11" applyAlignment="1" pivotButton="0" quotePrefix="0" xfId="0">
      <alignment horizontal="center"/>
    </xf>
    <xf numFmtId="10" fontId="15" fillId="3" borderId="1" applyAlignment="1" pivotButton="0" quotePrefix="0" xfId="0">
      <alignment horizontal="center" vertical="center"/>
    </xf>
    <xf numFmtId="10" fontId="15" fillId="3" borderId="1" applyAlignment="1" pivotButton="0" quotePrefix="0" xfId="0">
      <alignment horizontal="center"/>
    </xf>
    <xf numFmtId="3" fontId="48" fillId="6" borderId="2" applyAlignment="1" pivotButton="0" quotePrefix="0" xfId="0">
      <alignment horizontal="right" vertical="top" justifyLastLine="1"/>
    </xf>
    <xf numFmtId="1" fontId="48" fillId="6" borderId="14" applyAlignment="1" pivotButton="0" quotePrefix="0" xfId="0">
      <alignment horizontal="right" vertical="top" justifyLastLine="1"/>
    </xf>
    <xf numFmtId="1" fontId="49" fillId="6" borderId="14" applyAlignment="1" pivotButton="0" quotePrefix="0" xfId="3">
      <alignment horizontal="right" vertical="top" justifyLastLine="1"/>
    </xf>
    <xf numFmtId="170" fontId="50" fillId="8" borderId="38" applyAlignment="1" pivotButton="0" quotePrefix="0" xfId="3">
      <alignment horizontal="right"/>
    </xf>
    <xf numFmtId="0" fontId="47" fillId="6" borderId="0" applyAlignment="1" pivotButton="0" quotePrefix="0" xfId="0">
      <alignment wrapText="1"/>
    </xf>
    <xf numFmtId="0" fontId="0" fillId="0" borderId="0" applyAlignment="1" pivotButton="0" quotePrefix="0" xfId="0">
      <alignment wrapText="1"/>
    </xf>
    <xf numFmtId="3" fontId="48" fillId="6" borderId="0" applyAlignment="1" pivotButton="0" quotePrefix="0" xfId="0">
      <alignment horizontal="right" vertical="top" justifyLastLine="1"/>
    </xf>
    <xf numFmtId="0" fontId="47" fillId="6" borderId="15" applyAlignment="1" pivotButton="0" quotePrefix="0" xfId="0">
      <alignment horizontal="right" vertical="top" wrapText="1"/>
    </xf>
    <xf numFmtId="0" fontId="47" fillId="6" borderId="15" applyAlignment="1" pivotButton="0" quotePrefix="0" xfId="0">
      <alignment horizontal="right" vertical="top"/>
    </xf>
    <xf numFmtId="0" fontId="49" fillId="6" borderId="15" applyAlignment="1" pivotButton="0" quotePrefix="0" xfId="0">
      <alignment horizontal="right" vertical="top"/>
    </xf>
    <xf numFmtId="169" fontId="49" fillId="6" borderId="15" applyAlignment="1" pivotButton="0" quotePrefix="0" xfId="0">
      <alignment horizontal="right" vertical="top"/>
    </xf>
    <xf numFmtId="0" fontId="49" fillId="6" borderId="15" applyAlignment="1" pivotButton="0" quotePrefix="0" xfId="0">
      <alignment horizontal="right" vertical="top" wrapText="1"/>
    </xf>
    <xf numFmtId="37" fontId="47" fillId="6" borderId="15" applyAlignment="1" pivotButton="0" quotePrefix="0" xfId="2">
      <alignment horizontal="right" vertical="top"/>
    </xf>
    <xf numFmtId="3" fontId="47" fillId="6" borderId="15" applyAlignment="1" pivotButton="0" quotePrefix="0" xfId="2">
      <alignment horizontal="right" vertical="top"/>
    </xf>
    <xf numFmtId="1" fontId="41" fillId="6" borderId="15" applyAlignment="1" pivotButton="0" quotePrefix="0" xfId="3">
      <alignment horizontal="right" vertical="top"/>
    </xf>
    <xf numFmtId="165" fontId="41" fillId="6" borderId="15" applyAlignment="1" pivotButton="0" quotePrefix="0" xfId="3">
      <alignment horizontal="right" vertical="top" wrapText="1"/>
    </xf>
    <xf numFmtId="170" fontId="50" fillId="3" borderId="65" applyAlignment="1" pivotButton="0" quotePrefix="0" xfId="3">
      <alignment horizontal="right" vertical="top"/>
    </xf>
    <xf numFmtId="1" fontId="49" fillId="6" borderId="65" applyAlignment="1" pivotButton="0" quotePrefix="0" xfId="0">
      <alignment horizontal="right" vertical="top"/>
    </xf>
    <xf numFmtId="0" fontId="52" fillId="3" borderId="66" applyAlignment="1" pivotButton="0" quotePrefix="0" xfId="0">
      <alignment horizontal="right" vertical="top" wrapText="1"/>
    </xf>
    <xf numFmtId="9" fontId="47" fillId="3" borderId="66" applyAlignment="1" pivotButton="0" quotePrefix="0" xfId="4">
      <alignment horizontal="right" vertical="top"/>
    </xf>
    <xf numFmtId="0" fontId="52" fillId="3" borderId="65" pivotButton="0" quotePrefix="0" xfId="0"/>
    <xf numFmtId="0" fontId="52" fillId="8" borderId="66" pivotButton="0" quotePrefix="0" xfId="0"/>
    <xf numFmtId="9" fontId="50" fillId="6" borderId="0" pivotButton="0" quotePrefix="0" xfId="4"/>
    <xf numFmtId="1" fontId="50" fillId="6" borderId="0" pivotButton="0" quotePrefix="0" xfId="0"/>
    <xf numFmtId="1" fontId="49" fillId="6" borderId="15" applyAlignment="1" pivotButton="0" quotePrefix="0" xfId="0">
      <alignment horizontal="right" vertical="top"/>
    </xf>
    <xf numFmtId="3" fontId="48" fillId="6" borderId="15" applyAlignment="1" pivotButton="0" quotePrefix="0" xfId="2">
      <alignment horizontal="right" vertical="top"/>
    </xf>
    <xf numFmtId="2" fontId="49" fillId="6" borderId="15" applyAlignment="1" pivotButton="0" quotePrefix="0" xfId="4">
      <alignment horizontal="right" vertical="top"/>
    </xf>
    <xf numFmtId="169" fontId="48" fillId="6" borderId="15" applyAlignment="1" pivotButton="0" quotePrefix="0" xfId="3">
      <alignment horizontal="right" vertical="top" justifyLastLine="1"/>
    </xf>
    <xf numFmtId="0" fontId="48" fillId="6" borderId="15" applyAlignment="1" pivotButton="0" quotePrefix="0" xfId="0">
      <alignment horizontal="right" vertical="top" wrapText="1" justifyLastLine="1"/>
    </xf>
    <xf numFmtId="0" fontId="48" fillId="6" borderId="15" applyAlignment="1" pivotButton="0" quotePrefix="0" xfId="0">
      <alignment horizontal="right" vertical="top" justifyLastLine="1"/>
    </xf>
    <xf numFmtId="180" fontId="49" fillId="6" borderId="15" applyAlignment="1" pivotButton="0" quotePrefix="0" xfId="0">
      <alignment horizontal="right" vertical="top" justifyLastLine="1"/>
    </xf>
    <xf numFmtId="3" fontId="48" fillId="6" borderId="15" applyAlignment="1" pivotButton="0" quotePrefix="0" xfId="2">
      <alignment horizontal="right" vertical="top" justifyLastLine="1"/>
    </xf>
    <xf numFmtId="3" fontId="48" fillId="6" borderId="15" applyAlignment="1" pivotButton="0" quotePrefix="0" xfId="0">
      <alignment horizontal="right" vertical="top" justifyLastLine="1"/>
    </xf>
    <xf numFmtId="170" fontId="50" fillId="8" borderId="66" pivotButton="0" quotePrefix="0" xfId="3"/>
    <xf numFmtId="190" fontId="52" fillId="6" borderId="14" applyAlignment="1" pivotButton="0" quotePrefix="0" xfId="3">
      <alignment horizontal="right" vertical="top"/>
    </xf>
    <xf numFmtId="190" fontId="52" fillId="3" borderId="38" applyAlignment="1" pivotButton="0" quotePrefix="0" xfId="0">
      <alignment horizontal="right" vertical="top" wrapText="1"/>
    </xf>
    <xf numFmtId="190" fontId="50" fillId="3" borderId="37" applyAlignment="1" pivotButton="0" quotePrefix="0" xfId="3">
      <alignment horizontal="right"/>
    </xf>
    <xf numFmtId="190" fontId="50" fillId="3" borderId="37" pivotButton="0" quotePrefix="0" xfId="3"/>
    <xf numFmtId="190" fontId="41" fillId="6" borderId="14" applyAlignment="1" pivotButton="0" quotePrefix="0" xfId="4">
      <alignment horizontal="right" vertical="top"/>
    </xf>
    <xf numFmtId="190" fontId="49" fillId="6" borderId="14" applyAlignment="1" pivotButton="0" quotePrefix="0" xfId="4">
      <alignment horizontal="right" vertical="top"/>
    </xf>
    <xf numFmtId="167" fontId="17" fillId="0" borderId="0" applyAlignment="1" pivotButton="0" quotePrefix="0" xfId="3">
      <alignment horizontal="right"/>
    </xf>
    <xf numFmtId="167" fontId="16" fillId="3" borderId="11" applyAlignment="1" pivotButton="0" quotePrefix="0" xfId="0">
      <alignment horizontal="right" vertical="top"/>
    </xf>
    <xf numFmtId="190" fontId="48" fillId="6" borderId="37" applyAlignment="1" pivotButton="0" quotePrefix="0" xfId="4">
      <alignment horizontal="right" vertical="top"/>
    </xf>
    <xf numFmtId="0" fontId="1" fillId="6" borderId="0" pivotButton="0" quotePrefix="0" xfId="9"/>
    <xf numFmtId="14" fontId="1" fillId="6" borderId="0" pivotButton="0" quotePrefix="0" xfId="9"/>
    <xf numFmtId="188" fontId="1" fillId="6" borderId="0" pivotButton="0" quotePrefix="0" xfId="9"/>
    <xf numFmtId="167" fontId="1" fillId="6" borderId="0" pivotButton="0" quotePrefix="0" xfId="9"/>
    <xf numFmtId="3" fontId="1" fillId="6" borderId="0" pivotButton="0" quotePrefix="0" xfId="9"/>
    <xf numFmtId="1" fontId="49" fillId="6" borderId="15" applyAlignment="1" pivotButton="0" quotePrefix="0" xfId="0">
      <alignment horizontal="right" vertical="top" wrapText="1"/>
    </xf>
    <xf numFmtId="3" fontId="41" fillId="6" borderId="2" applyAlignment="1" pivotButton="0" quotePrefix="0" xfId="0">
      <alignment horizontal="center" vertical="center" wrapText="1"/>
    </xf>
    <xf numFmtId="0" fontId="41" fillId="6" borderId="14" applyAlignment="1" pivotButton="0" quotePrefix="0" xfId="0">
      <alignment vertical="center" wrapText="1"/>
    </xf>
    <xf numFmtId="3" fontId="41" fillId="0" borderId="2" applyAlignment="1" pivotButton="0" quotePrefix="0" xfId="0">
      <alignment horizontal="center" vertical="center" wrapText="1"/>
    </xf>
    <xf numFmtId="0" fontId="42" fillId="4" borderId="0" applyAlignment="1" pivotButton="0" quotePrefix="0" xfId="0">
      <alignment horizontal="center" vertical="center" wrapText="1"/>
    </xf>
    <xf numFmtId="0" fontId="42" fillId="4" borderId="11" applyAlignment="1" pivotButton="0" quotePrefix="0" xfId="0">
      <alignment horizontal="center" vertical="center" wrapText="1"/>
    </xf>
    <xf numFmtId="0" fontId="5" fillId="6" borderId="9" applyAlignment="1" pivotButton="0" quotePrefix="0" xfId="8">
      <alignment horizontal="center" vertical="center"/>
    </xf>
    <xf numFmtId="0" fontId="42" fillId="15" borderId="0" applyAlignment="1" pivotButton="0" quotePrefix="0" xfId="0">
      <alignment horizontal="center" vertical="center" wrapText="1"/>
    </xf>
    <xf numFmtId="0" fontId="42" fillId="15" borderId="11" applyAlignment="1" pivotButton="0" quotePrefix="0" xfId="0">
      <alignment horizontal="center" vertical="center" wrapText="1"/>
    </xf>
    <xf numFmtId="0" fontId="41" fillId="6" borderId="2" applyAlignment="1" pivotButton="0" quotePrefix="0" xfId="0">
      <alignment vertical="center" wrapText="1"/>
    </xf>
    <xf numFmtId="0" fontId="42" fillId="4" borderId="14" applyAlignment="1" pivotButton="0" quotePrefix="0" xfId="0">
      <alignment horizontal="center" vertical="center" wrapText="1"/>
    </xf>
    <xf numFmtId="0" fontId="42" fillId="4" borderId="36" applyAlignment="1" pivotButton="0" quotePrefix="0" xfId="0">
      <alignment horizontal="center" vertical="center" wrapText="1"/>
    </xf>
    <xf numFmtId="9" fontId="5" fillId="0" borderId="14" applyAlignment="1" pivotButton="0" quotePrefix="0" xfId="4">
      <alignment horizontal="center" vertical="center"/>
    </xf>
    <xf numFmtId="0" fontId="45" fillId="15" borderId="0" applyAlignment="1" pivotButton="0" quotePrefix="0" xfId="0">
      <alignment horizontal="center" vertical="center"/>
    </xf>
    <xf numFmtId="0" fontId="21" fillId="15" borderId="6" pivotButton="0" quotePrefix="0" xfId="0"/>
    <xf numFmtId="0" fontId="47" fillId="15" borderId="65" applyAlignment="1" pivotButton="0" quotePrefix="0" xfId="0">
      <alignment horizontal="right" vertical="top"/>
    </xf>
    <xf numFmtId="0" fontId="48" fillId="15" borderId="37" applyAlignment="1" pivotButton="0" quotePrefix="0" xfId="0">
      <alignment horizontal="right" vertical="top"/>
    </xf>
    <xf numFmtId="186" fontId="48" fillId="15" borderId="37" applyAlignment="1" pivotButton="0" quotePrefix="0" xfId="0">
      <alignment horizontal="right" vertical="top"/>
    </xf>
    <xf numFmtId="0" fontId="50" fillId="6" borderId="0" applyAlignment="1" pivotButton="0" quotePrefix="0" xfId="0">
      <alignment vertical="center"/>
    </xf>
    <xf numFmtId="0" fontId="34" fillId="6" borderId="0" applyAlignment="1" pivotButton="0" quotePrefix="0" xfId="0">
      <alignment vertical="top"/>
    </xf>
    <xf numFmtId="0" fontId="34" fillId="6" borderId="0" applyAlignment="1" pivotButton="0" quotePrefix="0" xfId="0">
      <alignment vertical="center"/>
    </xf>
    <xf numFmtId="0" fontId="34" fillId="6" borderId="0" applyAlignment="1" pivotButton="0" quotePrefix="0" xfId="0">
      <alignment horizontal="left" vertical="top"/>
    </xf>
    <xf numFmtId="0" fontId="34" fillId="6" borderId="1" applyAlignment="1" pivotButton="0" quotePrefix="0" xfId="0">
      <alignment horizontal="left" vertical="top"/>
    </xf>
    <xf numFmtId="0" fontId="32" fillId="6" borderId="0" applyAlignment="1" pivotButton="0" quotePrefix="0" xfId="0">
      <alignment vertical="top"/>
    </xf>
    <xf numFmtId="0" fontId="34" fillId="6" borderId="0" applyAlignment="1" pivotButton="0" quotePrefix="0" xfId="0">
      <alignment horizontal="left" vertical="top" indent="1"/>
    </xf>
    <xf numFmtId="0" fontId="32" fillId="6" borderId="0" applyAlignment="1" pivotButton="0" quotePrefix="0" xfId="0">
      <alignment horizontal="justify" vertical="center" wrapText="1"/>
    </xf>
    <xf numFmtId="0" fontId="32" fillId="6" borderId="0" applyAlignment="1" pivotButton="0" quotePrefix="0" xfId="0">
      <alignment horizontal="justify" vertical="center"/>
    </xf>
    <xf numFmtId="0" fontId="32" fillId="0" borderId="0" applyAlignment="1" pivotButton="0" quotePrefix="0" xfId="0">
      <alignment wrapText="1"/>
    </xf>
    <xf numFmtId="0" fontId="32" fillId="0" borderId="68" pivotButton="0" quotePrefix="0" xfId="0"/>
    <xf numFmtId="0" fontId="32" fillId="0" borderId="68" applyAlignment="1" pivotButton="0" quotePrefix="0" xfId="0">
      <alignment wrapText="1"/>
    </xf>
    <xf numFmtId="0" fontId="34" fillId="0" borderId="19" applyAlignment="1" pivotButton="0" quotePrefix="0" xfId="0">
      <alignment horizontal="left" vertical="top" indent="1"/>
    </xf>
    <xf numFmtId="0" fontId="34" fillId="0" borderId="15" applyAlignment="1" pivotButton="0" quotePrefix="0" xfId="0">
      <alignment horizontal="left" vertical="top" indent="1"/>
    </xf>
    <xf numFmtId="0" fontId="34" fillId="0" borderId="22" applyAlignment="1" pivotButton="0" quotePrefix="0" xfId="0">
      <alignment horizontal="left" vertical="top" indent="1"/>
    </xf>
    <xf numFmtId="0" fontId="21" fillId="16" borderId="8" applyAlignment="1" pivotButton="0" quotePrefix="0" xfId="0">
      <alignment vertical="top"/>
    </xf>
    <xf numFmtId="0" fontId="63" fillId="16" borderId="17" applyAlignment="1" pivotButton="0" quotePrefix="0" xfId="0">
      <alignment horizontal="left"/>
    </xf>
    <xf numFmtId="0" fontId="0" fillId="6" borderId="0" pivotButton="0" quotePrefix="0" xfId="0"/>
    <xf numFmtId="0" fontId="34" fillId="6" borderId="0" applyAlignment="1" pivotButton="0" quotePrefix="0" xfId="0">
      <alignment horizontal="left"/>
    </xf>
    <xf numFmtId="0" fontId="32" fillId="6" borderId="0" applyAlignment="1" pivotButton="0" quotePrefix="0" xfId="0">
      <alignment horizontal="justify" vertical="top"/>
    </xf>
    <xf numFmtId="0" fontId="34" fillId="6" borderId="0" applyAlignment="1" pivotButton="0" quotePrefix="0" xfId="0">
      <alignment horizontal="left" vertical="center"/>
    </xf>
    <xf numFmtId="0" fontId="65" fillId="6" borderId="0" applyAlignment="1" pivotButton="0" quotePrefix="0" xfId="0">
      <alignment horizontal="justify" vertical="center" wrapText="1"/>
    </xf>
    <xf numFmtId="0" fontId="65" fillId="6" borderId="0" applyAlignment="1" pivotButton="0" quotePrefix="0" xfId="0">
      <alignment horizontal="justify" vertical="center"/>
    </xf>
    <xf numFmtId="0" fontId="21" fillId="17" borderId="0" applyAlignment="1" pivotButton="0" quotePrefix="0" xfId="0">
      <alignment horizontal="center" wrapText="1"/>
    </xf>
    <xf numFmtId="0" fontId="32" fillId="6" borderId="0" applyAlignment="1" pivotButton="0" quotePrefix="0" xfId="0">
      <alignment horizontal="left" vertical="top" wrapText="1"/>
    </xf>
    <xf numFmtId="171" fontId="13" fillId="13" borderId="1" applyAlignment="1" pivotButton="0" quotePrefix="0" xfId="4">
      <alignment horizontal="center"/>
    </xf>
    <xf numFmtId="0" fontId="13" fillId="18" borderId="0" applyAlignment="1" pivotButton="0" quotePrefix="0" xfId="0">
      <alignment horizontal="left"/>
    </xf>
    <xf numFmtId="187" fontId="13" fillId="18" borderId="0" applyAlignment="1" pivotButton="0" quotePrefix="0" xfId="0">
      <alignment horizontal="center"/>
    </xf>
    <xf numFmtId="171" fontId="13" fillId="18" borderId="0" applyAlignment="1" pivotButton="0" quotePrefix="0" xfId="4">
      <alignment horizontal="center"/>
    </xf>
    <xf numFmtId="0" fontId="32" fillId="6" borderId="0" applyAlignment="1" pivotButton="0" quotePrefix="0" xfId="0">
      <alignment horizontal="left" vertical="top"/>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0" fontId="47" fillId="6" borderId="0" applyAlignment="1" pivotButton="0" quotePrefix="0" xfId="0">
      <alignment vertical="center"/>
    </xf>
    <xf numFmtId="0" fontId="47" fillId="6" borderId="2" applyAlignment="1" pivotButton="0" quotePrefix="0" xfId="0">
      <alignment horizontal="right" vertical="center"/>
    </xf>
    <xf numFmtId="0" fontId="47" fillId="6" borderId="2" applyAlignment="1" pivotButton="0" quotePrefix="0" xfId="0">
      <alignment horizontal="right" vertical="center" wrapText="1"/>
    </xf>
    <xf numFmtId="3" fontId="47" fillId="6" borderId="2" applyAlignment="1" pivotButton="0" quotePrefix="0" xfId="2">
      <alignment horizontal="right" vertical="center"/>
    </xf>
    <xf numFmtId="0" fontId="47" fillId="6" borderId="6" applyAlignment="1" pivotButton="0" quotePrefix="0" xfId="0">
      <alignment vertical="center"/>
    </xf>
    <xf numFmtId="0" fontId="48" fillId="6" borderId="34" applyAlignment="1" pivotButton="0" quotePrefix="0" xfId="0">
      <alignment horizontal="right" vertical="center"/>
    </xf>
    <xf numFmtId="186" fontId="51" fillId="6" borderId="6" applyAlignment="1" pivotButton="0" quotePrefix="0" xfId="4">
      <alignment horizontal="right" vertical="center"/>
    </xf>
    <xf numFmtId="0" fontId="47" fillId="6" borderId="0" applyAlignment="1" pivotButton="0" quotePrefix="0" xfId="0">
      <alignment horizontal="left" vertical="center"/>
    </xf>
    <xf numFmtId="0" fontId="48" fillId="6" borderId="2" applyAlignment="1" pivotButton="0" quotePrefix="0" xfId="0">
      <alignment horizontal="right" vertical="center"/>
    </xf>
    <xf numFmtId="170" fontId="52" fillId="6" borderId="0" applyAlignment="1" pivotButton="0" quotePrefix="0" xfId="3">
      <alignment horizontal="right" vertical="center"/>
    </xf>
    <xf numFmtId="170" fontId="52" fillId="6" borderId="14" applyAlignment="1" pivotButton="0" quotePrefix="0" xfId="3">
      <alignment horizontal="right" vertical="center"/>
    </xf>
    <xf numFmtId="186" fontId="44" fillId="6" borderId="0" applyAlignment="1" pivotButton="0" quotePrefix="0" xfId="4">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 fontId="56" fillId="6" borderId="2" applyAlignment="1" pivotButton="0" quotePrefix="0" xfId="0">
      <alignment horizontal="right" vertical="center" wrapText="1"/>
    </xf>
    <xf numFmtId="186" fontId="43" fillId="6" borderId="0" applyAlignment="1" pivotButton="0" quotePrefix="0" xfId="4">
      <alignment horizontal="right" vertical="center"/>
    </xf>
    <xf numFmtId="9" fontId="56" fillId="6" borderId="2" applyAlignment="1" pivotButton="0" quotePrefix="0" xfId="4">
      <alignment horizontal="right" vertical="center"/>
    </xf>
    <xf numFmtId="9" fontId="57" fillId="6" borderId="2" applyAlignment="1" pivotButton="0" quotePrefix="0" xfId="0">
      <alignment horizontal="right" vertical="center" wrapText="1"/>
    </xf>
    <xf numFmtId="186" fontId="53" fillId="6" borderId="0" applyAlignment="1" pivotButton="0" quotePrefix="0" xfId="4">
      <alignment horizontal="right" vertical="center"/>
    </xf>
    <xf numFmtId="0" fontId="56" fillId="6" borderId="2" applyAlignment="1" pivotButton="0" quotePrefix="0" xfId="4">
      <alignment horizontal="right" vertical="center" wrapText="1"/>
    </xf>
    <xf numFmtId="0" fontId="56" fillId="6" borderId="2" applyAlignment="1" pivotButton="0" quotePrefix="0" xfId="4">
      <alignment horizontal="right" vertical="center"/>
    </xf>
    <xf numFmtId="186" fontId="50" fillId="3" borderId="24" applyAlignment="1" pivotButton="0" quotePrefix="0" xfId="3">
      <alignment vertical="center"/>
    </xf>
    <xf numFmtId="0" fontId="21" fillId="15" borderId="6" applyAlignment="1" pivotButton="0" quotePrefix="0" xfId="0">
      <alignment vertical="center"/>
    </xf>
    <xf numFmtId="0" fontId="47" fillId="15" borderId="34" applyAlignment="1" pivotButton="0" quotePrefix="0" xfId="0">
      <alignment horizontal="right" vertical="center"/>
    </xf>
    <xf numFmtId="0" fontId="48" fillId="15" borderId="34" applyAlignment="1" pivotButton="0" quotePrefix="0" xfId="0">
      <alignment horizontal="right" vertical="center"/>
    </xf>
    <xf numFmtId="0" fontId="48" fillId="15" borderId="6" applyAlignment="1" pivotButton="0" quotePrefix="0" xfId="0">
      <alignment horizontal="right" vertical="center"/>
    </xf>
    <xf numFmtId="186" fontId="53" fillId="6" borderId="14" applyAlignment="1" pivotButton="0" quotePrefix="0" xfId="4">
      <alignment horizontal="right" vertical="center"/>
    </xf>
    <xf numFmtId="181" fontId="0" fillId="0" borderId="0" pivotButton="0" quotePrefix="0" xfId="0"/>
    <xf numFmtId="0" fontId="7" fillId="6" borderId="0" applyAlignment="1" pivotButton="0" quotePrefix="0" xfId="0">
      <alignment horizontal="left"/>
    </xf>
    <xf numFmtId="165" fontId="7" fillId="6" borderId="9" applyAlignment="1" pivotButton="0" quotePrefix="0" xfId="0">
      <alignment vertical="center"/>
    </xf>
    <xf numFmtId="0" fontId="32" fillId="6" borderId="0" applyAlignment="1" pivotButton="0" quotePrefix="0" xfId="11">
      <alignment horizontal="justify" vertical="top" wrapText="1"/>
    </xf>
    <xf numFmtId="0" fontId="0" fillId="6" borderId="0" applyAlignment="1" pivotButton="0" quotePrefix="0" xfId="0">
      <alignment horizontal="justify" vertical="top" wrapText="1"/>
    </xf>
    <xf numFmtId="191" fontId="32" fillId="6" borderId="0" applyAlignment="1" pivotButton="0" quotePrefix="0" xfId="11">
      <alignment horizontal="justify" vertical="top" wrapText="1"/>
    </xf>
    <xf numFmtId="170" fontId="17" fillId="6" borderId="0" applyAlignment="1" pivotButton="0" quotePrefix="0" xfId="3">
      <alignment vertical="center"/>
    </xf>
    <xf numFmtId="0" fontId="32" fillId="16" borderId="9" pivotButton="0" quotePrefix="0" xfId="0"/>
    <xf numFmtId="4" fontId="32" fillId="6" borderId="0" applyAlignment="1" pivotButton="0" quotePrefix="0" xfId="11">
      <alignment horizontal="justify" vertical="top" wrapText="1"/>
    </xf>
    <xf numFmtId="0" fontId="45" fillId="15" borderId="0" applyAlignment="1" pivotButton="0" quotePrefix="0" xfId="0">
      <alignment horizontal="center" vertical="center" justifyLastLine="1"/>
    </xf>
    <xf numFmtId="180" fontId="49" fillId="6" borderId="0" applyAlignment="1" pivotButton="0" quotePrefix="0" xfId="0">
      <alignment horizontal="right" vertical="top" justifyLastLine="1"/>
    </xf>
    <xf numFmtId="0" fontId="48" fillId="6" borderId="0" applyAlignment="1" pivotButton="0" quotePrefix="0" xfId="0">
      <alignment horizontal="right" vertical="top" wrapText="1" justifyLastLine="1"/>
    </xf>
    <xf numFmtId="0" fontId="48" fillId="6" borderId="0" applyAlignment="1" pivotButton="0" quotePrefix="0" xfId="0">
      <alignment horizontal="right" vertical="top" justifyLastLine="1"/>
    </xf>
    <xf numFmtId="3" fontId="48" fillId="6" borderId="0" applyAlignment="1" pivotButton="0" quotePrefix="0" xfId="2">
      <alignment horizontal="right" vertical="top" justifyLastLine="1"/>
    </xf>
    <xf numFmtId="3" fontId="48" fillId="6" borderId="2" applyAlignment="1" pivotButton="0" quotePrefix="0" xfId="2">
      <alignment horizontal="right" vertical="top" justifyLastLine="1"/>
    </xf>
    <xf numFmtId="169" fontId="49" fillId="6" borderId="41" applyAlignment="1" pivotButton="0" quotePrefix="0" xfId="3">
      <alignment horizontal="right" vertical="top" wrapText="1" justifyLastLine="1"/>
    </xf>
    <xf numFmtId="0" fontId="48" fillId="6" borderId="2" applyAlignment="1" pivotButton="0" quotePrefix="0" xfId="0">
      <alignment horizontal="right" vertical="top" wrapText="1" justifyLastLine="1"/>
    </xf>
    <xf numFmtId="0" fontId="48" fillId="6" borderId="2" applyAlignment="1" pivotButton="0" quotePrefix="0" xfId="0">
      <alignment horizontal="right" vertical="top" justifyLastLine="1"/>
    </xf>
    <xf numFmtId="180" fontId="49" fillId="6" borderId="2" applyAlignment="1" pivotButton="0" quotePrefix="0" xfId="0">
      <alignment horizontal="right" vertical="top" justifyLastLine="1"/>
    </xf>
    <xf numFmtId="0" fontId="34" fillId="6" borderId="1" applyAlignment="1" pivotButton="0" quotePrefix="0" xfId="0">
      <alignment horizontal="left" vertical="center"/>
    </xf>
    <xf numFmtId="0" fontId="34" fillId="0" borderId="10" applyAlignment="1" pivotButton="0" quotePrefix="0" xfId="0">
      <alignment horizontal="left" vertical="center"/>
    </xf>
    <xf numFmtId="0" fontId="58" fillId="19" borderId="0" applyAlignment="1" pivotButton="0" quotePrefix="0" xfId="0">
      <alignment horizontal="center" vertical="top" wrapText="1"/>
    </xf>
    <xf numFmtId="0" fontId="44" fillId="10" borderId="0" pivotButton="0" quotePrefix="0" xfId="0"/>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0" fontId="44" fillId="10" borderId="0" applyAlignment="1" pivotButton="0" quotePrefix="0" xfId="0">
      <alignment vertical="top"/>
    </xf>
    <xf numFmtId="0" fontId="44" fillId="10" borderId="1" applyAlignment="1" pivotButton="0" quotePrefix="0" xfId="0">
      <alignment vertical="top"/>
    </xf>
    <xf numFmtId="194" fontId="32" fillId="0" borderId="1" pivotButton="0" quotePrefix="0" xfId="0"/>
    <xf numFmtId="0" fontId="50" fillId="0" borderId="11" pivotButton="0" quotePrefix="0" xfId="0"/>
    <xf numFmtId="165" fontId="47" fillId="0" borderId="0" pivotButton="0" quotePrefix="0" xfId="0"/>
    <xf numFmtId="0" fontId="47" fillId="0" borderId="1" pivotButton="0" quotePrefix="0" xfId="0"/>
    <xf numFmtId="165" fontId="47" fillId="0" borderId="1" pivotButton="0" quotePrefix="0" xfId="0"/>
    <xf numFmtId="0" fontId="50" fillId="0" borderId="9" pivotButton="0" quotePrefix="0" xfId="0"/>
    <xf numFmtId="165" fontId="50" fillId="0"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0" fontId="34" fillId="3" borderId="1" applyAlignment="1" pivotButton="0" quotePrefix="0" xfId="0">
      <alignment horizontal="left"/>
    </xf>
    <xf numFmtId="170" fontId="34" fillId="3" borderId="1" pivotButton="0" quotePrefix="0" xfId="0"/>
    <xf numFmtId="10" fontId="0" fillId="0" borderId="0" pivotButton="0" quotePrefix="0" xfId="0"/>
    <xf numFmtId="0" fontId="58" fillId="19" borderId="0" applyAlignment="1" pivotButton="0" quotePrefix="0" xfId="0">
      <alignment horizontal="left" vertical="top" wrapText="1"/>
    </xf>
    <xf numFmtId="0" fontId="53" fillId="10" borderId="1" applyAlignment="1" pivotButton="0" quotePrefix="0" xfId="0">
      <alignment horizontal="center"/>
    </xf>
    <xf numFmtId="164" fontId="53" fillId="10" borderId="1" applyAlignment="1" pivotButton="0" quotePrefix="0" xfId="0">
      <alignment horizontal="center"/>
    </xf>
    <xf numFmtId="38" fontId="32" fillId="0" borderId="0" pivotButton="0" quotePrefix="0" xfId="2"/>
    <xf numFmtId="0" fontId="41" fillId="0" borderId="0" pivotButton="0" quotePrefix="0" xfId="0"/>
    <xf numFmtId="193" fontId="32" fillId="0" borderId="0" pivotButton="0" quotePrefix="0" xfId="3"/>
    <xf numFmtId="0" fontId="40" fillId="0" borderId="0" applyAlignment="1" pivotButton="0" quotePrefix="0" xfId="0">
      <alignment horizontal="center" vertical="center" wrapText="1"/>
    </xf>
    <xf numFmtId="0" fontId="40" fillId="15" borderId="0" applyAlignment="1" pivotButton="0" quotePrefix="0" xfId="0">
      <alignment vertical="center" wrapText="1"/>
    </xf>
    <xf numFmtId="0" fontId="40" fillId="0" borderId="0" applyAlignment="1" pivotButton="0" quotePrefix="0" xfId="0">
      <alignment vertical="center" wrapText="1"/>
    </xf>
    <xf numFmtId="0" fontId="67" fillId="6" borderId="9" applyAlignment="1" pivotButton="0" quotePrefix="0" xfId="0">
      <alignment vertical="center" wrapText="1"/>
    </xf>
    <xf numFmtId="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0" fontId="68" fillId="0" borderId="0" applyAlignment="1" pivotButton="0" quotePrefix="0" xfId="0">
      <alignment vertical="center" wrapText="1"/>
    </xf>
    <xf numFmtId="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0" fontId="32" fillId="6" borderId="48" applyAlignment="1" pivotButton="0" quotePrefix="0" xfId="0">
      <alignment horizontal="left" wrapText="1"/>
    </xf>
    <xf numFmtId="193" fontId="32" fillId="0" borderId="0" applyAlignment="1" pivotButton="0" quotePrefix="0" xfId="3">
      <alignment horizontal="left"/>
    </xf>
    <xf numFmtId="0" fontId="32" fillId="0" borderId="0" applyAlignment="1" pivotButton="0" quotePrefix="0" xfId="0">
      <alignment horizontal="left"/>
    </xf>
    <xf numFmtId="10" fontId="32" fillId="6" borderId="47" applyAlignment="1" pivotButton="0" quotePrefix="0" xfId="4">
      <alignment horizontal="right" vertical="top"/>
    </xf>
    <xf numFmtId="10" fontId="32" fillId="6" borderId="48" applyAlignment="1" pivotButton="0" quotePrefix="0" xfId="4">
      <alignment horizontal="right" vertical="top"/>
    </xf>
    <xf numFmtId="0" fontId="32" fillId="6" borderId="5" applyAlignment="1" pivotButton="0" quotePrefix="0" xfId="0">
      <alignment horizontal="left" wrapText="1"/>
    </xf>
    <xf numFmtId="10" fontId="32" fillId="6" borderId="5" applyAlignment="1" pivotButton="0" quotePrefix="0" xfId="4">
      <alignment horizontal="right" vertical="top"/>
    </xf>
    <xf numFmtId="0" fontId="39" fillId="15" borderId="1" pivotButton="0" quotePrefix="0" xfId="0"/>
    <xf numFmtId="0" fontId="39" fillId="15" borderId="1" applyAlignment="1" pivotButton="0" quotePrefix="0" xfId="0">
      <alignment horizontal="center"/>
    </xf>
    <xf numFmtId="167" fontId="32" fillId="0" borderId="0" applyAlignment="1" pivotButton="0" quotePrefix="0" xfId="3">
      <alignment horizontal="center"/>
    </xf>
    <xf numFmtId="193" fontId="48" fillId="0" borderId="0" applyAlignment="1" pivotButton="0" quotePrefix="0" xfId="3">
      <alignment horizontal="right"/>
    </xf>
    <xf numFmtId="0" fontId="32" fillId="0" borderId="0" applyAlignment="1" pivotButton="0" quotePrefix="0" xfId="0">
      <alignment horizontal="right"/>
    </xf>
    <xf numFmtId="49" fontId="32" fillId="0" borderId="0" pivotButton="0" quotePrefix="0" xfId="0"/>
    <xf numFmtId="0" fontId="32" fillId="3" borderId="9" pivotButton="0" quotePrefix="0" xfId="0"/>
    <xf numFmtId="167" fontId="32" fillId="3" borderId="9" applyAlignment="1" pivotButton="0" quotePrefix="0" xfId="0">
      <alignment horizontal="center"/>
    </xf>
    <xf numFmtId="164" fontId="32" fillId="0" borderId="0" pivotButton="0" quotePrefix="0" xfId="0"/>
    <xf numFmtId="10" fontId="32" fillId="0" borderId="0" applyAlignment="1" pivotButton="0" quotePrefix="0" xfId="4">
      <alignment horizontal="center"/>
    </xf>
    <xf numFmtId="167" fontId="32" fillId="0" borderId="0" applyAlignment="1" pivotButton="0" quotePrefix="0" xfId="0">
      <alignment horizontal="center"/>
    </xf>
    <xf numFmtId="0" fontId="34" fillId="3" borderId="9" pivotButton="0" quotePrefix="0" xfId="0"/>
    <xf numFmtId="10" fontId="34" fillId="3" borderId="9" pivotButton="0" quotePrefix="0" xfId="4"/>
    <xf numFmtId="0" fontId="40" fillId="15" borderId="0" applyAlignment="1" pivotButton="0" quotePrefix="0" xfId="0">
      <alignment horizontal="right" vertical="center" wrapText="1"/>
    </xf>
    <xf numFmtId="0" fontId="68" fillId="0" borderId="14" applyAlignment="1" pivotButton="0" quotePrefix="0" xfId="0">
      <alignment vertical="center" wrapText="1"/>
    </xf>
    <xf numFmtId="0" fontId="68" fillId="0" borderId="50" applyAlignment="1" pivotButton="0" quotePrefix="0" xfId="0">
      <alignment vertical="center" wrapText="1"/>
    </xf>
    <xf numFmtId="0" fontId="68" fillId="0" borderId="47" applyAlignment="1" pivotButton="0" quotePrefix="0" xfId="0">
      <alignment horizontal="right" vertical="center" wrapText="1"/>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0" fontId="68" fillId="0" borderId="51" applyAlignment="1" pivotButton="0" quotePrefix="0" xfId="0">
      <alignment vertical="center" wrapText="1"/>
    </xf>
    <xf numFmtId="0" fontId="68" fillId="0" borderId="48" applyAlignment="1" pivotButton="0" quotePrefix="0" xfId="0">
      <alignment horizontal="right" vertical="center" wrapText="1"/>
    </xf>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0" fontId="68" fillId="0" borderId="4" applyAlignment="1" pivotButton="0" quotePrefix="0" xfId="0">
      <alignment vertical="center" wrapText="1"/>
    </xf>
    <xf numFmtId="0" fontId="68" fillId="0" borderId="52" applyAlignment="1" pivotButton="0" quotePrefix="0" xfId="0">
      <alignment vertical="center" wrapText="1"/>
    </xf>
    <xf numFmtId="0" fontId="68" fillId="0" borderId="49" applyAlignment="1" pivotButton="0" quotePrefix="0" xfId="0">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0" fontId="68" fillId="11" borderId="17" applyAlignment="1" pivotButton="0" quotePrefix="0" xfId="0">
      <alignment vertical="center" wrapText="1"/>
    </xf>
    <xf numFmtId="0" fontId="68" fillId="11" borderId="8" applyAlignment="1" pivotButton="0" quotePrefix="0" xfId="0">
      <alignment vertical="center" wrapText="1"/>
    </xf>
    <xf numFmtId="0" fontId="68" fillId="11" borderId="9" applyAlignment="1" pivotButton="0" quotePrefix="0" xfId="0">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0" fontId="68" fillId="0" borderId="2" applyAlignment="1" pivotButton="0" quotePrefix="0" xfId="4">
      <alignment vertical="center" wrapText="1"/>
    </xf>
    <xf numFmtId="164" fontId="48" fillId="0" borderId="0" applyAlignment="1" pivotButton="0" quotePrefix="0" xfId="0">
      <alignment horizontal="right" vertical="center" wrapText="1"/>
    </xf>
    <xf numFmtId="0" fontId="68" fillId="0" borderId="0" applyAlignment="1" pivotButton="0" quotePrefix="0" xfId="0">
      <alignment horizontal="right" vertical="center" wrapText="1"/>
    </xf>
    <xf numFmtId="164" fontId="68" fillId="0" borderId="9" applyAlignment="1" pivotButton="0" quotePrefix="0" xfId="3">
      <alignment horizontal="right" vertical="center" wrapText="1"/>
    </xf>
    <xf numFmtId="0" fontId="40" fillId="15" borderId="17" applyAlignment="1" pivotButton="0" quotePrefix="0" xfId="0">
      <alignment vertical="center" wrapText="1"/>
    </xf>
    <xf numFmtId="0" fontId="40" fillId="15" borderId="8" applyAlignment="1" pivotButton="0" quotePrefix="0" xfId="0">
      <alignment vertical="center" wrapText="1"/>
    </xf>
    <xf numFmtId="0" fontId="40" fillId="15" borderId="9" applyAlignment="1" pivotButton="0" quotePrefix="0" xfId="0">
      <alignment horizontal="right" vertical="center" wrapText="1"/>
    </xf>
    <xf numFmtId="0" fontId="68" fillId="0" borderId="36" applyAlignment="1" pivotButton="0" quotePrefix="0" xfId="0">
      <alignment vertical="center" wrapText="1"/>
    </xf>
    <xf numFmtId="10" fontId="68" fillId="0" borderId="42" applyAlignment="1" pivotButton="0" quotePrefix="0" xfId="4">
      <alignment vertical="center" wrapText="1"/>
    </xf>
    <xf numFmtId="164" fontId="68" fillId="0" borderId="43" applyAlignment="1" pivotButton="0" quotePrefix="0" xfId="3">
      <alignment horizontal="right" vertical="center" wrapText="1"/>
    </xf>
    <xf numFmtId="0" fontId="68" fillId="10" borderId="43" applyAlignment="1" pivotButton="0" quotePrefix="0" xfId="0">
      <alignment horizontal="right" vertical="center" wrapText="1"/>
    </xf>
    <xf numFmtId="10" fontId="68" fillId="0" borderId="52" applyAlignment="1" pivotButton="0" quotePrefix="0" xfId="4">
      <alignment vertical="center" wrapText="1"/>
    </xf>
    <xf numFmtId="0" fontId="68" fillId="10" borderId="49" applyAlignment="1" pivotButton="0" quotePrefix="0" xfId="0">
      <alignment horizontal="right" vertical="center" wrapText="1"/>
    </xf>
    <xf numFmtId="164" fontId="68" fillId="0" borderId="49" applyAlignment="1" pivotButton="0" quotePrefix="0" xfId="3">
      <alignment horizontal="right" vertical="center" wrapText="1"/>
    </xf>
    <xf numFmtId="0" fontId="67" fillId="11" borderId="43" applyAlignment="1" pivotButton="0" quotePrefix="0" xfId="0">
      <alignment vertical="center" wrapText="1"/>
    </xf>
    <xf numFmtId="193" fontId="67" fillId="11" borderId="43" applyAlignment="1" pivotButton="0" quotePrefix="0" xfId="0">
      <alignment horizontal="right" vertical="center" wrapText="1"/>
    </xf>
    <xf numFmtId="0" fontId="67" fillId="3" borderId="43" applyAlignment="1" pivotButton="0" quotePrefix="0" xfId="0">
      <alignment horizontal="right" vertical="center" wrapText="1"/>
    </xf>
    <xf numFmtId="164" fontId="67" fillId="3" borderId="43" applyAlignment="1" pivotButton="0" quotePrefix="0" xfId="3">
      <alignment horizontal="right" vertical="center" wrapText="1"/>
    </xf>
    <xf numFmtId="0" fontId="67" fillId="11" borderId="49" applyAlignment="1" pivotButton="0" quotePrefix="0" xfId="0">
      <alignmen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0" fontId="32" fillId="0" borderId="0" pivotButton="0" quotePrefix="0" xfId="4"/>
    <xf numFmtId="0" fontId="39" fillId="15" borderId="0" applyAlignment="1" pivotButton="0" quotePrefix="0" xfId="0">
      <alignment horizontal="left"/>
    </xf>
    <xf numFmtId="0" fontId="39" fillId="15" borderId="0" applyAlignment="1" pivotButton="0" quotePrefix="0" xfId="0">
      <alignment horizontal="center"/>
    </xf>
    <xf numFmtId="0" fontId="48" fillId="6" borderId="0" applyAlignment="1" pivotButton="0" quotePrefix="0" xfId="0">
      <alignment vertical="center"/>
    </xf>
    <xf numFmtId="0" fontId="48" fillId="6" borderId="0" applyAlignment="1" pivotButton="0" quotePrefix="0" xfId="0">
      <alignment horizontal="center" vertical="center" wrapText="1"/>
    </xf>
    <xf numFmtId="0" fontId="48" fillId="6" borderId="0" applyAlignment="1" pivotButton="0" quotePrefix="0" xfId="0">
      <alignment vertical="center" wrapText="1"/>
    </xf>
    <xf numFmtId="0" fontId="40" fillId="12" borderId="20" applyAlignment="1" pivotButton="0" quotePrefix="0" xfId="0">
      <alignment vertical="center" wrapText="1"/>
    </xf>
    <xf numFmtId="0" fontId="48" fillId="6" borderId="0" applyAlignment="1" pivotButton="0" quotePrefix="0" xfId="0">
      <alignment horizontal="center"/>
    </xf>
    <xf numFmtId="0" fontId="48" fillId="0" borderId="56" applyAlignment="1" pivotButton="0" quotePrefix="0" xfId="0">
      <alignmen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0" fontId="48" fillId="6" borderId="0" applyAlignment="1" pivotButton="0" quotePrefix="0" xfId="0">
      <alignment horizontal="center" vertical="center"/>
    </xf>
    <xf numFmtId="0" fontId="48" fillId="0" borderId="22" applyAlignment="1" pivotButton="0" quotePrefix="0" xfId="0">
      <alignment vertical="center" wrapText="1"/>
    </xf>
    <xf numFmtId="10" fontId="48" fillId="0" borderId="5" applyAlignment="1" pivotButton="0" quotePrefix="0" xfId="0">
      <alignment horizontal="center" vertical="center" wrapText="1"/>
    </xf>
    <xf numFmtId="10" fontId="48" fillId="0" borderId="59" applyAlignment="1" pivotButton="0" quotePrefix="0" xfId="0">
      <alignment horizontal="center" vertical="center" wrapText="1"/>
    </xf>
    <xf numFmtId="0" fontId="44" fillId="3" borderId="11" applyAlignment="1" pivotButton="0" quotePrefix="0" xfId="0">
      <alignment vertical="center"/>
    </xf>
    <xf numFmtId="0" fontId="44" fillId="3" borderId="11" applyAlignment="1" pivotButton="0" quotePrefix="0" xfId="0">
      <alignment horizontal="center" vertical="center"/>
    </xf>
    <xf numFmtId="0" fontId="44" fillId="3" borderId="11" applyAlignment="1" pivotButton="0" quotePrefix="0" xfId="0">
      <alignment horizontal="center"/>
    </xf>
    <xf numFmtId="0" fontId="48" fillId="11" borderId="42" applyAlignment="1" pivotButton="0" quotePrefix="0" xfId="0">
      <alignment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0" fontId="44" fillId="3" borderId="1" applyAlignment="1" pivotButton="0" quotePrefix="0" xfId="0">
      <alignment vertical="center"/>
    </xf>
    <xf numFmtId="10" fontId="44" fillId="3" borderId="1" applyAlignment="1" pivotButton="0" quotePrefix="0" xfId="0">
      <alignment horizontal="center" vertical="center"/>
    </xf>
    <xf numFmtId="10" fontId="44" fillId="3" borderId="1" applyAlignment="1" pivotButton="0" quotePrefix="0" xfId="0">
      <alignment horizontal="center"/>
    </xf>
    <xf numFmtId="10" fontId="44" fillId="3" borderId="1" applyAlignment="1" pivotButton="0" quotePrefix="0" xfId="0">
      <alignment vertical="center"/>
    </xf>
    <xf numFmtId="0" fontId="44" fillId="11" borderId="52" applyAlignment="1" pivotButton="0" quotePrefix="0" xfId="0">
      <alignment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0" fontId="44" fillId="6" borderId="9" applyAlignment="1" pivotButton="0" quotePrefix="0" xfId="0">
      <alignment vertical="center"/>
    </xf>
    <xf numFmtId="10" fontId="44" fillId="6" borderId="9" applyAlignment="1" pivotButton="0" quotePrefix="0" xfId="0">
      <alignment horizontal="center" vertical="center"/>
    </xf>
    <xf numFmtId="10" fontId="44" fillId="6" borderId="9" applyAlignment="1" pivotButton="0" quotePrefix="0" xfId="0">
      <alignment horizontal="center"/>
    </xf>
    <xf numFmtId="0" fontId="32" fillId="0" borderId="9" pivotButton="0" quotePrefix="0" xfId="0"/>
    <xf numFmtId="2" fontId="31" fillId="6" borderId="0" pivotButton="0" quotePrefix="0" xfId="0"/>
    <xf numFmtId="0" fontId="44" fillId="11" borderId="0" applyAlignment="1" pivotButton="0" quotePrefix="0" xfId="0">
      <alignment vertical="center" wrapText="1"/>
    </xf>
    <xf numFmtId="193" fontId="44" fillId="11" borderId="0" applyAlignment="1" pivotButton="0" quotePrefix="0" xfId="0">
      <alignment horizontal="center" vertical="center" wrapText="1"/>
    </xf>
    <xf numFmtId="0" fontId="44" fillId="6" borderId="0" applyAlignment="1" pivotButton="0" quotePrefix="0" xfId="0">
      <alignment vertical="center"/>
    </xf>
    <xf numFmtId="10" fontId="44" fillId="6" borderId="0" applyAlignment="1" pivotButton="0" quotePrefix="0" xfId="0">
      <alignment horizontal="center" vertical="center"/>
    </xf>
    <xf numFmtId="10" fontId="44" fillId="6" borderId="0" applyAlignment="1" pivotButton="0" quotePrefix="0" xfId="0">
      <alignment horizontal="center"/>
    </xf>
    <xf numFmtId="10" fontId="44" fillId="6" borderId="0" applyAlignment="1" pivotButton="0" quotePrefix="0" xfId="0">
      <alignment vertical="center"/>
    </xf>
    <xf numFmtId="0" fontId="50" fillId="3" borderId="1" applyAlignment="1" pivotButton="0" quotePrefix="0" xfId="0">
      <alignment vertical="center"/>
    </xf>
    <xf numFmtId="165" fontId="50" fillId="3" borderId="1" applyAlignment="1" pivotButton="0" quotePrefix="0" xfId="0">
      <alignment horizontal="center" vertical="center"/>
    </xf>
    <xf numFmtId="178" fontId="5" fillId="0" borderId="9" applyAlignment="1" applyProtection="1" pivotButton="0" quotePrefix="0" xfId="0">
      <alignment horizontal="left"/>
      <protection locked="0" hidden="0"/>
    </xf>
    <xf numFmtId="0" fontId="5" fillId="0" borderId="9" applyAlignment="1" pivotButton="0" quotePrefix="0" xfId="0">
      <alignment horizontal="center"/>
    </xf>
    <xf numFmtId="175" fontId="47" fillId="0" borderId="0" applyAlignment="1" pivotButton="0" quotePrefix="0" xfId="0">
      <alignment horizontal="left"/>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7" fontId="47" fillId="0" borderId="0" applyAlignment="1" pivotButton="0" quotePrefix="0" xfId="0">
      <alignment horizontal="left"/>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0" fontId="21" fillId="17" borderId="0" applyAlignment="1" pivotButton="0" quotePrefix="0" xfId="0">
      <alignment wrapText="1"/>
    </xf>
    <xf numFmtId="168" fontId="47" fillId="0" borderId="1" pivotButton="0" quotePrefix="0" xfId="0"/>
    <xf numFmtId="37"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0" fontId="32" fillId="0" borderId="0" applyAlignment="1" pivotButton="0" quotePrefix="0" xfId="1">
      <alignment horizontal="left" vertical="top"/>
    </xf>
    <xf numFmtId="1" fontId="32" fillId="0" borderId="0" applyAlignment="1" pivotButton="0" quotePrefix="0" xfId="1">
      <alignment horizontal="left" vertical="top"/>
    </xf>
    <xf numFmtId="165" fontId="32" fillId="0" borderId="0" applyAlignment="1" pivotButton="0" quotePrefix="0" xfId="1">
      <alignment horizontal="left" vertical="top"/>
    </xf>
    <xf numFmtId="164" fontId="32" fillId="0" borderId="0" applyAlignment="1" pivotButton="0" quotePrefix="0" xfId="1">
      <alignment horizontal="left" vertical="top"/>
    </xf>
    <xf numFmtId="0" fontId="32" fillId="0" borderId="0" applyAlignment="1" pivotButton="0" quotePrefix="0" xfId="0">
      <alignment horizontal="left" vertical="top"/>
    </xf>
    <xf numFmtId="0" fontId="32" fillId="0" borderId="0" applyAlignment="1" pivotButton="0" quotePrefix="0" xfId="1">
      <alignment horizontal="left" vertical="center"/>
    </xf>
    <xf numFmtId="0" fontId="70" fillId="0" borderId="0" applyAlignment="1" pivotButton="0" quotePrefix="0" xfId="0">
      <alignment horizontal="left" vertical="top"/>
    </xf>
    <xf numFmtId="0" fontId="32" fillId="0" borderId="1" applyAlignment="1" pivotButton="0" quotePrefix="0" xfId="0">
      <alignment horizontal="left" vertical="top"/>
    </xf>
    <xf numFmtId="0" fontId="44" fillId="6" borderId="0" pivotButton="0" quotePrefix="0" xfId="0"/>
    <xf numFmtId="0" fontId="44" fillId="6" borderId="1" pivotButton="0" quotePrefix="0" xfId="0"/>
    <xf numFmtId="0" fontId="44" fillId="6" borderId="0" applyAlignment="1" pivotButton="0" quotePrefix="0" xfId="0">
      <alignment vertical="top"/>
    </xf>
    <xf numFmtId="0" fontId="44" fillId="6" borderId="0" applyAlignment="1" pivotButton="0" quotePrefix="0" xfId="0">
      <alignment horizontal="left" vertical="top"/>
    </xf>
    <xf numFmtId="0" fontId="48" fillId="6" borderId="0" applyAlignment="1" pivotButton="0" quotePrefix="0" xfId="0">
      <alignment vertical="top"/>
    </xf>
    <xf numFmtId="0" fontId="0" fillId="6" borderId="0" applyAlignment="1" pivotButton="0" quotePrefix="0" xfId="0">
      <alignment horizontal="left" indent="1"/>
    </xf>
    <xf numFmtId="0" fontId="0" fillId="6" borderId="1" applyAlignment="1" pivotButton="0" quotePrefix="0" xfId="0">
      <alignment horizontal="left"/>
    </xf>
    <xf numFmtId="0" fontId="34" fillId="6" borderId="1" applyAlignment="1" pivotButton="0" quotePrefix="0" xfId="0">
      <alignment horizontal="left" vertical="top" wrapText="1" indent="1"/>
    </xf>
    <xf numFmtId="0" fontId="34" fillId="6" borderId="0" applyAlignment="1" pivotButton="0" quotePrefix="0" xfId="0">
      <alignment horizontal="left" vertical="top" wrapText="1" indent="1"/>
    </xf>
    <xf numFmtId="0" fontId="50" fillId="22" borderId="11" pivotButton="0" quotePrefix="0" xfId="0"/>
    <xf numFmtId="165" fontId="47" fillId="22" borderId="0" pivotButton="0" quotePrefix="0" xfId="0"/>
    <xf numFmtId="0" fontId="47" fillId="22" borderId="1" pivotButton="0" quotePrefix="0" xfId="0"/>
    <xf numFmtId="165" fontId="47" fillId="22" borderId="1" pivotButton="0" quotePrefix="0" xfId="0"/>
    <xf numFmtId="0" fontId="0" fillId="6" borderId="0" pivotButton="0" quotePrefix="0" xfId="9"/>
    <xf numFmtId="0" fontId="39" fillId="19" borderId="0" applyAlignment="1" pivotButton="0" quotePrefix="0" xfId="0">
      <alignment horizontal="center"/>
    </xf>
    <xf numFmtId="169" fontId="32" fillId="0" borderId="1" applyAlignment="1" pivotButton="0" quotePrefix="0" xfId="0">
      <alignment horizontal="center" vertical="center"/>
    </xf>
    <xf numFmtId="0" fontId="32" fillId="0" borderId="1" applyAlignment="1" pivotButton="0" quotePrefix="0" xfId="0">
      <alignment horizontal="center"/>
    </xf>
    <xf numFmtId="179" fontId="32" fillId="0" borderId="1" applyAlignment="1" pivotButton="0" quotePrefix="0" xfId="0">
      <alignment horizontal="center"/>
    </xf>
    <xf numFmtId="165" fontId="32" fillId="0" borderId="1" applyAlignment="1" pivotButton="0" quotePrefix="0" xfId="3">
      <alignment horizontal="center"/>
    </xf>
    <xf numFmtId="194" fontId="32" fillId="6" borderId="1" pivotButton="0" quotePrefix="0" xfId="0"/>
    <xf numFmtId="0" fontId="50" fillId="6" borderId="9" pivotButton="0" quotePrefix="0" xfId="0"/>
    <xf numFmtId="165" fontId="50" fillId="6" borderId="11" pivotButton="0" quotePrefix="0" xfId="0"/>
    <xf numFmtId="0" fontId="44" fillId="6" borderId="0" applyAlignment="1" pivotButton="0" quotePrefix="0" xfId="0">
      <alignment vertical="top" wrapText="1"/>
    </xf>
    <xf numFmtId="0" fontId="34" fillId="6" borderId="0" applyAlignment="1" pivotButton="0" quotePrefix="0" xfId="0">
      <alignment vertical="top" wrapText="1"/>
    </xf>
    <xf numFmtId="0" fontId="0" fillId="0" borderId="0" applyAlignment="1" pivotButton="0" quotePrefix="0" xfId="0">
      <alignment horizontal="left"/>
    </xf>
    <xf numFmtId="0" fontId="48" fillId="6" borderId="2" applyAlignment="1" pivotButton="0" quotePrefix="0" xfId="0">
      <alignment vertical="center" justifyLastLine="1"/>
    </xf>
    <xf numFmtId="0" fontId="48" fillId="6" borderId="2" applyAlignment="1" pivotButton="0" quotePrefix="0" xfId="0">
      <alignment vertical="center" wrapText="1" justifyLastLine="1"/>
    </xf>
    <xf numFmtId="180" fontId="49" fillId="6" borderId="2" applyAlignment="1" pivotButton="0" quotePrefix="0" xfId="0">
      <alignment vertical="center" justifyLastLine="1"/>
    </xf>
    <xf numFmtId="3" fontId="48" fillId="6" borderId="2" applyAlignment="1" pivotButton="0" quotePrefix="0" xfId="2">
      <alignment vertical="center" justifyLastLine="1"/>
    </xf>
    <xf numFmtId="169" fontId="49" fillId="6" borderId="40" applyAlignment="1" pivotButton="0" quotePrefix="0" xfId="3">
      <alignment vertical="center" wrapText="1" justifyLastLine="1"/>
    </xf>
    <xf numFmtId="169" fontId="48" fillId="6" borderId="2" applyAlignment="1" pivotButton="0" quotePrefix="0" xfId="3">
      <alignment vertical="center" justifyLastLine="1"/>
    </xf>
    <xf numFmtId="0" fontId="0" fillId="0" borderId="0" applyAlignment="1" pivotButton="0" quotePrefix="0" xfId="0">
      <alignment horizontal="right"/>
    </xf>
    <xf numFmtId="186" fontId="50" fillId="3" borderId="37" applyAlignment="1" pivotButton="0" quotePrefix="0" xfId="3">
      <alignment horizontal="right" vertical="center"/>
    </xf>
    <xf numFmtId="170" fontId="50" fillId="8" borderId="38" applyAlignment="1" pivotButton="0" quotePrefix="0" xfId="3">
      <alignment horizontal="right" vertical="center"/>
    </xf>
    <xf numFmtId="9" fontId="50" fillId="6" borderId="0" applyAlignment="1" pivotButton="0" quotePrefix="0" xfId="4">
      <alignment vertical="center"/>
    </xf>
    <xf numFmtId="0" fontId="44" fillId="6" borderId="2" applyAlignment="1" pivotButton="0" quotePrefix="0" xfId="0">
      <alignment horizontal="right" vertical="center"/>
    </xf>
    <xf numFmtId="3" fontId="44" fillId="6" borderId="2" applyAlignment="1" pivotButton="0" quotePrefix="0" xfId="2">
      <alignment horizontal="right" vertical="center"/>
    </xf>
    <xf numFmtId="1" fontId="50" fillId="6" borderId="0" applyAlignment="1" pivotButton="0" quotePrefix="0" xfId="0">
      <alignment vertical="center"/>
    </xf>
    <xf numFmtId="3" fontId="44" fillId="6" borderId="2" applyAlignment="1" pivotButton="0" quotePrefix="0" xfId="0">
      <alignment horizontal="right" vertical="center" wrapText="1"/>
    </xf>
    <xf numFmtId="0" fontId="43" fillId="6" borderId="2" applyAlignment="1" pivotButton="0" quotePrefix="0" xfId="0">
      <alignment horizontal="right" vertical="center"/>
    </xf>
    <xf numFmtId="0" fontId="49" fillId="6" borderId="65" applyAlignment="1" pivotButton="0" quotePrefix="0" xfId="0">
      <alignment horizontal="right" vertical="center"/>
    </xf>
    <xf numFmtId="0" fontId="49" fillId="6" borderId="15" applyAlignment="1" pivotButton="0" quotePrefix="0" xfId="0">
      <alignment horizontal="right" vertical="center"/>
    </xf>
    <xf numFmtId="0" fontId="52" fillId="3" borderId="66" applyAlignment="1" pivotButton="0" quotePrefix="0" xfId="0">
      <alignment horizontal="right" vertical="center" wrapText="1"/>
    </xf>
    <xf numFmtId="9" fontId="47" fillId="3" borderId="66" applyAlignment="1" pivotButton="0" quotePrefix="0" xfId="4">
      <alignment horizontal="right" vertical="center"/>
    </xf>
    <xf numFmtId="1" fontId="52" fillId="6" borderId="15" applyAlignment="1" pivotButton="0" quotePrefix="0" xfId="0">
      <alignment horizontal="right" vertical="center"/>
    </xf>
    <xf numFmtId="1" fontId="56" fillId="6" borderId="15" applyAlignment="1" pivotButton="0" quotePrefix="0" xfId="0">
      <alignment horizontal="right" vertical="center" wrapText="1"/>
    </xf>
    <xf numFmtId="9" fontId="56" fillId="6" borderId="15" applyAlignment="1" pivotButton="0" quotePrefix="0" xfId="4">
      <alignment horizontal="right" vertical="center"/>
    </xf>
    <xf numFmtId="9" fontId="57" fillId="6" borderId="15" applyAlignment="1" pivotButton="0" quotePrefix="0" xfId="0">
      <alignment horizontal="right" vertical="center" wrapText="1"/>
    </xf>
    <xf numFmtId="9" fontId="56" fillId="6" borderId="15" applyAlignment="1" pivotButton="0" quotePrefix="0" xfId="4">
      <alignment horizontal="right" vertical="center" wrapText="1"/>
    </xf>
    <xf numFmtId="3" fontId="44" fillId="6" borderId="15" applyAlignment="1" pivotButton="0" quotePrefix="0" xfId="2">
      <alignment horizontal="right" vertical="center"/>
    </xf>
    <xf numFmtId="0" fontId="56" fillId="6" borderId="15" applyAlignment="1" pivotButton="0" quotePrefix="0" xfId="4">
      <alignment horizontal="right" vertical="center" wrapText="1"/>
    </xf>
    <xf numFmtId="0" fontId="56" fillId="6" borderId="15" applyAlignment="1" pivotButton="0" quotePrefix="0" xfId="4">
      <alignment horizontal="right" vertical="center"/>
    </xf>
    <xf numFmtId="0" fontId="52" fillId="3" borderId="65" applyAlignment="1" pivotButton="0" quotePrefix="0" xfId="0">
      <alignment vertical="center"/>
    </xf>
    <xf numFmtId="0" fontId="52" fillId="8" borderId="66" applyAlignment="1" pivotButton="0" quotePrefix="0" xfId="0">
      <alignment vertical="center"/>
    </xf>
    <xf numFmtId="0" fontId="50" fillId="3" borderId="24" applyAlignment="1" pivotButton="0" quotePrefix="0" xfId="0">
      <alignment vertical="center"/>
    </xf>
    <xf numFmtId="0" fontId="50" fillId="8" borderId="24" applyAlignment="1" pivotButton="0" quotePrefix="0" xfId="0">
      <alignment horizontal="right" vertical="center"/>
    </xf>
    <xf numFmtId="0" fontId="48" fillId="6" borderId="6" applyAlignment="1" pivotButton="0" quotePrefix="0" xfId="0">
      <alignment horizontal="right" vertical="center"/>
    </xf>
    <xf numFmtId="0" fontId="48" fillId="6" borderId="0" applyAlignment="1" pivotButton="0" quotePrefix="0" xfId="0">
      <alignment horizontal="right" vertical="center"/>
    </xf>
    <xf numFmtId="180" fontId="48" fillId="6" borderId="0" applyAlignment="1" pivotButton="0" quotePrefix="0" xfId="0">
      <alignment horizontal="right" vertical="center"/>
    </xf>
    <xf numFmtId="0" fontId="48" fillId="3" borderId="24" applyAlignment="1" pivotButton="0" quotePrefix="0" xfId="0">
      <alignment horizontal="right" vertical="center"/>
    </xf>
    <xf numFmtId="0" fontId="44" fillId="6" borderId="0" applyAlignment="1" pivotButton="0" quotePrefix="0" xfId="0">
      <alignment horizontal="right" vertical="center"/>
    </xf>
    <xf numFmtId="1" fontId="56" fillId="6" borderId="0" applyAlignment="1" pivotButton="0" quotePrefix="0" xfId="0">
      <alignment horizontal="right" vertical="center" wrapText="1"/>
    </xf>
    <xf numFmtId="9" fontId="56" fillId="6" borderId="0" applyAlignment="1" pivotButton="0" quotePrefix="0" xfId="4">
      <alignment horizontal="right" vertical="center"/>
    </xf>
    <xf numFmtId="9" fontId="57" fillId="6" borderId="0" applyAlignment="1" pivotButton="0" quotePrefix="0" xfId="0">
      <alignment horizontal="right" vertical="center" wrapText="1"/>
    </xf>
    <xf numFmtId="3" fontId="44" fillId="6" borderId="0" applyAlignment="1" pivotButton="0" quotePrefix="0" xfId="2">
      <alignment horizontal="right" vertical="center"/>
    </xf>
    <xf numFmtId="3" fontId="44" fillId="6" borderId="0" applyAlignment="1" pivotButton="0" quotePrefix="0" xfId="0">
      <alignment horizontal="right" vertical="center" wrapText="1"/>
    </xf>
    <xf numFmtId="0" fontId="43" fillId="6" borderId="0" applyAlignment="1" pivotButton="0" quotePrefix="0" xfId="0">
      <alignment horizontal="right" vertical="center"/>
    </xf>
    <xf numFmtId="0" fontId="56" fillId="6" borderId="0" applyAlignment="1" pivotButton="0" quotePrefix="0" xfId="4">
      <alignment horizontal="right" vertical="center" wrapText="1"/>
    </xf>
    <xf numFmtId="0" fontId="56" fillId="6" borderId="0" applyAlignment="1" pivotButton="0" quotePrefix="0" xfId="4">
      <alignment horizontal="right" vertical="center"/>
    </xf>
    <xf numFmtId="0" fontId="50" fillId="8" borderId="64" applyAlignment="1" pivotButton="0" quotePrefix="0" xfId="0">
      <alignment horizontal="right" vertical="center"/>
    </xf>
    <xf numFmtId="186" fontId="50" fillId="3" borderId="36" applyAlignment="1" pivotButton="0" quotePrefix="0" xfId="3">
      <alignment horizontal="right" vertical="center"/>
    </xf>
    <xf numFmtId="170" fontId="50" fillId="8" borderId="17" applyAlignment="1" pivotButton="0" quotePrefix="0" xfId="3">
      <alignment horizontal="right" vertical="center"/>
    </xf>
    <xf numFmtId="186" fontId="50" fillId="3" borderId="17" applyAlignment="1" pivotButton="0" quotePrefix="0" xfId="3">
      <alignment horizontal="right" vertical="center"/>
    </xf>
    <xf numFmtId="0" fontId="32" fillId="6" borderId="0" applyAlignment="1" pivotButton="0" quotePrefix="0" xfId="0">
      <alignment horizontal="left" wrapText="1"/>
    </xf>
    <xf numFmtId="0" fontId="44" fillId="3" borderId="0" applyAlignment="1" pivotButton="0" quotePrefix="0" xfId="0">
      <alignment horizontal="right" vertical="center" wrapText="1"/>
    </xf>
    <xf numFmtId="3" fontId="57" fillId="6" borderId="0" applyAlignment="1" pivotButton="0" quotePrefix="0" xfId="0">
      <alignment horizontal="right" vertical="center" wrapText="1"/>
    </xf>
    <xf numFmtId="3" fontId="57" fillId="6" borderId="0" applyAlignment="1" pivotButton="0" quotePrefix="0" xfId="0">
      <alignment horizontal="right" vertical="center"/>
    </xf>
    <xf numFmtId="170" fontId="52" fillId="6" borderId="2" applyAlignment="1" pivotButton="0" quotePrefix="0" xfId="3">
      <alignment horizontal="right" vertical="center"/>
    </xf>
    <xf numFmtId="186" fontId="53" fillId="6" borderId="2" applyAlignment="1" pivotButton="0" quotePrefix="0" xfId="4">
      <alignment horizontal="right" vertical="center"/>
    </xf>
    <xf numFmtId="186" fontId="50" fillId="3" borderId="11" applyAlignment="1" pivotButton="0" quotePrefix="0" xfId="3">
      <alignment horizontal="right" vertical="center"/>
    </xf>
    <xf numFmtId="170" fontId="50" fillId="8" borderId="9" applyAlignment="1" pivotButton="0" quotePrefix="0" xfId="3">
      <alignment horizontal="right" vertical="center"/>
    </xf>
    <xf numFmtId="0" fontId="48" fillId="3" borderId="6" applyAlignment="1" pivotButton="0" quotePrefix="0" xfId="0">
      <alignment horizontal="right" vertical="center"/>
    </xf>
    <xf numFmtId="170" fontId="44" fillId="3" borderId="11" applyAlignment="1" pivotButton="0" quotePrefix="0" xfId="3">
      <alignment horizontal="right" vertical="center"/>
    </xf>
    <xf numFmtId="0" fontId="48" fillId="15" borderId="9" applyAlignment="1" pivotButton="0" quotePrefix="0" xfId="0">
      <alignment horizontal="right" vertical="center"/>
    </xf>
    <xf numFmtId="0" fontId="40" fillId="15" borderId="0" applyAlignment="1" pivotButton="0" quotePrefix="0" xfId="0">
      <alignment horizontal="center" vertical="center" wrapText="1"/>
    </xf>
    <xf numFmtId="0" fontId="0" fillId="5" borderId="0" applyAlignment="1" pivotButton="0" quotePrefix="0" xfId="0">
      <alignment horizontal="right"/>
    </xf>
    <xf numFmtId="1" fontId="0" fillId="5" borderId="0" pivotButton="0" quotePrefix="0" xfId="0"/>
    <xf numFmtId="3" fontId="0" fillId="5" borderId="0" applyAlignment="1" pivotButton="0" quotePrefix="0" xfId="0">
      <alignment horizontal="right"/>
    </xf>
    <xf numFmtId="0" fontId="0" fillId="5" borderId="0" applyAlignment="1" pivotButton="0" quotePrefix="0" xfId="0">
      <alignment horizontal="right" wrapText="1"/>
    </xf>
    <xf numFmtId="0" fontId="0" fillId="5" borderId="0" pivotButton="0" quotePrefix="0" xfId="0"/>
    <xf numFmtId="9" fontId="0" fillId="5" borderId="0" applyAlignment="1" pivotButton="0" quotePrefix="0" xfId="4">
      <alignment horizontal="right"/>
    </xf>
    <xf numFmtId="169" fontId="0" fillId="5" borderId="0" pivotButton="0" quotePrefix="0" xfId="0"/>
    <xf numFmtId="14" fontId="0" fillId="5" borderId="0" pivotButton="0" quotePrefix="0" xfId="0"/>
    <xf numFmtId="14" fontId="0" fillId="5" borderId="0" applyAlignment="1" pivotButton="0" quotePrefix="0" xfId="0">
      <alignment horizontal="right"/>
    </xf>
    <xf numFmtId="0" fontId="5" fillId="5" borderId="0" pivotButton="0" quotePrefix="0" xfId="0"/>
    <xf numFmtId="169" fontId="0" fillId="6" borderId="0" applyAlignment="1" pivotButton="0" quotePrefix="0" xfId="0">
      <alignment horizontal="right"/>
    </xf>
    <xf numFmtId="0" fontId="62" fillId="6" borderId="0" applyAlignment="1" pivotButton="0" quotePrefix="0" xfId="0">
      <alignment horizontal="left" vertical="center"/>
    </xf>
    <xf numFmtId="0" fontId="32" fillId="6" borderId="0" applyAlignment="1" pivotButton="0" quotePrefix="0" xfId="0">
      <alignment horizontal="left" vertical="center"/>
    </xf>
    <xf numFmtId="0" fontId="32" fillId="6" borderId="0" applyAlignment="1" pivotButton="0" quotePrefix="0" xfId="0">
      <alignment horizontal="left" vertical="center"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0" fontId="60" fillId="10" borderId="0" pivotButton="0" quotePrefix="0" xfId="0"/>
    <xf numFmtId="0" fontId="59" fillId="10" borderId="0" applyAlignment="1" pivotButton="0" quotePrefix="0" xfId="0">
      <alignment horizontal="right"/>
    </xf>
    <xf numFmtId="179" fontId="59" fillId="10" borderId="0" applyAlignment="1" pivotButton="0" quotePrefix="0" xfId="0">
      <alignment horizontal="right"/>
    </xf>
    <xf numFmtId="0" fontId="60" fillId="9" borderId="0" pivotButton="0" quotePrefix="0" xfId="0"/>
    <xf numFmtId="0" fontId="59" fillId="9" borderId="0" applyAlignment="1" pivotButton="0" quotePrefix="0" xfId="0">
      <alignment horizontal="right"/>
    </xf>
    <xf numFmtId="3" fontId="59" fillId="10" borderId="0" applyAlignment="1" pivotButton="0" quotePrefix="0" xfId="0">
      <alignment horizontal="right"/>
    </xf>
    <xf numFmtId="1" fontId="59" fillId="10" borderId="0" applyAlignment="1" pivotButton="0" quotePrefix="0" xfId="0">
      <alignment horizontal="right"/>
    </xf>
    <xf numFmtId="0" fontId="59" fillId="10" borderId="0" applyAlignment="1" pivotButton="0" quotePrefix="0" xfId="0">
      <alignment horizontal="right" wrapText="1"/>
    </xf>
    <xf numFmtId="9" fontId="59" fillId="10" borderId="0" applyAlignment="1" pivotButton="0" quotePrefix="0" xfId="0">
      <alignment horizontal="right"/>
    </xf>
    <xf numFmtId="0" fontId="60" fillId="10" borderId="1" pivotButton="0" quotePrefix="0" xfId="0"/>
    <xf numFmtId="9" fontId="59" fillId="10" borderId="1" applyAlignment="1" pivotButton="0" quotePrefix="0" xfId="0">
      <alignment horizontal="right"/>
    </xf>
    <xf numFmtId="0" fontId="58" fillId="9" borderId="0" applyAlignment="1" pivotButton="0" quotePrefix="0" xfId="0">
      <alignment horizontal="center"/>
    </xf>
    <xf numFmtId="0" fontId="60" fillId="6" borderId="0" pivotButton="0" quotePrefix="0" xfId="0"/>
    <xf numFmtId="193" fontId="59" fillId="6" borderId="0" applyAlignment="1" pivotButton="0" quotePrefix="0" xfId="0">
      <alignment horizontal="center"/>
    </xf>
    <xf numFmtId="164" fontId="59" fillId="6" borderId="0" applyAlignment="1" pivotButton="0" quotePrefix="0" xfId="0">
      <alignment horizontal="center"/>
    </xf>
    <xf numFmtId="0" fontId="60" fillId="6" borderId="1" pivotButton="0" quotePrefix="0" xfId="0"/>
    <xf numFmtId="193" fontId="59" fillId="6" borderId="1" applyAlignment="1" pivotButton="0" quotePrefix="0" xfId="0">
      <alignment horizontal="center"/>
    </xf>
    <xf numFmtId="164" fontId="59" fillId="6" borderId="1" applyAlignment="1" pivotButton="0" quotePrefix="0" xfId="0">
      <alignment horizontal="center"/>
    </xf>
    <xf numFmtId="0" fontId="39" fillId="6" borderId="0" applyAlignment="1" pivotButton="0" quotePrefix="0" xfId="10">
      <alignment horizontal="center"/>
    </xf>
    <xf numFmtId="0" fontId="50" fillId="6" borderId="0" pivotButton="0" quotePrefix="0" xfId="0"/>
    <xf numFmtId="0" fontId="47" fillId="6" borderId="0" applyAlignment="1" pivotButton="0" quotePrefix="0" xfId="11">
      <alignment horizontal="left" wrapText="1"/>
    </xf>
    <xf numFmtId="0" fontId="0" fillId="6" borderId="0" applyAlignment="1" pivotButton="0" quotePrefix="0" xfId="0">
      <alignment horizontal="justify" wrapText="1"/>
    </xf>
    <xf numFmtId="0" fontId="0" fillId="5" borderId="0" applyAlignment="1" pivotButton="0" quotePrefix="0" xfId="0">
      <alignment horizontal="justify"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0" fontId="47" fillId="6" borderId="0" applyAlignment="1" pivotButton="0" quotePrefix="0" xfId="11">
      <alignment horizontal="justify" wrapText="1"/>
    </xf>
    <xf numFmtId="0" fontId="61" fillId="6" borderId="0" applyAlignment="1" pivotButton="0" quotePrefix="0" xfId="0">
      <alignment horizontal="justify" wrapText="1"/>
    </xf>
    <xf numFmtId="0" fontId="50" fillId="6" borderId="0" applyAlignment="1" pivotButton="0" quotePrefix="0" xfId="0">
      <alignment horizontal="left"/>
    </xf>
    <xf numFmtId="0" fontId="50" fillId="6" borderId="1" applyAlignment="1" pivotButton="0" quotePrefix="0" xfId="0">
      <alignment horizontal="left"/>
    </xf>
    <xf numFmtId="0" fontId="5" fillId="6" borderId="0" applyAlignment="1" pivotButton="0" quotePrefix="0" xfId="0">
      <alignment wrapText="1"/>
    </xf>
    <xf numFmtId="0" fontId="47" fillId="6" borderId="0" applyAlignment="1" pivotButton="0" quotePrefix="0" xfId="11">
      <alignment wrapText="1"/>
    </xf>
    <xf numFmtId="0" fontId="62" fillId="6" borderId="0" applyAlignment="1" pivotButton="0" quotePrefix="0" xfId="0">
      <alignment horizontal="left"/>
    </xf>
    <xf numFmtId="0" fontId="32" fillId="6" borderId="0" applyAlignment="1" pivotButton="0" quotePrefix="0" xfId="0">
      <alignment horizontal="left"/>
    </xf>
    <xf numFmtId="191" fontId="32" fillId="6" borderId="0" applyAlignment="1" pivotButton="0" quotePrefix="0" xfId="0">
      <alignment horizontal="left" wrapText="1"/>
    </xf>
    <xf numFmtId="195" fontId="32" fillId="6" borderId="0" applyAlignment="1" pivotButton="0" quotePrefix="0" xfId="0">
      <alignment horizontal="left"/>
    </xf>
    <xf numFmtId="191" fontId="34" fillId="6" borderId="11" applyAlignment="1" pivotButton="0" quotePrefix="0" xfId="0">
      <alignment horizontal="left" wrapText="1"/>
    </xf>
    <xf numFmtId="195" fontId="34" fillId="6" borderId="11" applyAlignment="1" pivotButton="0" quotePrefix="0" xfId="0">
      <alignment horizontal="left"/>
    </xf>
    <xf numFmtId="0" fontId="34" fillId="6" borderId="1" applyAlignment="1" pivotButton="0" quotePrefix="0" xfId="0">
      <alignment horizontal="left"/>
    </xf>
    <xf numFmtId="0" fontId="34" fillId="17" borderId="0" pivotButton="0" quotePrefix="0" xfId="0"/>
    <xf numFmtId="0" fontId="39" fillId="17" borderId="0" applyAlignment="1" pivotButton="0" quotePrefix="0" xfId="10">
      <alignment horizontal="center"/>
    </xf>
    <xf numFmtId="169" fontId="32" fillId="6" borderId="0" applyAlignment="1" pivotButton="0" quotePrefix="0" xfId="11">
      <alignment horizontal="center" wrapText="1"/>
    </xf>
    <xf numFmtId="169" fontId="0" fillId="6" borderId="0" applyAlignment="1" pivotButton="0" quotePrefix="0" xfId="0">
      <alignment horizontal="center" wrapText="1"/>
    </xf>
    <xf numFmtId="0" fontId="39" fillId="19" borderId="0" pivotButton="0" quotePrefix="0" xfId="0"/>
    <xf numFmtId="169" fontId="31" fillId="19" borderId="0" applyAlignment="1" pivotButton="0" quotePrefix="0" xfId="11">
      <alignment horizontal="center" wrapText="1"/>
    </xf>
    <xf numFmtId="0" fontId="5" fillId="6" borderId="0" pivotButton="0" quotePrefix="0" xfId="0"/>
    <xf numFmtId="0" fontId="34" fillId="6" borderId="1" pivotButton="0" quotePrefix="0" xfId="0"/>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0" fontId="58" fillId="19" borderId="0" applyAlignment="1" pivotButton="0" quotePrefix="0" xfId="0">
      <alignment horizontal="center" wrapText="1"/>
    </xf>
    <xf numFmtId="0" fontId="44" fillId="10" borderId="1" pivotButton="0" quotePrefix="0" xfId="0"/>
    <xf numFmtId="0" fontId="0" fillId="6" borderId="0" applyAlignment="1" pivotButton="0" quotePrefix="0" xfId="0">
      <alignment horizontal="left" wrapText="1" indent="1"/>
    </xf>
    <xf numFmtId="0" fontId="47" fillId="5" borderId="0" applyAlignment="1" pivotButton="0" quotePrefix="0" xfId="11">
      <alignment horizontal="left" wrapText="1"/>
    </xf>
    <xf numFmtId="0" fontId="5" fillId="5" borderId="0" applyAlignment="1" pivotButton="0" quotePrefix="0" xfId="0">
      <alignment wrapText="1"/>
    </xf>
    <xf numFmtId="0" fontId="32" fillId="6" borderId="0" applyAlignment="1" pivotButton="0" quotePrefix="0" xfId="0">
      <alignment horizontal="left" vertical="center" indent="1"/>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0" fontId="48" fillId="5" borderId="0" pivotButton="0" quotePrefix="0" xfId="0"/>
    <xf numFmtId="0" fontId="48" fillId="5" borderId="0" applyAlignment="1" pivotButton="0" quotePrefix="0" xfId="0">
      <alignment horizontal="left"/>
    </xf>
    <xf numFmtId="10" fontId="48" fillId="5" borderId="0" applyAlignment="1" pivotButton="0" quotePrefix="0" xfId="0">
      <alignment horizontal="left"/>
    </xf>
    <xf numFmtId="0" fontId="32" fillId="5" borderId="0" applyAlignment="1" pivotButton="0" quotePrefix="0" xfId="0">
      <alignment horizontal="justify" vertical="top" wrapText="1"/>
    </xf>
    <xf numFmtId="0" fontId="32" fillId="5" borderId="0" applyAlignment="1" pivotButton="0" quotePrefix="0" xfId="0">
      <alignment horizontal="justify" vertical="top"/>
    </xf>
    <xf numFmtId="179" fontId="32" fillId="5" borderId="0" applyAlignment="1" pivotButton="0" quotePrefix="0" xfId="0">
      <alignment horizontal="justify" vertical="top"/>
    </xf>
    <xf numFmtId="0" fontId="48" fillId="5" borderId="0" applyAlignment="1" pivotButton="0" quotePrefix="0" xfId="11">
      <alignment horizontal="justify" vertical="top" wrapText="1"/>
    </xf>
    <xf numFmtId="0" fontId="48" fillId="5" borderId="67" applyAlignment="1" pivotButton="0" quotePrefix="0" xfId="11">
      <alignment horizontal="justify" vertical="top" wrapText="1"/>
    </xf>
    <xf numFmtId="0" fontId="48" fillId="5" borderId="0" applyAlignment="1" pivotButton="0" quotePrefix="0" xfId="0">
      <alignment vertical="top"/>
    </xf>
    <xf numFmtId="0" fontId="48" fillId="5" borderId="0" applyAlignment="1" pivotButton="0" quotePrefix="0" xfId="0">
      <alignment horizontal="justify" vertical="top" wrapText="1"/>
    </xf>
    <xf numFmtId="0" fontId="1" fillId="5" borderId="0" pivotButton="0" quotePrefix="0" xfId="0"/>
    <xf numFmtId="0" fontId="0" fillId="5" borderId="0" applyAlignment="1" pivotButton="0" quotePrefix="0" xfId="0">
      <alignment wrapText="1"/>
    </xf>
    <xf numFmtId="0" fontId="0" fillId="5" borderId="1" pivotButton="0" quotePrefix="0" xfId="0"/>
    <xf numFmtId="0" fontId="32" fillId="5" borderId="0" applyAlignment="1" pivotButton="0" quotePrefix="0" xfId="0">
      <alignment horizontal="justify" vertical="center" wrapText="1"/>
    </xf>
    <xf numFmtId="37" fontId="32" fillId="5" borderId="0" applyAlignment="1" pivotButton="0" quotePrefix="0" xfId="0">
      <alignment horizontal="justify" vertical="center" wrapText="1"/>
    </xf>
    <xf numFmtId="0" fontId="32" fillId="5" borderId="69" applyAlignment="1" pivotButton="0" quotePrefix="0" xfId="0">
      <alignment horizontal="left" vertical="top" wrapText="1"/>
    </xf>
    <xf numFmtId="0" fontId="32" fillId="5" borderId="70" applyAlignment="1" pivotButton="0" quotePrefix="0" xfId="0">
      <alignment horizontal="left" vertical="top" wrapText="1"/>
    </xf>
    <xf numFmtId="0" fontId="48" fillId="5" borderId="70" applyAlignment="1" pivotButton="0" quotePrefix="0" xfId="0">
      <alignment horizontal="left" vertical="top" wrapText="1"/>
    </xf>
    <xf numFmtId="0" fontId="48" fillId="5" borderId="71" applyAlignment="1" pivotButton="0" quotePrefix="0" xfId="0">
      <alignment horizontal="left" vertical="top" wrapText="1"/>
    </xf>
    <xf numFmtId="197" fontId="17" fillId="0" borderId="0" applyAlignment="1" pivotButton="0" quotePrefix="0" xfId="3">
      <alignment horizontal="right"/>
    </xf>
    <xf numFmtId="197" fontId="19" fillId="3" borderId="1" applyAlignment="1" pivotButton="0" quotePrefix="0" xfId="3">
      <alignment horizontal="right"/>
    </xf>
    <xf numFmtId="3" fontId="60" fillId="10" borderId="0" applyAlignment="1" pivotButton="0" quotePrefix="0" xfId="0">
      <alignment horizontal="left" indent="1"/>
    </xf>
    <xf numFmtId="0" fontId="34" fillId="5" borderId="74" pivotButton="0" quotePrefix="0" xfId="0"/>
    <xf numFmtId="0" fontId="34" fillId="5" borderId="0" pivotButton="0" quotePrefix="0" xfId="0"/>
    <xf numFmtId="0" fontId="32" fillId="6" borderId="61" pivotButton="0" quotePrefix="0" xfId="0"/>
    <xf numFmtId="0" fontId="32" fillId="6" borderId="62" pivotButton="0" quotePrefix="0" xfId="0"/>
    <xf numFmtId="0" fontId="34" fillId="5" borderId="63" pivotButton="0" quotePrefix="0" xfId="0"/>
    <xf numFmtId="0" fontId="32" fillId="6" borderId="12" pivotButton="0" quotePrefix="0" xfId="0"/>
    <xf numFmtId="0" fontId="34" fillId="5" borderId="13" pivotButton="0" quotePrefix="0" xfId="0"/>
    <xf numFmtId="0" fontId="32" fillId="0" borderId="13" pivotButton="0" quotePrefix="0" xfId="0"/>
    <xf numFmtId="0" fontId="32" fillId="6" borderId="13" pivotButton="0" quotePrefix="0" xfId="0"/>
    <xf numFmtId="0" fontId="32" fillId="6" borderId="31" pivotButton="0" quotePrefix="0" xfId="0"/>
    <xf numFmtId="0" fontId="32" fillId="6" borderId="33" pivotButton="0" quotePrefix="0" xfId="0"/>
    <xf numFmtId="0" fontId="32" fillId="6" borderId="32" pivotButton="0" quotePrefix="0" xfId="0"/>
    <xf numFmtId="0" fontId="34" fillId="5" borderId="72" pivotButton="0" quotePrefix="0" xfId="0"/>
    <xf numFmtId="9" fontId="32" fillId="0" borderId="0" pivotButton="0" quotePrefix="0" xfId="4"/>
    <xf numFmtId="3" fontId="17" fillId="0" borderId="0" pivotButton="0" quotePrefix="0" xfId="0"/>
    <xf numFmtId="0" fontId="47" fillId="5" borderId="2" applyAlignment="1" pivotButton="0" quotePrefix="0" xfId="0">
      <alignment horizontal="right" vertical="center" wrapText="1"/>
    </xf>
    <xf numFmtId="0" fontId="49" fillId="5" borderId="2" applyAlignment="1" pivotButton="0" quotePrefix="0" xfId="0">
      <alignment horizontal="right" vertical="center"/>
    </xf>
    <xf numFmtId="165" fontId="49" fillId="5" borderId="2" applyAlignment="1" pivotButton="0" quotePrefix="0" xfId="3">
      <alignment horizontal="right" vertical="center"/>
    </xf>
    <xf numFmtId="0" fontId="49" fillId="5" borderId="2" applyAlignment="1" pivotButton="0" quotePrefix="0" xfId="0">
      <alignment horizontal="right" vertical="center" wrapText="1"/>
    </xf>
    <xf numFmtId="165" fontId="41" fillId="5" borderId="2" applyAlignment="1" pivotButton="0" quotePrefix="0" xfId="3">
      <alignment horizontal="right" vertical="center" wrapText="1"/>
    </xf>
    <xf numFmtId="0" fontId="48" fillId="5" borderId="2" applyAlignment="1" pivotButton="0" quotePrefix="0" xfId="0">
      <alignment horizontal="right" vertical="center" wrapText="1" justifyLastLine="1"/>
    </xf>
    <xf numFmtId="0" fontId="48" fillId="5" borderId="2" applyAlignment="1" pivotButton="0" quotePrefix="0" xfId="0">
      <alignment horizontal="right" vertical="center" justifyLastLine="1"/>
    </xf>
    <xf numFmtId="180" fontId="49" fillId="5" borderId="2" applyAlignment="1" pivotButton="0" quotePrefix="0" xfId="0">
      <alignment horizontal="right" vertical="center" justifyLastLine="1"/>
    </xf>
    <xf numFmtId="169" fontId="48" fillId="5" borderId="2" applyAlignment="1" pivotButton="0" quotePrefix="0" xfId="3">
      <alignment horizontal="right" vertical="center" justifyLastLine="1"/>
    </xf>
    <xf numFmtId="3" fontId="48" fillId="5" borderId="2" applyAlignment="1" pivotButton="0" quotePrefix="0" xfId="2">
      <alignment horizontal="right" vertical="center"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 fontId="52" fillId="5" borderId="15" applyAlignment="1" pivotButton="0" quotePrefix="0" xfId="0">
      <alignment horizontal="right" vertical="center"/>
    </xf>
    <xf numFmtId="186" fontId="44" fillId="5" borderId="37" applyAlignment="1" pivotButton="0" quotePrefix="0" xfId="4">
      <alignment horizontal="right" vertical="center"/>
    </xf>
    <xf numFmtId="170" fontId="52" fillId="5" borderId="14" applyAlignment="1" pivotButton="0" quotePrefix="0" xfId="3">
      <alignment horizontal="right" vertical="center"/>
    </xf>
    <xf numFmtId="186" fontId="44" fillId="5" borderId="14" applyAlignment="1" pivotButton="0" quotePrefix="0" xfId="4">
      <alignment horizontal="right" vertical="center"/>
    </xf>
    <xf numFmtId="170" fontId="44" fillId="5" borderId="14" applyAlignment="1" pivotButton="0" quotePrefix="0" xfId="3">
      <alignment horizontal="right" vertical="center"/>
    </xf>
    <xf numFmtId="186" fontId="44" fillId="5" borderId="2" applyAlignment="1" pivotButton="0" quotePrefix="0" xfId="4">
      <alignment horizontal="right" vertical="center"/>
    </xf>
    <xf numFmtId="170" fontId="52" fillId="5" borderId="2" applyAlignment="1" pivotButton="0" quotePrefix="0" xfId="3">
      <alignment horizontal="right" vertical="center"/>
    </xf>
    <xf numFmtId="170" fontId="44" fillId="5" borderId="2" applyAlignment="1" pivotButton="0" quotePrefix="0" xfId="3">
      <alignment horizontal="right" vertical="center"/>
    </xf>
    <xf numFmtId="186" fontId="43" fillId="5" borderId="14" applyAlignment="1" pivotButton="0" quotePrefix="0" xfId="4">
      <alignment horizontal="right" vertical="center"/>
    </xf>
    <xf numFmtId="186" fontId="53" fillId="5" borderId="14" applyAlignment="1" pivotButton="0" quotePrefix="0" xfId="4">
      <alignment horizontal="right" vertical="center"/>
    </xf>
    <xf numFmtId="186" fontId="52" fillId="5" borderId="14" applyAlignment="1" pivotButton="0" quotePrefix="0" xfId="4">
      <alignment horizontal="right" vertical="center"/>
    </xf>
    <xf numFmtId="186" fontId="43" fillId="5" borderId="2" applyAlignment="1" pivotButton="0" quotePrefix="0" xfId="4">
      <alignment horizontal="right" vertical="center"/>
    </xf>
    <xf numFmtId="186" fontId="53" fillId="5" borderId="2" applyAlignment="1" pivotButton="0" quotePrefix="0" xfId="4">
      <alignment horizontal="right" vertical="center"/>
    </xf>
    <xf numFmtId="186" fontId="52" fillId="5" borderId="2" applyAlignment="1" pivotButton="0" quotePrefix="0" xfId="4">
      <alignment horizontal="right" vertical="center"/>
    </xf>
    <xf numFmtId="0" fontId="5" fillId="5" borderId="61" pivotButton="0" quotePrefix="0" xfId="0"/>
    <xf numFmtId="0" fontId="5" fillId="5" borderId="62" pivotButton="0" quotePrefix="0" xfId="0"/>
    <xf numFmtId="0" fontId="5" fillId="5" borderId="63" applyAlignment="1" pivotButton="0" quotePrefix="0" xfId="0">
      <alignment horizontal="right"/>
    </xf>
    <xf numFmtId="0" fontId="5" fillId="5" borderId="12" pivotButton="0" quotePrefix="0" xfId="0"/>
    <xf numFmtId="0" fontId="5" fillId="5" borderId="13" applyAlignment="1" pivotButton="0" quotePrefix="0" xfId="0">
      <alignment horizontal="right"/>
    </xf>
    <xf numFmtId="0" fontId="5" fillId="5" borderId="31" pivotButton="0" quotePrefix="0" xfId="0"/>
    <xf numFmtId="0" fontId="5" fillId="5" borderId="33" pivotButton="0" quotePrefix="0" xfId="0"/>
    <xf numFmtId="0" fontId="5" fillId="5" borderId="32" applyAlignment="1" pivotButton="0" quotePrefix="0" xfId="0">
      <alignment horizontal="right"/>
    </xf>
    <xf numFmtId="170" fontId="0" fillId="5" borderId="0" pivotButton="0" quotePrefix="0" xfId="0"/>
    <xf numFmtId="170" fontId="4" fillId="5" borderId="0" applyAlignment="1" pivotButton="0" quotePrefix="0" xfId="0">
      <alignment vertical="center"/>
    </xf>
    <xf numFmtId="37" fontId="4" fillId="5" borderId="0" pivotButton="0" quotePrefix="0" xfId="0"/>
    <xf numFmtId="3" fontId="4" fillId="5" borderId="0" applyAlignment="1" pivotButton="0" quotePrefix="0" xfId="0">
      <alignment vertical="center"/>
    </xf>
    <xf numFmtId="3" fontId="19" fillId="5" borderId="11" applyAlignment="1" pivotButton="0" quotePrefix="0" xfId="0">
      <alignment horizontal="center"/>
    </xf>
    <xf numFmtId="165" fontId="19" fillId="5" borderId="11" applyAlignment="1" pivotButton="0" quotePrefix="0" xfId="0">
      <alignment horizontal="center"/>
    </xf>
    <xf numFmtId="3" fontId="17" fillId="5" borderId="0"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0" fontId="4" fillId="5" borderId="1" pivotButton="0" quotePrefix="0" xfId="0"/>
    <xf numFmtId="3" fontId="4" fillId="5" borderId="1" applyAlignment="1" pivotButton="0" quotePrefix="0" xfId="0">
      <alignment horizontal="left"/>
    </xf>
    <xf numFmtId="3" fontId="4" fillId="5" borderId="1" applyAlignment="1" pivotButton="0" quotePrefix="0" xfId="0">
      <alignment horizontal="center"/>
    </xf>
    <xf numFmtId="165" fontId="4" fillId="5" borderId="1" pivotButton="0" quotePrefix="0" xfId="0"/>
    <xf numFmtId="0" fontId="32" fillId="5" borderId="0" pivotButton="0" quotePrefix="0" xfId="0"/>
    <xf numFmtId="0" fontId="3" fillId="5" borderId="0" pivotButton="0" quotePrefix="0" xfId="0"/>
    <xf numFmtId="0" fontId="3" fillId="5" borderId="0" applyAlignment="1" pivotButton="0" quotePrefix="0" xfId="0">
      <alignment vertical="center"/>
    </xf>
    <xf numFmtId="0" fontId="33" fillId="5" borderId="61" applyAlignment="1" pivotButton="0" quotePrefix="0" xfId="0">
      <alignment horizontal="left" vertical="center"/>
    </xf>
    <xf numFmtId="0" fontId="34" fillId="5" borderId="62" pivotButton="0" quotePrefix="0" xfId="0"/>
    <xf numFmtId="0" fontId="3" fillId="5" borderId="13" pivotButton="0" quotePrefix="0" xfId="0"/>
    <xf numFmtId="0" fontId="3" fillId="5" borderId="13" applyAlignment="1" pivotButton="0" quotePrefix="0" xfId="0">
      <alignment vertical="center"/>
    </xf>
    <xf numFmtId="0" fontId="3" fillId="5" borderId="12" pivotButton="0" quotePrefix="0" xfId="0"/>
    <xf numFmtId="0" fontId="3" fillId="5" borderId="31" pivotButton="0" quotePrefix="0" xfId="0"/>
    <xf numFmtId="0" fontId="3" fillId="5" borderId="33" pivotButton="0" quotePrefix="0" xfId="0"/>
    <xf numFmtId="0" fontId="3" fillId="5" borderId="32" pivotButton="0" quotePrefix="0" xfId="0"/>
    <xf numFmtId="0" fontId="8" fillId="0" borderId="0" applyAlignment="1" pivotButton="0" quotePrefix="1" xfId="0">
      <alignment horizontal="center" vertical="center"/>
    </xf>
    <xf numFmtId="164" fontId="23" fillId="0" borderId="0" applyAlignment="1" pivotButton="0" quotePrefix="0" xfId="0">
      <alignment horizontal="center"/>
    </xf>
    <xf numFmtId="0" fontId="25" fillId="0" borderId="0" applyAlignment="1" pivotButton="0" quotePrefix="0" xfId="0">
      <alignment horizontal="center"/>
    </xf>
    <xf numFmtId="169" fontId="32" fillId="0" borderId="0" pivotButton="0" quotePrefix="0" xfId="0"/>
    <xf numFmtId="169" fontId="4" fillId="0" borderId="0" pivotButton="0" quotePrefix="0" xfId="0"/>
    <xf numFmtId="0" fontId="3" fillId="0" borderId="0" pivotButton="0" quotePrefix="0" xfId="0"/>
    <xf numFmtId="0" fontId="32" fillId="0" borderId="0" applyAlignment="1" pivotButton="0" quotePrefix="0" xfId="0">
      <alignment horizontal="center"/>
    </xf>
    <xf numFmtId="0" fontId="23" fillId="0" borderId="0" applyAlignment="1" pivotButton="0" quotePrefix="0" xfId="0">
      <alignment horizontal="center"/>
    </xf>
    <xf numFmtId="169" fontId="7" fillId="0" borderId="0" pivotButton="0" quotePrefix="0" xfId="0"/>
    <xf numFmtId="0" fontId="3" fillId="0" borderId="0" applyAlignment="1" pivotButton="0" quotePrefix="0" xfId="0">
      <alignment vertical="center"/>
    </xf>
    <xf numFmtId="169" fontId="23" fillId="0" borderId="0" applyAlignment="1" pivotButton="0" quotePrefix="0" xfId="0">
      <alignment vertical="center"/>
    </xf>
    <xf numFmtId="14" fontId="44" fillId="5" borderId="9" applyAlignment="1" pivotButton="0" quotePrefix="0" xfId="8">
      <alignment horizontal="center" vertic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3" fontId="44" fillId="5" borderId="9" applyAlignment="1" pivotButton="0" quotePrefix="0" xfId="8">
      <alignment horizontal="right" vertical="center"/>
    </xf>
    <xf numFmtId="3" fontId="44" fillId="5" borderId="9" applyAlignment="1" pivotButton="0" quotePrefix="0" xfId="8">
      <alignment horizontal="center" vertical="center"/>
    </xf>
    <xf numFmtId="1" fontId="44" fillId="5" borderId="9" applyAlignment="1" pivotButton="0" quotePrefix="0" xfId="8">
      <alignment horizontal="center" vertical="center" wrapText="1"/>
    </xf>
    <xf numFmtId="10" fontId="1" fillId="5" borderId="0" applyAlignment="1" pivotButton="0" quotePrefix="0" xfId="8">
      <alignment horizontal="center" vertical="center"/>
    </xf>
    <xf numFmtId="10" fontId="48" fillId="5" borderId="0" applyAlignment="1" pivotButton="0" quotePrefix="0" xfId="8">
      <alignment horizontal="center" vertical="center" wrapText="1"/>
    </xf>
    <xf numFmtId="10" fontId="1" fillId="5" borderId="1" applyAlignment="1" pivotButton="0" quotePrefix="0" xfId="8">
      <alignment horizontal="center" vertical="center"/>
    </xf>
    <xf numFmtId="10" fontId="48" fillId="5" borderId="1" applyAlignment="1" pivotButton="0" quotePrefix="0" xfId="8">
      <alignment horizontal="center" vertical="center" wrapText="1"/>
    </xf>
    <xf numFmtId="0" fontId="1" fillId="6" borderId="1" pivotButton="0" quotePrefix="0" xfId="9"/>
    <xf numFmtId="14" fontId="1" fillId="6" borderId="1" pivotButton="0" quotePrefix="0" xfId="9"/>
    <xf numFmtId="188" fontId="1" fillId="6" borderId="1" pivotButton="0" quotePrefix="0" xfId="9"/>
    <xf numFmtId="167" fontId="1" fillId="6" borderId="1" pivotButton="0" quotePrefix="0" xfId="9"/>
    <xf numFmtId="3" fontId="1" fillId="6" borderId="1" pivotButton="0" quotePrefix="0" xfId="9"/>
    <xf numFmtId="0" fontId="5" fillId="6" borderId="0" applyAlignment="1" pivotButton="0" quotePrefix="0" xfId="8">
      <alignment horizontal="center"/>
    </xf>
    <xf numFmtId="0" fontId="48" fillId="5" borderId="1" pivotButton="0" quotePrefix="0" xfId="0"/>
    <xf numFmtId="0" fontId="48" fillId="5" borderId="0" applyAlignment="1" pivotButton="0" quotePrefix="0" xfId="0">
      <alignment horizontal="center"/>
    </xf>
    <xf numFmtId="0" fontId="44" fillId="5" borderId="9" applyAlignment="1" pivotButton="0" quotePrefix="0" xfId="0">
      <alignment horizontal="center"/>
    </xf>
    <xf numFmtId="167" fontId="48" fillId="5" borderId="9" applyAlignment="1" pivotButton="0" quotePrefix="0" xfId="0">
      <alignment horizontal="center"/>
    </xf>
    <xf numFmtId="0" fontId="48" fillId="5" borderId="9" applyAlignment="1" pivotButton="0" quotePrefix="0" xfId="0">
      <alignment horizontal="center"/>
    </xf>
    <xf numFmtId="0" fontId="48" fillId="5" borderId="1" applyAlignment="1" pivotButton="0" quotePrefix="0" xfId="0">
      <alignment horizontal="center"/>
    </xf>
    <xf numFmtId="0" fontId="30" fillId="19" borderId="0" applyAlignment="1" pivotButton="0" quotePrefix="0" xfId="0">
      <alignment horizontal="center" vertical="center"/>
    </xf>
    <xf numFmtId="0" fontId="30" fillId="19"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right" vertical="center"/>
    </xf>
    <xf numFmtId="180" fontId="41" fillId="5" borderId="16" applyAlignment="1" pivotButton="0" quotePrefix="0" xfId="0">
      <alignment horizontal="center" vertical="center" wrapText="1"/>
    </xf>
    <xf numFmtId="9" fontId="5" fillId="5" borderId="0" applyAlignment="1" pivotButton="0" quotePrefix="0" xfId="4">
      <alignment horizontal="center" vertical="center"/>
    </xf>
    <xf numFmtId="3" fontId="41" fillId="5" borderId="16" applyAlignment="1" pivotButton="0" quotePrefix="0" xfId="0">
      <alignment horizontal="center" vertical="center" wrapText="1"/>
    </xf>
    <xf numFmtId="0" fontId="41" fillId="5" borderId="16" applyAlignment="1" pivotButton="0" quotePrefix="0" xfId="0">
      <alignment horizontal="center" vertical="center" wrapText="1"/>
    </xf>
    <xf numFmtId="2" fontId="41" fillId="5" borderId="16" applyAlignment="1" pivotButton="0" quotePrefix="0" xfId="4">
      <alignment horizontal="center" vertical="center" wrapText="1"/>
    </xf>
    <xf numFmtId="9" fontId="41" fillId="5" borderId="21" applyAlignment="1" pivotButton="0" quotePrefix="0" xfId="4">
      <alignment horizontal="center" vertical="center" wrapText="1"/>
    </xf>
    <xf numFmtId="9" fontId="5" fillId="5" borderId="14" applyAlignment="1" pivotButton="0" quotePrefix="0" xfId="4">
      <alignment horizontal="center" vertical="center"/>
    </xf>
    <xf numFmtId="0" fontId="32" fillId="5" borderId="0" applyAlignment="1" pivotButton="0" quotePrefix="0" xfId="1">
      <alignment horizontal="left" vertical="top" wrapText="1"/>
    </xf>
    <xf numFmtId="0" fontId="32" fillId="5" borderId="0" applyAlignment="1" pivotButton="0" quotePrefix="0" xfId="1">
      <alignment horizontal="left" vertical="top"/>
    </xf>
    <xf numFmtId="3" fontId="32" fillId="5" borderId="0" applyAlignment="1" pivotButton="0" quotePrefix="0" xfId="1">
      <alignment horizontal="left" vertical="top"/>
    </xf>
    <xf numFmtId="14" fontId="32" fillId="5" borderId="0" applyAlignment="1" pivotButton="0" quotePrefix="0" xfId="1">
      <alignment horizontal="left" vertical="top"/>
    </xf>
    <xf numFmtId="14" fontId="39" fillId="19" borderId="18" pivotButton="0" quotePrefix="0" xfId="0"/>
    <xf numFmtId="0" fontId="31" fillId="19" borderId="36" pivotButton="0" quotePrefix="0" xfId="0"/>
    <xf numFmtId="0" fontId="5" fillId="0" borderId="4" pivotButton="0" quotePrefix="0" xfId="0"/>
    <xf numFmtId="0" fontId="0" fillId="5" borderId="2" pivotButton="0" quotePrefix="0" xfId="0"/>
    <xf numFmtId="169" fontId="0" fillId="5" borderId="14" pivotButton="0" quotePrefix="0" xfId="0"/>
    <xf numFmtId="0" fontId="0" fillId="5" borderId="3" pivotButton="0" quotePrefix="0" xfId="0"/>
    <xf numFmtId="169" fontId="0" fillId="5" borderId="4" pivotButton="0" quotePrefix="0" xfId="0"/>
    <xf numFmtId="0" fontId="0" fillId="0" borderId="2" pivotButton="0" quotePrefix="0" xfId="0"/>
    <xf numFmtId="169" fontId="0" fillId="0" borderId="14" pivotButton="0" quotePrefix="0" xfId="3"/>
    <xf numFmtId="0" fontId="0" fillId="0" borderId="3" pivotButton="0" quotePrefix="0" xfId="0"/>
    <xf numFmtId="167" fontId="0" fillId="0" borderId="4" pivotButton="0" quotePrefix="0" xfId="3"/>
    <xf numFmtId="0" fontId="32" fillId="5" borderId="0" applyAlignment="1" pivotButton="0" quotePrefix="0" xfId="1">
      <alignment horizontal="left" vertical="center"/>
    </xf>
    <xf numFmtId="0" fontId="32" fillId="5" borderId="0" applyAlignment="1" pivotButton="0" quotePrefix="0" xfId="0">
      <alignment horizontal="left" vertical="top" wrapText="1"/>
    </xf>
    <xf numFmtId="0" fontId="32" fillId="5" borderId="1" applyAlignment="1" pivotButton="0" quotePrefix="0" xfId="1">
      <alignment horizontal="left" vertical="top" wrapText="1"/>
    </xf>
    <xf numFmtId="0" fontId="34" fillId="6" borderId="9" applyAlignment="1" pivotButton="0" quotePrefix="0" xfId="0">
      <alignment horizontal="center" wrapText="1"/>
    </xf>
    <xf numFmtId="0" fontId="34" fillId="6" borderId="9" applyAlignment="1" pivotButton="0" quotePrefix="0" xfId="0">
      <alignment horizontal="left" wrapText="1"/>
    </xf>
    <xf numFmtId="167" fontId="32" fillId="5" borderId="0" applyAlignment="1" pivotButton="0" quotePrefix="0" xfId="3">
      <alignment horizontal="center"/>
    </xf>
    <xf numFmtId="193" fontId="32" fillId="5" borderId="0" pivotButton="0" quotePrefix="0" xfId="3"/>
    <xf numFmtId="0" fontId="41" fillId="5" borderId="0" pivotButton="0" quotePrefix="0" xfId="0"/>
    <xf numFmtId="0" fontId="48" fillId="5" borderId="0" applyAlignment="1" pivotButton="0" quotePrefix="0" xfId="0">
      <alignment horizontal="center" vertical="center" wrapText="1"/>
    </xf>
    <xf numFmtId="0" fontId="48" fillId="5" borderId="0" applyAlignment="1" pivotButton="0" quotePrefix="0" xfId="0">
      <alignment horizontal="center" wrapText="1"/>
    </xf>
    <xf numFmtId="0" fontId="48" fillId="5" borderId="0" applyAlignment="1" pivotButton="0" quotePrefix="0" xfId="0">
      <alignment horizontal="center" vertical="center"/>
    </xf>
    <xf numFmtId="10" fontId="44" fillId="5" borderId="9" applyAlignment="1" pivotButton="0" quotePrefix="0" xfId="0">
      <alignment horizontal="center" vertical="center"/>
    </xf>
    <xf numFmtId="0" fontId="69" fillId="6" borderId="72" pivotButton="0" quotePrefix="0" xfId="0"/>
    <xf numFmtId="0" fontId="69" fillId="6" borderId="73" pivotButton="0" quotePrefix="0" xfId="0"/>
    <xf numFmtId="0" fontId="69" fillId="6" borderId="74" pivotButton="0" quotePrefix="0" xfId="0"/>
    <xf numFmtId="164" fontId="68" fillId="5" borderId="9" applyAlignment="1" pivotButton="0" quotePrefix="0" xfId="0">
      <alignment horizontal="center" vertical="center" wrapText="1"/>
    </xf>
    <xf numFmtId="0" fontId="25" fillId="19" borderId="6" applyAlignment="1" pivotButton="0" quotePrefix="0" xfId="0">
      <alignment horizontal="center"/>
    </xf>
    <xf numFmtId="0" fontId="6" fillId="19" borderId="0" applyAlignment="1" pivotButton="0" quotePrefix="0" xfId="0">
      <alignment horizontal="left" vertical="center" indent="1"/>
    </xf>
    <xf numFmtId="0" fontId="6" fillId="19" borderId="0" applyAlignment="1" applyProtection="1" pivotButton="0" quotePrefix="0" xfId="0">
      <alignment horizontal="left" vertical="center"/>
      <protection locked="0" hidden="0"/>
    </xf>
    <xf numFmtId="0" fontId="6" fillId="19" borderId="0" applyAlignment="1" applyProtection="1" pivotButton="0" quotePrefix="0" xfId="0">
      <alignment horizontal="centerContinuous"/>
      <protection locked="0" hidden="0"/>
    </xf>
    <xf numFmtId="196" fontId="6" fillId="19" borderId="0" applyAlignment="1" applyProtection="1" pivotButton="0" quotePrefix="0" xfId="0">
      <alignment horizontal="centerContinuous"/>
      <protection locked="0" hidden="0"/>
    </xf>
    <xf numFmtId="0" fontId="6" fillId="19" borderId="0" applyAlignment="1" pivotButton="0" quotePrefix="0" xfId="0">
      <alignment horizontal="left" vertical="center"/>
    </xf>
    <xf numFmtId="0" fontId="22" fillId="19" borderId="0" applyAlignment="1" pivotButton="0" quotePrefix="0" xfId="0">
      <alignment horizontal="left"/>
    </xf>
    <xf numFmtId="0" fontId="6" fillId="19" borderId="0" applyAlignment="1" pivotButton="0" quotePrefix="0" xfId="0">
      <alignment horizontal="centerContinuous"/>
    </xf>
    <xf numFmtId="0" fontId="6" fillId="19" borderId="0" applyAlignment="1" pivotButton="0" quotePrefix="0" xfId="0">
      <alignment horizontal="center" wrapText="1"/>
    </xf>
    <xf numFmtId="0" fontId="6" fillId="19" borderId="0" applyAlignment="1" pivotButton="0" quotePrefix="0" xfId="0">
      <alignment horizontal="center"/>
    </xf>
    <xf numFmtId="0" fontId="25" fillId="19" borderId="0" pivotButton="0" quotePrefix="0" xfId="0"/>
    <xf numFmtId="165" fontId="4" fillId="19" borderId="0" pivotButton="0" quotePrefix="0" xfId="3"/>
    <xf numFmtId="166" fontId="4" fillId="19" borderId="0" pivotButton="0" quotePrefix="0" xfId="3"/>
    <xf numFmtId="0" fontId="4" fillId="19" borderId="0" applyAlignment="1" pivotButton="0" quotePrefix="0" xfId="0">
      <alignment horizontal="center"/>
    </xf>
    <xf numFmtId="167" fontId="4" fillId="19" borderId="0" pivotButton="0" quotePrefix="0" xfId="0"/>
    <xf numFmtId="168" fontId="4" fillId="19" borderId="0" pivotButton="0" quotePrefix="0" xfId="2"/>
    <xf numFmtId="193" fontId="32" fillId="6" borderId="0" pivotButton="0" quotePrefix="0" xfId="3"/>
    <xf numFmtId="193" fontId="1" fillId="6" borderId="0" pivotButton="0" quotePrefix="0" xfId="9"/>
    <xf numFmtId="0" fontId="64" fillId="6" borderId="0" applyAlignment="1" pivotButton="0" quotePrefix="0" xfId="0">
      <alignment horizontal="left" wrapText="1"/>
    </xf>
    <xf numFmtId="0" fontId="0" fillId="6" borderId="0" applyAlignment="1" pivotButton="0" quotePrefix="0" xfId="0">
      <alignment horizontal="left" wrapText="1"/>
    </xf>
    <xf numFmtId="0" fontId="72" fillId="0" borderId="0" pivotButton="0" quotePrefix="0" xfId="0"/>
    <xf numFmtId="0" fontId="0" fillId="6" borderId="0" applyAlignment="1" pivotButton="0" quotePrefix="0" xfId="0">
      <alignment vertical="top"/>
    </xf>
    <xf numFmtId="0" fontId="74" fillId="6" borderId="10" applyAlignment="1" pivotButton="0" quotePrefix="0" xfId="14">
      <alignment horizontal="center" vertical="center" wrapText="1"/>
    </xf>
    <xf numFmtId="0" fontId="15" fillId="6" borderId="0" applyAlignment="1" pivotButton="0" quotePrefix="0" xfId="0">
      <alignment vertical="top"/>
    </xf>
    <xf numFmtId="0" fontId="18" fillId="6" borderId="0" applyAlignment="1" pivotButton="0" quotePrefix="0" xfId="0">
      <alignment horizontal="justify" vertical="top" wrapText="1"/>
    </xf>
    <xf numFmtId="0" fontId="75" fillId="6" borderId="0" pivotButton="0" quotePrefix="0" xfId="0"/>
    <xf numFmtId="0" fontId="48" fillId="6" borderId="0" applyAlignment="1" pivotButton="0" quotePrefix="0" xfId="0">
      <alignment horizontal="justify" vertical="top" wrapText="1"/>
    </xf>
    <xf numFmtId="0" fontId="58" fillId="6" borderId="0" applyAlignment="1" pivotButton="0" quotePrefix="0" xfId="0">
      <alignment horizontal="center" wrapText="1"/>
    </xf>
    <xf numFmtId="49" fontId="0" fillId="5" borderId="0" applyAlignment="1" pivotButton="0" quotePrefix="0" xfId="0">
      <alignment horizontal="center"/>
    </xf>
    <xf numFmtId="167" fontId="0" fillId="5" borderId="0" applyAlignment="1" pivotButton="0" quotePrefix="0" xfId="0">
      <alignment horizontal="center"/>
    </xf>
    <xf numFmtId="198" fontId="0" fillId="5" borderId="0" applyAlignment="1" pivotButton="0" quotePrefix="0" xfId="0">
      <alignment horizontal="center"/>
    </xf>
    <xf numFmtId="198" fontId="0" fillId="0" borderId="0" pivotButton="0" quotePrefix="0" xfId="0"/>
    <xf numFmtId="198" fontId="0" fillId="10" borderId="0" pivotButton="0" quotePrefix="0" xfId="0"/>
    <xf numFmtId="0" fontId="29" fillId="0" borderId="0" applyAlignment="1" pivotButton="0" quotePrefix="0" xfId="0">
      <alignment horizontal="right"/>
    </xf>
    <xf numFmtId="171" fontId="0" fillId="5" borderId="0" applyAlignment="1" pivotButton="0" quotePrefix="0" xfId="0">
      <alignment horizontal="center"/>
    </xf>
    <xf numFmtId="199" fontId="0" fillId="5" borderId="0" applyAlignment="1" pivotButton="0" quotePrefix="0" xfId="0">
      <alignment horizontal="center"/>
    </xf>
    <xf numFmtId="0" fontId="5" fillId="24" borderId="0" pivotButton="0" quotePrefix="0" xfId="0"/>
    <xf numFmtId="49" fontId="0" fillId="0" borderId="0" pivotButton="0" quotePrefix="0" xfId="0"/>
    <xf numFmtId="167" fontId="17" fillId="10" borderId="0" applyAlignment="1" pivotButton="0" quotePrefix="0" xfId="0">
      <alignment vertical="center"/>
    </xf>
    <xf numFmtId="167" fontId="4" fillId="10" borderId="0" applyAlignment="1" pivotButton="0" quotePrefix="0" xfId="0">
      <alignment vertical="center"/>
    </xf>
    <xf numFmtId="198" fontId="4" fillId="10" borderId="0" applyAlignment="1" pivotButton="0" quotePrefix="0" xfId="2">
      <alignment vertical="center"/>
    </xf>
    <xf numFmtId="198" fontId="4" fillId="10" borderId="1" applyAlignment="1" pivotButton="0" quotePrefix="0" xfId="2">
      <alignment vertical="center"/>
    </xf>
    <xf numFmtId="171" fontId="4" fillId="10" borderId="0" applyAlignment="1" pivotButton="0" quotePrefix="0" xfId="0">
      <alignment vertical="center"/>
    </xf>
    <xf numFmtId="199" fontId="4" fillId="10" borderId="0" applyAlignment="1" pivotButton="0" quotePrefix="0" xfId="0">
      <alignment vertical="center"/>
    </xf>
    <xf numFmtId="171" fontId="4" fillId="10" borderId="1" applyAlignment="1" pivotButton="0" quotePrefix="0" xfId="0">
      <alignment vertical="center"/>
    </xf>
    <xf numFmtId="0" fontId="17" fillId="10" borderId="11" applyAlignment="1" pivotButton="0" quotePrefix="0" xfId="0">
      <alignment vertical="center"/>
    </xf>
    <xf numFmtId="3" fontId="17" fillId="10" borderId="11" applyAlignment="1" pivotButton="0" quotePrefix="0" xfId="0">
      <alignment horizontal="left"/>
    </xf>
    <xf numFmtId="0" fontId="17" fillId="10" borderId="0" applyAlignment="1" pivotButton="0" quotePrefix="0" xfId="0">
      <alignment vertical="center"/>
    </xf>
    <xf numFmtId="3" fontId="4" fillId="10" borderId="0" applyAlignment="1" pivotButton="0" quotePrefix="0" xfId="0">
      <alignment horizontal="left"/>
    </xf>
    <xf numFmtId="3" fontId="17" fillId="10" borderId="0" applyAlignment="1" pivotButton="0" quotePrefix="0" xfId="0">
      <alignment horizontal="left" vertical="center"/>
    </xf>
    <xf numFmtId="3" fontId="4" fillId="10" borderId="1" applyAlignment="1" pivotButton="0" quotePrefix="0" xfId="0">
      <alignment horizontal="left"/>
    </xf>
    <xf numFmtId="0" fontId="79" fillId="0" borderId="0" pivotButton="0" quotePrefix="0" xfId="0"/>
    <xf numFmtId="0" fontId="80" fillId="0" borderId="0"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0" fontId="79" fillId="24" borderId="0" pivotButton="0" quotePrefix="0" xfId="0"/>
    <xf numFmtId="0" fontId="77" fillId="0" borderId="0" pivotButton="0" quotePrefix="0" xfId="0"/>
    <xf numFmtId="0" fontId="0" fillId="0" borderId="0" pivotButton="0" quotePrefix="0" xfId="0"/>
    <xf numFmtId="0" fontId="58" fillId="9" borderId="0" applyAlignment="1" pivotButton="0" quotePrefix="0" xfId="0">
      <alignment horizontal="center"/>
    </xf>
    <xf numFmtId="0" fontId="76" fillId="16" borderId="0" applyAlignment="1" pivotButton="0" quotePrefix="0" xfId="0">
      <alignment horizontal="center"/>
    </xf>
    <xf numFmtId="0" fontId="5" fillId="23" borderId="0" applyAlignment="1" pivotButton="0" quotePrefix="0" xfId="0">
      <alignment horizontal="center"/>
    </xf>
    <xf numFmtId="0" fontId="78" fillId="16" borderId="0" applyAlignment="1" pivotButton="0" quotePrefix="0" xfId="0">
      <alignment horizontal="center"/>
    </xf>
    <xf numFmtId="171" fontId="32" fillId="6" borderId="0" applyAlignment="1" pivotButton="0" quotePrefix="0" xfId="4">
      <alignment horizontal="left" wrapText="1"/>
    </xf>
    <xf numFmtId="0" fontId="32" fillId="6" borderId="0" applyAlignment="1" pivotButton="0" quotePrefix="0" xfId="11">
      <alignment horizontal="left" vertical="center" wrapText="1"/>
    </xf>
    <xf numFmtId="0" fontId="32" fillId="6" borderId="0" applyAlignment="1" pivotButton="0" quotePrefix="0" xfId="11">
      <alignment horizontal="left" wrapText="1"/>
    </xf>
    <xf numFmtId="191" fontId="32" fillId="6" borderId="0" applyAlignment="1" pivotButton="0" quotePrefix="0" xfId="11">
      <alignment horizontal="left" vertical="center" wrapText="1"/>
    </xf>
    <xf numFmtId="0" fontId="47" fillId="5" borderId="0" applyAlignment="1" pivotButton="0" quotePrefix="0" xfId="11">
      <alignment horizontal="left" wrapText="1"/>
    </xf>
    <xf numFmtId="0" fontId="0" fillId="6" borderId="0" applyAlignment="1" pivotButton="0" quotePrefix="0" xfId="0">
      <alignment horizontal="left" wrapText="1"/>
    </xf>
    <xf numFmtId="0" fontId="0" fillId="6" borderId="0" pivotButton="0" quotePrefix="0" xfId="0"/>
    <xf numFmtId="0" fontId="32" fillId="5" borderId="0" applyAlignment="1" pivotButton="0" quotePrefix="0" xfId="11">
      <alignment horizontal="left" vertical="center" wrapText="1"/>
    </xf>
    <xf numFmtId="191" fontId="32" fillId="6" borderId="0" applyAlignment="1" pivotButton="0" quotePrefix="0" xfId="11">
      <alignment horizontal="left" wrapText="1"/>
    </xf>
    <xf numFmtId="1" fontId="39" fillId="19" borderId="0" applyAlignment="1" pivotButton="0" quotePrefix="0" xfId="11">
      <alignment horizontal="left" wrapText="1"/>
    </xf>
    <xf numFmtId="0" fontId="48" fillId="5" borderId="0" applyAlignment="1" pivotButton="0" quotePrefix="0" xfId="0">
      <alignment horizontal="left" vertical="top" wrapText="1"/>
    </xf>
    <xf numFmtId="196" fontId="47" fillId="6" borderId="0" applyAlignment="1" pivotButton="0" quotePrefix="0" xfId="11">
      <alignment horizontal="left" wrapText="1"/>
    </xf>
    <xf numFmtId="0" fontId="64" fillId="6" borderId="0" applyAlignment="1" pivotButton="0" quotePrefix="0" xfId="0">
      <alignment horizontal="left" wrapText="1"/>
    </xf>
    <xf numFmtId="0" fontId="32" fillId="6" borderId="1" applyAlignment="1" pivotButton="0" quotePrefix="0" xfId="11">
      <alignment horizontal="left" wrapText="1"/>
    </xf>
    <xf numFmtId="0" fontId="0" fillId="0" borderId="1" pivotButton="0" quotePrefix="0" xfId="0"/>
    <xf numFmtId="0" fontId="48" fillId="6" borderId="0" applyAlignment="1" pivotButton="0" quotePrefix="0" xfId="0">
      <alignment horizontal="justify" vertical="top" wrapText="1"/>
    </xf>
    <xf numFmtId="0" fontId="47" fillId="6" borderId="0" applyAlignment="1" pivotButton="0" quotePrefix="0" xfId="11">
      <alignment horizontal="justify" wrapText="1"/>
    </xf>
    <xf numFmtId="0" fontId="47" fillId="5" borderId="0" applyAlignment="1" pivotButton="0" quotePrefix="0" xfId="11">
      <alignment horizontal="justify" wrapText="1"/>
    </xf>
    <xf numFmtId="0" fontId="0" fillId="5" borderId="0" applyAlignment="1" pivotButton="0" quotePrefix="0" xfId="0">
      <alignment horizontal="left" wrapText="1"/>
    </xf>
    <xf numFmtId="0" fontId="32" fillId="5" borderId="0" applyAlignment="1" pivotButton="0" quotePrefix="0" xfId="11">
      <alignment horizontal="left" wrapText="1"/>
    </xf>
    <xf numFmtId="0" fontId="18" fillId="5" borderId="1" applyAlignment="1" pivotButton="0" quotePrefix="0" xfId="0">
      <alignment horizontal="left" vertical="top" wrapText="1"/>
    </xf>
    <xf numFmtId="0" fontId="58" fillId="16" borderId="0" applyAlignment="1" pivotButton="0" quotePrefix="0" xfId="0">
      <alignment horizontal="center"/>
    </xf>
    <xf numFmtId="179" fontId="47" fillId="6" borderId="0" applyAlignment="1" pivotButton="0" quotePrefix="0" xfId="11">
      <alignment horizontal="left" wrapText="1"/>
    </xf>
    <xf numFmtId="0" fontId="39" fillId="16" borderId="11" applyAlignment="1" pivotButton="0" quotePrefix="0" xfId="10">
      <alignment horizontal="center"/>
    </xf>
    <xf numFmtId="0" fontId="0" fillId="0" borderId="11" pivotButton="0" quotePrefix="0" xfId="0"/>
    <xf numFmtId="0" fontId="32" fillId="5" borderId="0" applyAlignment="1" pivotButton="0" quotePrefix="0" xfId="0">
      <alignment horizontal="left" vertical="center" wrapText="1"/>
    </xf>
    <xf numFmtId="0" fontId="5" fillId="6" borderId="0" applyAlignment="1" pivotButton="0" quotePrefix="0" xfId="0">
      <alignment wrapText="1"/>
    </xf>
    <xf numFmtId="0" fontId="39" fillId="16" borderId="0" applyAlignment="1" pivotButton="0" quotePrefix="0" xfId="10">
      <alignment horizontal="center"/>
    </xf>
    <xf numFmtId="0" fontId="58" fillId="16" borderId="11" applyAlignment="1" pivotButton="0" quotePrefix="0" xfId="0">
      <alignment horizontal="center"/>
    </xf>
    <xf numFmtId="1" fontId="32" fillId="6" borderId="0" applyAlignment="1" pivotButton="0" quotePrefix="0" xfId="11">
      <alignment horizontal="left" vertical="center" wrapText="1"/>
    </xf>
    <xf numFmtId="0" fontId="58" fillId="16" borderId="0" applyAlignment="1" pivotButton="0" quotePrefix="0" xfId="0">
      <alignment horizontal="center" wrapText="1"/>
    </xf>
    <xf numFmtId="0" fontId="50" fillId="6" borderId="0" applyAlignment="1" pivotButton="0" quotePrefix="0" xfId="0">
      <alignment horizontal="left" vertical="top" wrapText="1"/>
    </xf>
    <xf numFmtId="3" fontId="0" fillId="5" borderId="0" applyAlignment="1" pivotButton="0" quotePrefix="0" xfId="0">
      <alignment horizontal="left" wrapText="1"/>
    </xf>
    <xf numFmtId="1" fontId="32" fillId="6" borderId="1" applyAlignment="1" pivotButton="0" quotePrefix="0" xfId="11">
      <alignment horizontal="left" vertical="center" wrapText="1"/>
    </xf>
    <xf numFmtId="0" fontId="34" fillId="6" borderId="0" applyAlignment="1" pivotButton="0" quotePrefix="0" xfId="10">
      <alignment horizontal="left"/>
    </xf>
    <xf numFmtId="0" fontId="32" fillId="6" borderId="0" applyAlignment="1" pivotButton="0" quotePrefix="0" xfId="0">
      <alignment horizontal="left" vertical="center" wrapText="1"/>
    </xf>
    <xf numFmtId="0" fontId="0" fillId="5" borderId="1" applyAlignment="1" pivotButton="0" quotePrefix="0" xfId="0">
      <alignment horizontal="center"/>
    </xf>
    <xf numFmtId="0" fontId="18" fillId="5" borderId="0" applyAlignment="1" pivotButton="0" quotePrefix="0" xfId="0">
      <alignment horizontal="left" vertical="top" wrapText="1"/>
    </xf>
    <xf numFmtId="0" fontId="47" fillId="6" borderId="0" applyAlignment="1" pivotButton="0" quotePrefix="0" xfId="11">
      <alignment horizontal="left" wrapText="1"/>
    </xf>
    <xf numFmtId="0" fontId="47" fillId="5" borderId="1" applyAlignment="1" pivotButton="0" quotePrefix="0" xfId="11">
      <alignment horizontal="left" wrapText="1"/>
    </xf>
    <xf numFmtId="0" fontId="18" fillId="6" borderId="0" applyAlignment="1" pivotButton="0" quotePrefix="0" xfId="0">
      <alignment horizontal="left" vertical="top" wrapText="1"/>
    </xf>
    <xf numFmtId="9" fontId="32" fillId="6" borderId="0" applyAlignment="1" pivotButton="0" quotePrefix="0" xfId="4">
      <alignment horizontal="left" vertical="center" wrapText="1"/>
    </xf>
    <xf numFmtId="0" fontId="0" fillId="6" borderId="0" applyAlignment="1" pivotButton="0" quotePrefix="0" xfId="0">
      <alignment horizontal="center"/>
    </xf>
    <xf numFmtId="179" fontId="47" fillId="5" borderId="0" applyAlignment="1" pivotButton="0" quotePrefix="0" xfId="11">
      <alignment horizontal="left" wrapText="1"/>
    </xf>
    <xf numFmtId="0" fontId="58" fillId="16" borderId="0" applyAlignment="1" pivotButton="0" quotePrefix="0" xfId="0">
      <alignment horizontal="center" vertical="top" wrapText="1"/>
    </xf>
    <xf numFmtId="0" fontId="48" fillId="5" borderId="0" applyAlignment="1" pivotButton="0" quotePrefix="0" xfId="0">
      <alignment horizontal="left"/>
    </xf>
    <xf numFmtId="0" fontId="55" fillId="19" borderId="47" applyAlignment="1" pivotButton="0" quotePrefix="0" xfId="0">
      <alignment horizontal="center"/>
    </xf>
    <xf numFmtId="0" fontId="0" fillId="0" borderId="47" pivotButton="0" quotePrefix="0" xfId="0"/>
    <xf numFmtId="10" fontId="48" fillId="6" borderId="5" applyAlignment="1" pivotButton="0" quotePrefix="0" xfId="4">
      <alignment horizontal="center"/>
    </xf>
    <xf numFmtId="0" fontId="0" fillId="0" borderId="5" pivotButton="0" quotePrefix="0" xfId="0"/>
    <xf numFmtId="0" fontId="8" fillId="16" borderId="0" applyAlignment="1" pivotButton="0" quotePrefix="0" xfId="0">
      <alignment horizontal="center" vertical="center" wrapText="1" justifyLastLine="1"/>
    </xf>
    <xf numFmtId="0" fontId="48" fillId="5" borderId="1" applyAlignment="1" pivotButton="0" quotePrefix="0" xfId="0">
      <alignment horizontal="left"/>
    </xf>
    <xf numFmtId="0" fontId="53" fillId="10" borderId="1" applyAlignment="1" pivotButton="0" quotePrefix="0" xfId="0">
      <alignment horizontal="left" vertical="top" wrapText="1"/>
    </xf>
    <xf numFmtId="0" fontId="44" fillId="10" borderId="1" applyAlignment="1" pivotButton="0" quotePrefix="0" xfId="0">
      <alignment horizontal="left" vertical="top"/>
    </xf>
    <xf numFmtId="10" fontId="48" fillId="6" borderId="49" applyAlignment="1" pivotButton="0" quotePrefix="0" xfId="4">
      <alignment horizontal="center"/>
    </xf>
    <xf numFmtId="0" fontId="0" fillId="0" borderId="49" pivotButton="0" quotePrefix="0" xfId="0"/>
    <xf numFmtId="0" fontId="32" fillId="5" borderId="0" applyAlignment="1" pivotButton="0" quotePrefix="0" xfId="11">
      <alignment horizontal="justify" vertical="top" wrapText="1"/>
    </xf>
    <xf numFmtId="0" fontId="39" fillId="16" borderId="0" applyAlignment="1" pivotButton="0" quotePrefix="0" xfId="10">
      <alignment horizontal="center" vertical="center"/>
    </xf>
    <xf numFmtId="0" fontId="32" fillId="5" borderId="1" applyAlignment="1" pivotButton="0" quotePrefix="0" xfId="11">
      <alignment horizontal="justify" vertical="center" wrapText="1"/>
    </xf>
    <xf numFmtId="0" fontId="32" fillId="6" borderId="0" applyAlignment="1" pivotButton="0" quotePrefix="0" xfId="0">
      <alignment horizontal="left" vertical="top" wrapText="1"/>
    </xf>
    <xf numFmtId="0" fontId="32" fillId="6" borderId="0" applyAlignment="1" pivotButton="0" quotePrefix="0" xfId="11">
      <alignment horizontal="left" vertical="top" wrapText="1"/>
    </xf>
    <xf numFmtId="0" fontId="40" fillId="20" borderId="0" applyAlignment="1" pivotButton="0" quotePrefix="0" xfId="10">
      <alignment horizontal="center" vertical="center"/>
    </xf>
    <xf numFmtId="0" fontId="32" fillId="6" borderId="1" applyAlignment="1" pivotButton="0" quotePrefix="0" xfId="11">
      <alignment horizontal="justify" vertical="top" wrapText="1"/>
    </xf>
    <xf numFmtId="0" fontId="40" fillId="21" borderId="0" applyAlignment="1" pivotButton="0" quotePrefix="0" xfId="0">
      <alignment horizontal="center" vertical="center"/>
    </xf>
    <xf numFmtId="0" fontId="32" fillId="5" borderId="1" applyAlignment="1" pivotButton="0" quotePrefix="0" xfId="11">
      <alignment horizontal="justify" vertical="top" wrapText="1"/>
    </xf>
    <xf numFmtId="200" fontId="32" fillId="6" borderId="1" applyAlignment="1" pivotButton="0" quotePrefix="0" xfId="11">
      <alignment horizontal="justify" vertical="top" wrapText="1"/>
    </xf>
    <xf numFmtId="0" fontId="32" fillId="5" borderId="67" applyAlignment="1" pivotButton="0" quotePrefix="0" xfId="11">
      <alignment horizontal="justify" vertical="top" wrapText="1"/>
    </xf>
    <xf numFmtId="0" fontId="0" fillId="0" borderId="67" pivotButton="0" quotePrefix="0" xfId="0"/>
    <xf numFmtId="0" fontId="32" fillId="6" borderId="0" applyAlignment="1" pivotButton="0" quotePrefix="0" xfId="11">
      <alignment horizontal="justify" vertical="top" wrapText="1"/>
    </xf>
    <xf numFmtId="2" fontId="32" fillId="6" borderId="1" applyAlignment="1" pivotButton="0" quotePrefix="0" xfId="11">
      <alignment horizontal="justify" vertical="top" wrapText="1"/>
    </xf>
    <xf numFmtId="200" fontId="32" fillId="6" borderId="0" applyAlignment="1" pivotButton="0" quotePrefix="0" xfId="11">
      <alignment horizontal="justify" vertical="top" wrapText="1"/>
    </xf>
    <xf numFmtId="191" fontId="32" fillId="6" borderId="0" applyAlignment="1" pivotButton="0" quotePrefix="0" xfId="11">
      <alignment horizontal="left" vertical="top" wrapText="1"/>
    </xf>
    <xf numFmtId="0" fontId="32" fillId="5" borderId="67" applyAlignment="1" pivotButton="0" quotePrefix="0" xfId="11">
      <alignment horizontal="left" vertical="top" wrapText="1"/>
    </xf>
    <xf numFmtId="200" fontId="32" fillId="5" borderId="0" applyAlignment="1" pivotButton="0" quotePrefix="0" xfId="11">
      <alignment horizontal="justify" vertical="top" wrapText="1"/>
    </xf>
    <xf numFmtId="0" fontId="32" fillId="5" borderId="0" applyAlignment="1" pivotButton="0" quotePrefix="0" xfId="11">
      <alignment horizontal="left" vertical="top" wrapText="1"/>
    </xf>
    <xf numFmtId="0" fontId="32" fillId="5" borderId="1" applyAlignment="1" pivotButton="0" quotePrefix="0" xfId="11">
      <alignment horizontal="left" vertical="top" wrapText="1"/>
    </xf>
    <xf numFmtId="0" fontId="32" fillId="6" borderId="67"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9" fontId="32" fillId="6" borderId="0" applyAlignment="1" pivotButton="0" quotePrefix="0" xfId="4">
      <alignment horizontal="justify" vertical="top" wrapText="1"/>
    </xf>
    <xf numFmtId="202" fontId="32" fillId="6" borderId="0" applyAlignment="1" pivotButton="0" quotePrefix="0" xfId="11">
      <alignment horizontal="justify" vertical="top" wrapText="1"/>
    </xf>
    <xf numFmtId="0" fontId="32" fillId="6" borderId="0" applyAlignment="1" pivotButton="0" quotePrefix="0" xfId="11">
      <alignment horizontal="justify" wrapText="1"/>
    </xf>
    <xf numFmtId="0" fontId="8" fillId="16" borderId="0" applyAlignment="1" pivotButton="0" quotePrefix="0" xfId="0">
      <alignment horizontal="center"/>
    </xf>
    <xf numFmtId="0" fontId="2" fillId="2" borderId="0" applyAlignment="1" pivotButton="0" quotePrefix="0" xfId="0">
      <alignment horizontal="center" vertical="center" justifyLastLine="1"/>
    </xf>
    <xf numFmtId="0" fontId="2" fillId="15" borderId="11" applyAlignment="1" pivotButton="0" quotePrefix="0" xfId="0">
      <alignment horizontal="left" vertical="center" justifyLastLine="1"/>
    </xf>
    <xf numFmtId="0" fontId="58" fillId="16" borderId="0" applyAlignment="1" pivotButton="0" quotePrefix="0" xfId="0">
      <alignment horizontal="center" vertical="center" justifyLastLine="1"/>
    </xf>
    <xf numFmtId="0" fontId="45" fillId="15" borderId="0" applyAlignment="1" pivotButton="0" quotePrefix="0" xfId="0">
      <alignment horizontal="center" vertical="center" justifyLastLine="1"/>
    </xf>
    <xf numFmtId="0" fontId="0" fillId="0" borderId="0" applyAlignment="1" pivotButton="0" quotePrefix="0" xfId="0">
      <alignment horizontal="right"/>
    </xf>
    <xf numFmtId="165" fontId="50" fillId="22" borderId="1" applyAlignment="1" pivotButton="0" quotePrefix="0" xfId="0">
      <alignment horizontal="right"/>
    </xf>
    <xf numFmtId="3" fontId="48" fillId="6" borderId="2" applyAlignment="1" pivotButton="0" quotePrefix="0" xfId="2">
      <alignment horizontal="right" vertical="center" justifyLastLine="1"/>
    </xf>
    <xf numFmtId="0" fontId="39" fillId="16" borderId="0" applyAlignment="1" pivotButton="0" quotePrefix="0" xfId="0">
      <alignment horizontal="center" justifyLastLine="1"/>
    </xf>
    <xf numFmtId="0" fontId="48" fillId="6" borderId="2" applyAlignment="1" pivotButton="0" quotePrefix="0" xfId="0">
      <alignment horizontal="right" vertical="center" wrapText="1" justifyLastLine="1"/>
    </xf>
    <xf numFmtId="0" fontId="48" fillId="6" borderId="2" applyAlignment="1" pivotButton="0" quotePrefix="0" xfId="0">
      <alignment horizontal="right" vertical="center" justifyLastLine="1"/>
    </xf>
    <xf numFmtId="169" fontId="49" fillId="6" borderId="40" applyAlignment="1" pivotButton="0" quotePrefix="0" xfId="3">
      <alignment horizontal="right" vertical="center" wrapText="1" justifyLastLine="1"/>
    </xf>
    <xf numFmtId="0" fontId="0" fillId="0" borderId="7" pivotButton="0" quotePrefix="0" xfId="0"/>
    <xf numFmtId="169" fontId="48" fillId="6" borderId="2" applyAlignment="1" pivotButton="0" quotePrefix="0" xfId="3">
      <alignment horizontal="right" vertical="center" justifyLastLine="1"/>
    </xf>
    <xf numFmtId="3" fontId="48" fillId="6" borderId="2" applyAlignment="1" pivotButton="0" quotePrefix="0" xfId="2">
      <alignment horizontal="right" vertical="center" wrapText="1" justifyLastLine="1"/>
    </xf>
    <xf numFmtId="0" fontId="45" fillId="4" borderId="0" applyAlignment="1" pivotButton="0" quotePrefix="0" xfId="0">
      <alignment horizontal="center" vertical="center" justifyLastLine="1"/>
    </xf>
    <xf numFmtId="180" fontId="49" fillId="6" borderId="2" applyAlignment="1" pivotButton="0" quotePrefix="0" xfId="0">
      <alignment horizontal="right" vertical="center" justifyLastLine="1"/>
    </xf>
    <xf numFmtId="0" fontId="39" fillId="16" borderId="0" applyAlignment="1" pivotButton="0" quotePrefix="0" xfId="0">
      <alignment horizontal="center" vertical="center"/>
    </xf>
    <xf numFmtId="0" fontId="8" fillId="16" borderId="0" applyAlignment="1" pivotButton="0" quotePrefix="1" xfId="0">
      <alignment horizontal="center" vertical="center"/>
    </xf>
    <xf numFmtId="3" fontId="32" fillId="0" borderId="0" pivotButton="0" quotePrefix="0" xfId="0"/>
    <xf numFmtId="165" fontId="32" fillId="0" borderId="0" pivotButton="0" quotePrefix="0" xfId="0"/>
    <xf numFmtId="0" fontId="8" fillId="0" borderId="0" applyAlignment="1" pivotButton="0" quotePrefix="1" xfId="0">
      <alignment horizontal="center" vertical="center"/>
    </xf>
    <xf numFmtId="0" fontId="32" fillId="0" borderId="0" pivotButton="0" quotePrefix="0" xfId="0"/>
    <xf numFmtId="0" fontId="8" fillId="2" borderId="0" applyAlignment="1" pivotButton="0" quotePrefix="1" xfId="0">
      <alignment horizontal="center" vertical="center"/>
    </xf>
    <xf numFmtId="0" fontId="8" fillId="2" borderId="0" applyAlignment="1" pivotButton="0" quotePrefix="0" xfId="0">
      <alignment horizontal="center" vertical="center"/>
    </xf>
    <xf numFmtId="0" fontId="4" fillId="0" borderId="0" pivotButton="0" quotePrefix="0" xfId="0"/>
    <xf numFmtId="165" fontId="50" fillId="0" borderId="1" applyAlignment="1" pivotButton="0" quotePrefix="0" xfId="0">
      <alignment horizontal="right"/>
    </xf>
    <xf numFmtId="3" fontId="48" fillId="6" borderId="0" applyAlignment="1" pivotButton="0" quotePrefix="0" xfId="2">
      <alignment horizontal="right" vertical="top" justifyLastLine="1"/>
    </xf>
    <xf numFmtId="180" fontId="49" fillId="6" borderId="0" applyAlignment="1" pivotButton="0" quotePrefix="0" xfId="0">
      <alignment horizontal="right" vertical="top" justifyLastLine="1"/>
    </xf>
    <xf numFmtId="169" fontId="48" fillId="6" borderId="0" applyAlignment="1" pivotButton="0" quotePrefix="0" xfId="3">
      <alignment horizontal="right" vertical="top" justifyLastLine="1"/>
    </xf>
    <xf numFmtId="0" fontId="48" fillId="6" borderId="0" applyAlignment="1" pivotButton="0" quotePrefix="0" xfId="0">
      <alignment horizontal="right" vertical="top" wrapText="1" justifyLastLine="1"/>
    </xf>
    <xf numFmtId="0" fontId="0" fillId="0" borderId="0" applyAlignment="1" pivotButton="0" quotePrefix="0" xfId="0">
      <alignment wrapText="1"/>
    </xf>
    <xf numFmtId="0" fontId="48" fillId="6" borderId="0" applyAlignment="1" pivotButton="0" quotePrefix="0" xfId="0">
      <alignment horizontal="right" vertical="top" justifyLastLine="1"/>
    </xf>
    <xf numFmtId="169" fontId="49" fillId="6" borderId="7" applyAlignment="1" pivotButton="0" quotePrefix="0" xfId="3">
      <alignment horizontal="right" vertical="top" wrapText="1" justifyLastLine="1"/>
    </xf>
    <xf numFmtId="1" fontId="49" fillId="6" borderId="0" applyAlignment="1" pivotButton="0" quotePrefix="0" xfId="3">
      <alignment horizontal="right" vertical="top" justifyLastLine="1"/>
    </xf>
    <xf numFmtId="3" fontId="48" fillId="0" borderId="0" applyAlignment="1" pivotButton="0" quotePrefix="0" xfId="2">
      <alignment horizontal="right" vertical="center" justifyLastLine="1"/>
    </xf>
    <xf numFmtId="0" fontId="48" fillId="0" borderId="15" applyAlignment="1" pivotButton="0" quotePrefix="0" xfId="0">
      <alignment horizontal="right" vertical="center" justifyLastLine="1"/>
    </xf>
    <xf numFmtId="0" fontId="0" fillId="0" borderId="14" pivotButton="0" quotePrefix="0" xfId="0"/>
    <xf numFmtId="0" fontId="48" fillId="0" borderId="2" applyAlignment="1" pivotButton="0" quotePrefix="0" xfId="0">
      <alignment horizontal="right" vertical="center" justifyLastLine="1"/>
    </xf>
    <xf numFmtId="0" fontId="39" fillId="2" borderId="0" applyAlignment="1" pivotButton="0" quotePrefix="0" xfId="0">
      <alignment horizontal="center" vertical="center" justifyLastLine="1"/>
    </xf>
    <xf numFmtId="0" fontId="48" fillId="6" borderId="2" applyAlignment="1" pivotButton="0" quotePrefix="0" xfId="0">
      <alignment horizontal="right" vertical="top" justifyLastLine="1"/>
    </xf>
    <xf numFmtId="169" fontId="48" fillId="0" borderId="0" applyAlignment="1" pivotButton="0" quotePrefix="0" xfId="3">
      <alignment horizontal="right" vertical="center" justifyLastLine="1"/>
    </xf>
    <xf numFmtId="180" fontId="49" fillId="0" borderId="15" applyAlignment="1" pivotButton="0" quotePrefix="0" xfId="0">
      <alignment horizontal="right" vertical="center" justifyLastLine="1"/>
    </xf>
    <xf numFmtId="169" fontId="48" fillId="0" borderId="15" applyAlignment="1" pivotButton="0" quotePrefix="0" xfId="3">
      <alignment horizontal="right" vertical="center" justifyLastLine="1"/>
    </xf>
    <xf numFmtId="169" fontId="48" fillId="6" borderId="15" applyAlignment="1" pivotButton="0" quotePrefix="0" xfId="3">
      <alignment horizontal="right" vertical="top" justifyLastLine="1"/>
    </xf>
    <xf numFmtId="3" fontId="48" fillId="0" borderId="2" applyAlignment="1" pivotButton="0" quotePrefix="0" xfId="2">
      <alignment horizontal="right" vertical="center" justifyLastLine="1"/>
    </xf>
    <xf numFmtId="3" fontId="48" fillId="0" borderId="15" applyAlignment="1" pivotButton="0" quotePrefix="0" xfId="2">
      <alignment horizontal="right" vertical="center" justifyLastLine="1"/>
    </xf>
    <xf numFmtId="180" fontId="49" fillId="0" borderId="2" applyAlignment="1" pivotButton="0" quotePrefix="0" xfId="0">
      <alignment horizontal="right" vertical="center" justifyLastLine="1"/>
    </xf>
    <xf numFmtId="169" fontId="48" fillId="0" borderId="2" applyAlignment="1" pivotButton="0" quotePrefix="0" xfId="3">
      <alignment horizontal="right" vertical="center" justifyLastLine="1"/>
    </xf>
    <xf numFmtId="3" fontId="48" fillId="6" borderId="15" applyAlignment="1" pivotButton="0" quotePrefix="0" xfId="2">
      <alignment horizontal="right" vertical="top" justifyLastLine="1"/>
    </xf>
    <xf numFmtId="0" fontId="48" fillId="0" borderId="0" applyAlignment="1" pivotButton="0" quotePrefix="0" xfId="0">
      <alignment horizontal="right" vertical="center" justifyLastLine="1"/>
    </xf>
    <xf numFmtId="0" fontId="48" fillId="6" borderId="15" applyAlignment="1" pivotButton="0" quotePrefix="0" xfId="0">
      <alignment horizontal="right" vertical="top" wrapText="1" justifyLastLine="1"/>
    </xf>
    <xf numFmtId="0" fontId="48" fillId="0" borderId="2" applyAlignment="1" pivotButton="0" quotePrefix="0" xfId="0">
      <alignment horizontal="right" vertical="center" wrapText="1" justifyLastLine="1"/>
    </xf>
    <xf numFmtId="0" fontId="49" fillId="6" borderId="2" applyAlignment="1" pivotButton="0" quotePrefix="0" xfId="3">
      <alignment horizontal="right" vertical="top" justifyLastLine="1"/>
    </xf>
    <xf numFmtId="0" fontId="48" fillId="0" borderId="15" applyAlignment="1" pivotButton="0" quotePrefix="0" xfId="0">
      <alignment horizontal="right" vertical="center" wrapText="1" justifyLastLine="1"/>
    </xf>
    <xf numFmtId="0" fontId="48" fillId="0" borderId="0" applyAlignment="1" pivotButton="0" quotePrefix="0" xfId="0">
      <alignment horizontal="right" vertical="center" wrapText="1" justifyLastLine="1"/>
    </xf>
    <xf numFmtId="169" fontId="49" fillId="0" borderId="75" applyAlignment="1" pivotButton="0" quotePrefix="0" xfId="3">
      <alignment horizontal="right" vertical="center" wrapText="1" justifyLastLine="1"/>
    </xf>
    <xf numFmtId="0" fontId="0" fillId="0" borderId="41" pivotButton="0" quotePrefix="0" xfId="0"/>
    <xf numFmtId="168" fontId="48" fillId="0" borderId="15" applyAlignment="1" pivotButton="0" quotePrefix="0" xfId="2">
      <alignment horizontal="right" vertical="center" justifyLastLine="1"/>
    </xf>
    <xf numFmtId="0" fontId="39" fillId="4" borderId="0" applyAlignment="1" pivotButton="0" quotePrefix="0" xfId="0">
      <alignment horizontal="center" vertical="center" justifyLastLine="1"/>
    </xf>
    <xf numFmtId="0" fontId="48" fillId="6" borderId="2" applyAlignment="1" pivotButton="0" quotePrefix="0" xfId="0">
      <alignment horizontal="right" vertical="top" wrapText="1" justifyLastLine="1"/>
    </xf>
    <xf numFmtId="0" fontId="46" fillId="4" borderId="0" applyAlignment="1" pivotButton="0" quotePrefix="0" xfId="0">
      <alignment horizontal="center" vertical="center" justifyLastLine="1"/>
    </xf>
    <xf numFmtId="0" fontId="48" fillId="6" borderId="15" applyAlignment="1" pivotButton="0" quotePrefix="0" xfId="0">
      <alignment horizontal="right" vertical="top" justifyLastLine="1"/>
    </xf>
    <xf numFmtId="180" fontId="49" fillId="6" borderId="2" applyAlignment="1" pivotButton="0" quotePrefix="0" xfId="0">
      <alignment horizontal="right" vertical="top"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80" fontId="49" fillId="0" borderId="0" applyAlignment="1" pivotButton="0" quotePrefix="0" xfId="0">
      <alignment horizontal="right" vertical="center" justifyLastLine="1"/>
    </xf>
    <xf numFmtId="3" fontId="48" fillId="6" borderId="2" applyAlignment="1" pivotButton="0" quotePrefix="0" xfId="2">
      <alignment horizontal="right" vertical="top" justifyLastLine="1"/>
    </xf>
    <xf numFmtId="169" fontId="49" fillId="6" borderId="75" applyAlignment="1" pivotButton="0" quotePrefix="0" xfId="3">
      <alignment horizontal="right" vertical="top" wrapText="1" justifyLastLine="1"/>
    </xf>
    <xf numFmtId="0" fontId="58" fillId="16" borderId="0" applyAlignment="1" pivotButton="0" quotePrefix="0" xfId="0">
      <alignment horizontal="center" vertical="center"/>
    </xf>
    <xf numFmtId="0" fontId="44" fillId="3" borderId="10" applyAlignment="1" pivotButton="0" quotePrefix="0" xfId="0">
      <alignment horizontal="left" vertical="center" wrapText="1"/>
    </xf>
    <xf numFmtId="0" fontId="0" fillId="0" borderId="9" pivotButton="0" quotePrefix="0" xfId="0"/>
    <xf numFmtId="0" fontId="0" fillId="0" borderId="17" pivotButton="0" quotePrefix="0" xfId="0"/>
    <xf numFmtId="0" fontId="41" fillId="6" borderId="15" applyAlignment="1" pivotButton="0" quotePrefix="0" xfId="0">
      <alignment vertical="center" wrapText="1"/>
    </xf>
    <xf numFmtId="3" fontId="41" fillId="5" borderId="15" applyAlignment="1" pivotButton="0" quotePrefix="0" xfId="0">
      <alignment horizontal="center" vertical="center" wrapText="1"/>
    </xf>
    <xf numFmtId="0" fontId="41" fillId="5" borderId="15" applyAlignment="1" pivotButton="0" quotePrefix="0" xfId="0">
      <alignment horizontal="center" vertical="center" wrapText="1"/>
    </xf>
    <xf numFmtId="167" fontId="41" fillId="5" borderId="15" applyAlignment="1" pivotButton="0" quotePrefix="0" xfId="3">
      <alignment horizontal="center" vertical="center" wrapText="1"/>
    </xf>
    <xf numFmtId="0" fontId="41" fillId="6" borderId="15" applyAlignment="1" pivotButton="0" quotePrefix="0" xfId="0">
      <alignment horizontal="left" vertical="center" wrapText="1"/>
    </xf>
    <xf numFmtId="167" fontId="41" fillId="6" borderId="15" applyAlignment="1" pivotButton="0" quotePrefix="0" xfId="0">
      <alignment vertical="center" wrapText="1"/>
    </xf>
    <xf numFmtId="180" fontId="41" fillId="5" borderId="15" applyAlignment="1" pivotButton="0" quotePrefix="0" xfId="3">
      <alignment horizontal="center" vertical="center" wrapText="1"/>
    </xf>
    <xf numFmtId="169" fontId="41" fillId="5" borderId="15" applyAlignment="1" pivotButton="0" quotePrefix="0" xfId="3">
      <alignment horizontal="center" vertical="center" wrapText="1"/>
    </xf>
    <xf numFmtId="0" fontId="41" fillId="6" borderId="22" applyAlignment="1" pivotButton="0" quotePrefix="0" xfId="0">
      <alignment vertical="center" wrapText="1"/>
    </xf>
    <xf numFmtId="0" fontId="0" fillId="0" borderId="4" pivotButton="0" quotePrefix="0" xfId="0"/>
    <xf numFmtId="0" fontId="39" fillId="16" borderId="76" applyAlignment="1" pivotButton="0" quotePrefix="0" xfId="0">
      <alignment horizontal="center" vertical="center" wrapText="1"/>
    </xf>
    <xf numFmtId="0" fontId="0" fillId="0" borderId="77" pivotButton="0" quotePrefix="0" xfId="0"/>
    <xf numFmtId="0" fontId="42" fillId="15" borderId="2" applyAlignment="1" pivotButton="0" quotePrefix="0" xfId="0">
      <alignment horizontal="left" vertical="center" wrapText="1"/>
    </xf>
    <xf numFmtId="0" fontId="13" fillId="4" borderId="0" pivotButton="0" quotePrefix="0" xfId="0"/>
    <xf numFmtId="0" fontId="42" fillId="15" borderId="11" applyAlignment="1" pivotButton="0" quotePrefix="0" xfId="0">
      <alignment horizontal="center" vertical="center" wrapText="1"/>
    </xf>
    <xf numFmtId="167" fontId="41" fillId="0" borderId="15" applyAlignment="1" pivotButton="0" quotePrefix="0" xfId="3">
      <alignment horizontal="center" vertical="center" wrapText="1"/>
    </xf>
    <xf numFmtId="167" fontId="43" fillId="3" borderId="10" applyAlignment="1" pivotButton="0" quotePrefix="0" xfId="3">
      <alignment horizontal="center" vertical="center" wrapText="1"/>
    </xf>
    <xf numFmtId="0" fontId="40" fillId="15" borderId="0" applyAlignment="1" pivotButton="0" quotePrefix="0" xfId="0">
      <alignment horizontal="center" vertical="center" wrapText="1"/>
    </xf>
    <xf numFmtId="0" fontId="41" fillId="0" borderId="15" applyAlignment="1" pivotButton="0" quotePrefix="0" xfId="0">
      <alignment horizontal="center" vertical="center" wrapText="1"/>
    </xf>
    <xf numFmtId="0" fontId="40" fillId="4" borderId="14" applyAlignment="1" pivotButton="0" quotePrefix="0" xfId="0">
      <alignment horizontal="center" vertical="top" wrapText="1"/>
    </xf>
    <xf numFmtId="1" fontId="41" fillId="5" borderId="15" applyAlignment="1" pivotButton="0" quotePrefix="0" xfId="0">
      <alignment horizontal="center" vertical="center" wrapText="1"/>
    </xf>
    <xf numFmtId="9" fontId="41" fillId="5" borderId="15" applyAlignment="1" pivotButton="0" quotePrefix="0" xfId="4">
      <alignment horizontal="center" vertical="center" wrapText="1"/>
    </xf>
    <xf numFmtId="0" fontId="40" fillId="15" borderId="2" applyAlignment="1" pivotButton="0" quotePrefix="0" xfId="0">
      <alignment horizontal="left" vertical="center" wrapText="1"/>
    </xf>
    <xf numFmtId="0" fontId="42" fillId="15" borderId="0" applyAlignment="1" pivotButton="0" quotePrefix="0" xfId="0">
      <alignment horizontal="center" vertical="center" wrapText="1"/>
    </xf>
    <xf numFmtId="167" fontId="41" fillId="6" borderId="22" applyAlignment="1" pivotButton="0" quotePrefix="0" xfId="0">
      <alignment vertical="center" wrapText="1"/>
    </xf>
    <xf numFmtId="3" fontId="41" fillId="5" borderId="15" applyAlignment="1" pivotButton="0" quotePrefix="0" xfId="3">
      <alignment horizontal="center" vertical="center" wrapText="1"/>
    </xf>
    <xf numFmtId="3" fontId="41" fillId="0" borderId="15" applyAlignment="1" pivotButton="0" quotePrefix="0" xfId="0">
      <alignment horizontal="center" vertical="center" wrapText="1"/>
    </xf>
    <xf numFmtId="167" fontId="43" fillId="3" borderId="10" applyAlignment="1" pivotButton="0" quotePrefix="0" xfId="0">
      <alignment vertical="center" wrapText="1"/>
    </xf>
    <xf numFmtId="167" fontId="41" fillId="0" borderId="22" applyAlignment="1" pivotButton="0" quotePrefix="0" xfId="3">
      <alignment horizontal="center" vertical="center" wrapText="1"/>
    </xf>
    <xf numFmtId="180" fontId="41" fillId="0" borderId="15" applyAlignment="1" pivotButton="0" quotePrefix="0" xfId="3">
      <alignment horizontal="center" vertical="center" wrapText="1"/>
    </xf>
    <xf numFmtId="2" fontId="41" fillId="5" borderId="15" applyAlignment="1" pivotButton="0" quotePrefix="0" xfId="4">
      <alignment horizontal="center" vertical="center" wrapText="1"/>
    </xf>
    <xf numFmtId="0" fontId="41" fillId="0" borderId="15" applyAlignment="1" pivotButton="0" quotePrefix="0" xfId="0">
      <alignment horizontal="left" vertical="center" wrapText="1"/>
    </xf>
    <xf numFmtId="167" fontId="41" fillId="5" borderId="22" applyAlignment="1" pivotButton="0" quotePrefix="0" xfId="3">
      <alignment horizontal="center" vertical="center" wrapText="1"/>
    </xf>
    <xf numFmtId="1" fontId="4" fillId="5" borderId="0" applyAlignment="1" pivotButton="0" quotePrefix="0" xfId="0">
      <alignment horizontal="center" vertical="top"/>
    </xf>
    <xf numFmtId="3" fontId="7" fillId="3" borderId="78" applyAlignment="1" pivotButton="0" quotePrefix="0" xfId="0">
      <alignment horizontal="center" vertical="top" wrapText="1"/>
    </xf>
    <xf numFmtId="1" fontId="7" fillId="3" borderId="78" applyAlignment="1" pivotButton="0" quotePrefix="0" xfId="0">
      <alignment horizontal="center" vertical="top"/>
    </xf>
    <xf numFmtId="3" fontId="7" fillId="3" borderId="78" applyAlignment="1" pivotButton="0" quotePrefix="0" xfId="0">
      <alignment horizontal="center" vertical="top"/>
    </xf>
    <xf numFmtId="3" fontId="4" fillId="5" borderId="0" applyAlignment="1" pivotButton="0" quotePrefix="0" xfId="0">
      <alignment horizontal="center" vertical="top"/>
    </xf>
    <xf numFmtId="0" fontId="8" fillId="16" borderId="0" applyAlignment="1" pivotButton="0" quotePrefix="0" xfId="0">
      <alignment horizontal="center" vertical="center"/>
    </xf>
    <xf numFmtId="0" fontId="8" fillId="4" borderId="0" applyAlignment="1" pivotButton="0" quotePrefix="0" xfId="0">
      <alignment horizontal="center"/>
    </xf>
    <xf numFmtId="0" fontId="20" fillId="2" borderId="0" applyAlignment="1" pivotButton="0" quotePrefix="0" xfId="6">
      <alignment horizontal="center" vertical="top"/>
    </xf>
    <xf numFmtId="166" fontId="4" fillId="0" borderId="0" applyAlignment="1" pivotButton="0" quotePrefix="0" xfId="3">
      <alignment horizontal="center"/>
    </xf>
    <xf numFmtId="170" fontId="4" fillId="0" borderId="0" applyAlignment="1" pivotButton="0" quotePrefix="0" xfId="3">
      <alignment horizontal="center"/>
    </xf>
    <xf numFmtId="203" fontId="24" fillId="0" borderId="0" applyAlignment="1" pivotButton="0" quotePrefix="0" xfId="0">
      <alignment horizontal="left" vertical="top" wrapText="1"/>
    </xf>
    <xf numFmtId="173" fontId="9" fillId="0" borderId="0" applyAlignment="1" pivotButton="0" quotePrefix="0" xfId="0">
      <alignment horizontal="left" vertical="top" wrapText="1"/>
    </xf>
    <xf numFmtId="203" fontId="9" fillId="0" borderId="0" applyAlignment="1" pivotButton="0" quotePrefix="0" xfId="0">
      <alignment horizontal="left" vertical="top" wrapText="1"/>
    </xf>
    <xf numFmtId="170" fontId="4" fillId="0" borderId="0" applyAlignment="1" pivotButton="0" quotePrefix="0" xfId="3">
      <alignment horizontal="center" vertical="center"/>
    </xf>
    <xf numFmtId="166" fontId="4" fillId="0" borderId="0" applyAlignment="1" pivotButton="0" quotePrefix="0" xfId="3">
      <alignment horizontal="center" vertical="center"/>
    </xf>
    <xf numFmtId="0" fontId="8" fillId="2"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 fillId="2" borderId="0" applyAlignment="1" pivotButton="0" quotePrefix="0" xfId="0">
      <alignment horizontal="center" vertical="top" wrapText="1"/>
    </xf>
    <xf numFmtId="0" fontId="39" fillId="16" borderId="1" applyAlignment="1" pivotButton="0" quotePrefix="0" xfId="0">
      <alignment horizontal="center" vertical="center"/>
    </xf>
    <xf numFmtId="169" fontId="32" fillId="5" borderId="11" applyAlignment="1" pivotButton="0" quotePrefix="0" xfId="3">
      <alignment horizontal="right"/>
    </xf>
    <xf numFmtId="0" fontId="40" fillId="16" borderId="46" applyAlignment="1" pivotButton="0" quotePrefix="0" xfId="0">
      <alignment horizontal="center" vertical="center" wrapText="1"/>
    </xf>
    <xf numFmtId="193" fontId="32" fillId="0" borderId="0" pivotButton="0" quotePrefix="0" xfId="3"/>
    <xf numFmtId="0" fontId="0" fillId="0" borderId="46" pivotButton="0" quotePrefix="0" xfId="0"/>
    <xf numFmtId="0" fontId="32" fillId="5" borderId="0" applyAlignment="1" pivotButton="0" quotePrefix="0" xfId="0">
      <alignment horizontal="left" wrapText="1"/>
    </xf>
    <xf numFmtId="0" fontId="39" fillId="15" borderId="1" applyAlignment="1" pivotButton="0" quotePrefix="0" xfId="0">
      <alignment horizontal="right"/>
    </xf>
    <xf numFmtId="0" fontId="40" fillId="16" borderId="0" applyAlignment="1" pivotButton="0" quotePrefix="0" xfId="0">
      <alignment horizontal="center" vertical="center" wrapText="1"/>
    </xf>
    <xf numFmtId="169" fontId="32" fillId="0" borderId="1" applyAlignment="1" pivotButton="0" quotePrefix="0" xfId="3">
      <alignment horizontal="right"/>
    </xf>
    <xf numFmtId="0" fontId="21" fillId="16" borderId="0" applyAlignment="1" pivotButton="0" quotePrefix="0" xfId="0">
      <alignment horizontal="center" vertical="center"/>
    </xf>
    <xf numFmtId="0" fontId="32" fillId="3" borderId="11" applyAlignment="1" pivotButton="0" quotePrefix="0" xfId="0">
      <alignment horizontal="left"/>
    </xf>
    <xf numFmtId="169" fontId="32" fillId="3" borderId="9" applyAlignment="1" pivotButton="0" quotePrefix="0" xfId="3">
      <alignment horizontal="right"/>
    </xf>
    <xf numFmtId="170" fontId="50" fillId="3" borderId="9" applyAlignment="1" pivotButton="0" quotePrefix="0" xfId="0">
      <alignment horizontal="center"/>
    </xf>
    <xf numFmtId="170" fontId="47" fillId="0" borderId="11" applyAlignment="1" pivotButton="0" quotePrefix="0" xfId="0">
      <alignment horizontal="center"/>
    </xf>
    <xf numFmtId="0" fontId="21" fillId="17" borderId="1" applyAlignment="1" pivotButton="0" quotePrefix="0" xfId="0">
      <alignment horizontal="center"/>
    </xf>
    <xf numFmtId="0" fontId="5" fillId="0" borderId="9" applyAlignment="1" pivotButton="0" quotePrefix="0" xfId="0">
      <alignment horizontal="center"/>
    </xf>
    <xf numFmtId="170" fontId="47" fillId="0" borderId="1" applyAlignment="1" pivotButton="0" quotePrefix="0" xfId="0">
      <alignment horizontal="center"/>
    </xf>
    <xf numFmtId="170" fontId="47" fillId="0" borderId="0" applyAlignment="1" pivotButton="0" quotePrefix="0" xfId="0">
      <alignment horizontal="center"/>
    </xf>
    <xf numFmtId="170" fontId="50" fillId="3" borderId="9" applyAlignment="1" pivotButton="0" quotePrefix="0" xfId="0">
      <alignment horizontal="center" vertical="center"/>
    </xf>
    <xf numFmtId="170" fontId="50" fillId="0" borderId="9" applyAlignment="1" pivotButton="0" quotePrefix="0" xfId="0">
      <alignment horizontal="center"/>
    </xf>
    <xf numFmtId="10" fontId="32" fillId="5" borderId="0" applyAlignment="1" pivotButton="0" quotePrefix="0" xfId="4">
      <alignment horizontal="right" vertical="top"/>
    </xf>
    <xf numFmtId="10" fontId="34" fillId="3" borderId="9" applyAlignment="1" pivotButton="0" quotePrefix="0" xfId="4">
      <alignment horizontal="right"/>
    </xf>
    <xf numFmtId="169" fontId="32" fillId="0" borderId="0" applyAlignment="1" pivotButton="0" quotePrefix="0" xfId="3">
      <alignment horizontal="right"/>
    </xf>
    <xf numFmtId="0" fontId="40" fillId="12" borderId="55" applyAlignment="1" pivotButton="0" quotePrefix="0" xfId="0">
      <alignment horizontal="center" vertical="center" wrapText="1"/>
    </xf>
    <xf numFmtId="0" fontId="0" fillId="0" borderId="23" pivotButton="0" quotePrefix="0" xfId="0"/>
    <xf numFmtId="0" fontId="0" fillId="0" borderId="55" pivotButton="0" quotePrefix="0" xfId="0"/>
    <xf numFmtId="10" fontId="32" fillId="3" borderId="0" applyAlignment="1" pivotButton="0" quotePrefix="0" xfId="4">
      <alignment horizontal="right"/>
    </xf>
    <xf numFmtId="0" fontId="40" fillId="12" borderId="69" applyAlignment="1" pivotButton="0" quotePrefix="0" xfId="0">
      <alignment horizontal="center" vertical="center" wrapText="1"/>
    </xf>
    <xf numFmtId="0" fontId="0" fillId="0" borderId="53" pivotButton="0" quotePrefix="0" xfId="0"/>
    <xf numFmtId="0" fontId="0" fillId="0" borderId="54" pivotButton="0" quotePrefix="0" xfId="0"/>
    <xf numFmtId="193" fontId="68" fillId="6" borderId="9" applyAlignment="1" pivotButton="0" quotePrefix="0" xfId="0">
      <alignment horizontal="center" vertical="center" wrapText="1"/>
    </xf>
    <xf numFmtId="0" fontId="39" fillId="15" borderId="0" applyAlignment="1" pivotButton="0" quotePrefix="0" xfId="0">
      <alignment horizontal="center"/>
    </xf>
    <xf numFmtId="0" fontId="34" fillId="3" borderId="1" applyAlignment="1" pivotButton="0" quotePrefix="0" xfId="0">
      <alignment horizontal="left"/>
    </xf>
    <xf numFmtId="169" fontId="32" fillId="0" borderId="9" applyAlignment="1" pivotButton="0" quotePrefix="0" xfId="3">
      <alignment horizontal="right"/>
    </xf>
    <xf numFmtId="10" fontId="32" fillId="5" borderId="1" applyAlignment="1" pivotButton="0" quotePrefix="0" xfId="4">
      <alignment horizontal="right" vertical="top"/>
    </xf>
    <xf numFmtId="10" fontId="34" fillId="3" borderId="1" applyAlignment="1" pivotButton="0" quotePrefix="0" xfId="4">
      <alignment horizontal="right"/>
    </xf>
    <xf numFmtId="0" fontId="39" fillId="16" borderId="0" applyAlignment="1" pivotButton="0" quotePrefix="0" xfId="0">
      <alignment horizontal="center"/>
    </xf>
    <xf numFmtId="10" fontId="39" fillId="15" borderId="0" applyAlignment="1" pivotButton="0" quotePrefix="0" xfId="4">
      <alignment horizontal="right"/>
    </xf>
    <xf numFmtId="169" fontId="0" fillId="5" borderId="0" pivotButton="0" quotePrefix="0" xfId="0"/>
    <xf numFmtId="167" fontId="0" fillId="0" borderId="0" pivotButton="0" quotePrefix="0" xfId="0"/>
    <xf numFmtId="170" fontId="0" fillId="0" borderId="0" pivotButton="0" quotePrefix="0" xfId="0"/>
    <xf numFmtId="169" fontId="0" fillId="6" borderId="0" applyAlignment="1" pivotButton="0" quotePrefix="0" xfId="0">
      <alignment horizontal="right"/>
    </xf>
    <xf numFmtId="179" fontId="59" fillId="10" borderId="0" applyAlignment="1" pivotButton="0" quotePrefix="0" xfId="0">
      <alignment horizontal="right"/>
    </xf>
    <xf numFmtId="193" fontId="59" fillId="6" borderId="0" applyAlignment="1" pivotButton="0" quotePrefix="0" xfId="0">
      <alignment horizontal="center"/>
    </xf>
    <xf numFmtId="164" fontId="59" fillId="6" borderId="0" applyAlignment="1" pivotButton="0" quotePrefix="0" xfId="0">
      <alignment horizontal="center"/>
    </xf>
    <xf numFmtId="193" fontId="59" fillId="6" borderId="1" applyAlignment="1" pivotButton="0" quotePrefix="0" xfId="0">
      <alignment horizontal="center"/>
    </xf>
    <xf numFmtId="164" fontId="59" fillId="6" borderId="1" applyAlignment="1" pivotButton="0" quotePrefix="0" xfId="0">
      <alignment horizontal="center"/>
    </xf>
    <xf numFmtId="179" fontId="47" fillId="5" borderId="0" applyAlignment="1" pivotButton="0" quotePrefix="0" xfId="11">
      <alignment horizontal="left"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191" fontId="32" fillId="6" borderId="0" applyAlignment="1" pivotButton="0" quotePrefix="0" xfId="11">
      <alignment horizontal="left" vertical="center" wrapText="1"/>
    </xf>
    <xf numFmtId="169" fontId="32" fillId="6" borderId="0" applyAlignment="1" pivotButton="0" quotePrefix="0" xfId="11">
      <alignment horizontal="center" wrapText="1"/>
    </xf>
    <xf numFmtId="169" fontId="0" fillId="6" borderId="0" applyAlignment="1" pivotButton="0" quotePrefix="0" xfId="0">
      <alignment horizontal="center" wrapText="1"/>
    </xf>
    <xf numFmtId="169" fontId="31" fillId="19" borderId="0" applyAlignment="1" pivotButton="0" quotePrefix="0" xfId="11">
      <alignment horizontal="center" wrapText="1"/>
    </xf>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191" fontId="32" fillId="6" borderId="0" applyAlignment="1" pivotButton="0" quotePrefix="0" xfId="0">
      <alignment horizontal="left" wrapText="1"/>
    </xf>
    <xf numFmtId="195" fontId="32" fillId="6" borderId="0" applyAlignment="1" pivotButton="0" quotePrefix="0" xfId="0">
      <alignment horizontal="left"/>
    </xf>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91" fontId="34" fillId="6" borderId="11" applyAlignment="1" pivotButton="0" quotePrefix="0" xfId="0">
      <alignment horizontal="left" wrapText="1"/>
    </xf>
    <xf numFmtId="195" fontId="34" fillId="6" borderId="11" applyAlignment="1" pivotButton="0" quotePrefix="0" xfId="0">
      <alignment horizontal="left"/>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191" fontId="32" fillId="6" borderId="0" applyAlignment="1" pivotButton="0" quotePrefix="0" xfId="11">
      <alignment horizontal="left" wrapText="1"/>
    </xf>
    <xf numFmtId="171" fontId="32" fillId="6" borderId="0" applyAlignment="1" pivotButton="0" quotePrefix="0" xfId="4">
      <alignment horizontal="left" wrapText="1"/>
    </xf>
    <xf numFmtId="187" fontId="13" fillId="13" borderId="0" applyAlignment="1" pivotButton="0" quotePrefix="0" xfId="0">
      <alignment horizontal="center"/>
    </xf>
    <xf numFmtId="171" fontId="13" fillId="13" borderId="0" applyAlignment="1" pivotButton="0" quotePrefix="0" xfId="4">
      <alignment horizontal="center"/>
    </xf>
    <xf numFmtId="187" fontId="13" fillId="18" borderId="0" applyAlignment="1" pivotButton="0" quotePrefix="0" xfId="0">
      <alignment horizontal="center"/>
    </xf>
    <xf numFmtId="171" fontId="13" fillId="18" borderId="0" applyAlignment="1" pivotButton="0" quotePrefix="0" xfId="4">
      <alignment horizontal="center"/>
    </xf>
    <xf numFmtId="187" fontId="13" fillId="13" borderId="1" applyAlignment="1" pivotButton="0" quotePrefix="0" xfId="0">
      <alignment horizontal="center"/>
    </xf>
    <xf numFmtId="171" fontId="13" fillId="13" borderId="1" applyAlignment="1" pivotButton="0" quotePrefix="0" xfId="4">
      <alignment horizontal="center"/>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179" fontId="32" fillId="5" borderId="0" applyAlignment="1" pivotButton="0" quotePrefix="0" xfId="0">
      <alignment horizontal="justify" vertical="top"/>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191" fontId="32" fillId="6" borderId="0" applyAlignment="1" pivotButton="0" quotePrefix="0" xfId="11">
      <alignment horizontal="left" vertical="top" wrapText="1"/>
    </xf>
    <xf numFmtId="202" fontId="32" fillId="6" borderId="0"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200" fontId="32" fillId="6" borderId="0" applyAlignment="1" pivotButton="0" quotePrefix="0" xfId="11">
      <alignment horizontal="justify" vertical="top" wrapText="1"/>
    </xf>
    <xf numFmtId="200" fontId="32" fillId="5" borderId="0" applyAlignment="1" pivotButton="0" quotePrefix="0" xfId="11">
      <alignment horizontal="justify" vertical="top" wrapText="1"/>
    </xf>
    <xf numFmtId="200" fontId="32" fillId="6" borderId="1" applyAlignment="1" pivotButton="0" quotePrefix="0" xfId="11">
      <alignment horizontal="justify" vertical="top" wrapText="1"/>
    </xf>
    <xf numFmtId="165" fontId="17" fillId="0" borderId="0" applyAlignment="1" pivotButton="0" quotePrefix="0" xfId="3">
      <alignment horizontal="left"/>
    </xf>
    <xf numFmtId="166" fontId="17" fillId="0" borderId="0" applyAlignment="1" pivotButton="0" quotePrefix="0" xfId="3">
      <alignment horizontal="left"/>
    </xf>
    <xf numFmtId="165" fontId="16" fillId="3" borderId="9" applyAlignment="1" pivotButton="0" quotePrefix="0" xfId="3">
      <alignment horizontal="left"/>
    </xf>
    <xf numFmtId="166" fontId="19" fillId="3" borderId="9" applyAlignment="1" pivotButton="0" quotePrefix="0" xfId="3">
      <alignment horizontal="left"/>
    </xf>
    <xf numFmtId="167" fontId="17" fillId="0" borderId="0" applyAlignment="1" pivotButton="0" quotePrefix="0" xfId="3">
      <alignment horizontal="right"/>
    </xf>
    <xf numFmtId="197" fontId="17" fillId="0" borderId="0" applyAlignment="1" pivotButton="0" quotePrefix="0" xfId="3">
      <alignment horizontal="right"/>
    </xf>
    <xf numFmtId="167" fontId="16" fillId="3" borderId="11" applyAlignment="1" pivotButton="0" quotePrefix="0" xfId="0">
      <alignment horizontal="right" vertical="top"/>
    </xf>
    <xf numFmtId="165" fontId="16" fillId="3" borderId="1" applyAlignment="1" pivotButton="0" quotePrefix="0" xfId="3">
      <alignment horizontal="left"/>
    </xf>
    <xf numFmtId="197" fontId="19" fillId="3" borderId="1" applyAlignment="1" pivotButton="0" quotePrefix="0" xfId="3">
      <alignment horizontal="right"/>
    </xf>
    <xf numFmtId="170" fontId="17" fillId="0" borderId="0" applyAlignment="1" pivotButton="0" quotePrefix="0" xfId="3">
      <alignment horizontal="right"/>
    </xf>
    <xf numFmtId="166" fontId="19" fillId="3" borderId="1" applyAlignment="1" pivotButton="0" quotePrefix="0" xfId="3">
      <alignment horizontal="left"/>
    </xf>
    <xf numFmtId="169" fontId="32" fillId="0" borderId="1" applyAlignment="1" pivotButton="0" quotePrefix="0" xfId="0">
      <alignment horizontal="center" vertical="center"/>
    </xf>
    <xf numFmtId="179" fontId="32" fillId="0" borderId="1" applyAlignment="1" pivotButton="0" quotePrefix="0" xfId="0">
      <alignment horizontal="center"/>
    </xf>
    <xf numFmtId="165" fontId="32" fillId="0" borderId="1" applyAlignment="1" pivotButton="0" quotePrefix="0" xfId="3">
      <alignment horizontal="center"/>
    </xf>
    <xf numFmtId="169" fontId="4" fillId="0" borderId="1" applyAlignment="1" pivotButton="0" quotePrefix="0" xfId="0">
      <alignment horizontal="center" vertical="center"/>
    </xf>
    <xf numFmtId="179" fontId="4" fillId="0" borderId="1" applyAlignment="1" pivotButton="0" quotePrefix="0" xfId="0">
      <alignment horizontal="center"/>
    </xf>
    <xf numFmtId="165" fontId="4" fillId="0" borderId="1" applyAlignment="1" pivotButton="0" quotePrefix="0" xfId="3">
      <alignment horizontal="center"/>
    </xf>
    <xf numFmtId="180" fontId="49" fillId="6" borderId="2" applyAlignment="1" pivotButton="0" quotePrefix="0" xfId="0">
      <alignment vertical="center" justifyLastLine="1"/>
    </xf>
    <xf numFmtId="180" fontId="49" fillId="5" borderId="2" applyAlignment="1" pivotButton="0" quotePrefix="0" xfId="0">
      <alignment horizontal="right" vertical="center" justifyLastLine="1"/>
    </xf>
    <xf numFmtId="180" fontId="49" fillId="6" borderId="2" applyAlignment="1" pivotButton="0" quotePrefix="0" xfId="0">
      <alignment horizontal="right" vertical="center" justifyLastLine="1"/>
    </xf>
    <xf numFmtId="165" fontId="49" fillId="5" borderId="2" applyAlignment="1" pivotButton="0" quotePrefix="0" xfId="3">
      <alignment horizontal="right" vertical="center"/>
    </xf>
    <xf numFmtId="169" fontId="48" fillId="6" borderId="2" applyAlignment="1" pivotButton="0" quotePrefix="0" xfId="3">
      <alignment vertical="center" justifyLastLine="1"/>
    </xf>
    <xf numFmtId="169" fontId="48" fillId="5" borderId="2" applyAlignment="1" pivotButton="0" quotePrefix="0" xfId="3">
      <alignment horizontal="right" vertical="center" justifyLastLine="1"/>
    </xf>
    <xf numFmtId="169" fontId="48" fillId="6" borderId="2" applyAlignment="1" pivotButton="0" quotePrefix="0" xfId="3">
      <alignment horizontal="right" vertical="center" justifyLastLine="1"/>
    </xf>
    <xf numFmtId="165" fontId="41" fillId="5" borderId="2" applyAlignment="1" pivotButton="0" quotePrefix="0" xfId="3">
      <alignment horizontal="right" vertical="center" wrapText="1"/>
    </xf>
    <xf numFmtId="169" fontId="49" fillId="6" borderId="40" applyAlignment="1" pivotButton="0" quotePrefix="0" xfId="3">
      <alignment vertical="center" wrapText="1"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69" fontId="49" fillId="6" borderId="40" applyAlignment="1" pivotButton="0" quotePrefix="0" xfId="3">
      <alignment horizontal="right" vertical="center" wrapText="1" justifyLastLine="1"/>
    </xf>
    <xf numFmtId="170" fontId="50" fillId="3" borderId="34" applyAlignment="1" pivotButton="0" quotePrefix="0" xfId="3">
      <alignment horizontal="right" vertical="center"/>
    </xf>
    <xf numFmtId="170" fontId="44" fillId="3" borderId="6" applyAlignment="1" pivotButton="0" quotePrefix="0" xfId="3">
      <alignment horizontal="right" vertical="center"/>
    </xf>
    <xf numFmtId="170" fontId="44" fillId="3" borderId="11" applyAlignment="1" pivotButton="0" quotePrefix="0" xfId="3">
      <alignment horizontal="right" vertical="center"/>
    </xf>
    <xf numFmtId="186" fontId="44" fillId="5" borderId="37" applyAlignment="1" pivotButton="0" quotePrefix="0" xfId="4">
      <alignment horizontal="right" vertical="center"/>
    </xf>
    <xf numFmtId="186" fontId="44" fillId="5" borderId="2" applyAlignment="1" pivotButton="0" quotePrefix="0" xfId="4">
      <alignment horizontal="right" vertical="center"/>
    </xf>
    <xf numFmtId="186" fontId="51" fillId="6" borderId="6" applyAlignment="1" pivotButton="0" quotePrefix="0" xfId="4">
      <alignment horizontal="right" vertical="center"/>
    </xf>
    <xf numFmtId="170" fontId="52" fillId="5" borderId="14" applyAlignment="1" pivotButton="0" quotePrefix="0" xfId="3">
      <alignment horizontal="right" vertical="center"/>
    </xf>
    <xf numFmtId="170" fontId="52" fillId="5" borderId="2" applyAlignment="1" pivotButton="0" quotePrefix="0" xfId="3">
      <alignment horizontal="right" vertical="center"/>
    </xf>
    <xf numFmtId="170" fontId="52" fillId="6" borderId="0" applyAlignment="1" pivotButton="0" quotePrefix="0" xfId="3">
      <alignment horizontal="right" vertical="center"/>
    </xf>
    <xf numFmtId="186" fontId="44" fillId="5" borderId="14" applyAlignment="1" pivotButton="0" quotePrefix="0" xfId="4">
      <alignment horizontal="right" vertical="center"/>
    </xf>
    <xf numFmtId="186" fontId="44" fillId="6" borderId="0" applyAlignment="1" pivotButton="0" quotePrefix="0" xfId="4">
      <alignment horizontal="right" vertical="center"/>
    </xf>
    <xf numFmtId="170" fontId="44" fillId="5" borderId="14" applyAlignment="1" pivotButton="0" quotePrefix="0" xfId="3">
      <alignment horizontal="right" vertical="center"/>
    </xf>
    <xf numFmtId="170" fontId="44" fillId="5" borderId="2" applyAlignment="1" pivotButton="0" quotePrefix="0" xfId="3">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80" fontId="48" fillId="6" borderId="0" applyAlignment="1" pivotButton="0" quotePrefix="0" xfId="0">
      <alignment horizontal="right" vertical="center"/>
    </xf>
    <xf numFmtId="170" fontId="52" fillId="6" borderId="14" applyAlignment="1" pivotButton="0" quotePrefix="0" xfId="3">
      <alignment horizontal="right" vertical="center"/>
    </xf>
    <xf numFmtId="170" fontId="52" fillId="6" borderId="2" applyAlignment="1" pivotButton="0" quotePrefix="0" xfId="3">
      <alignment horizontal="right" vertical="center"/>
    </xf>
    <xf numFmtId="170" fontId="44" fillId="3" borderId="38" applyAlignment="1" pivotButton="0" quotePrefix="0" xfId="0">
      <alignment horizontal="right" vertical="center"/>
    </xf>
    <xf numFmtId="170" fontId="44" fillId="3" borderId="9" applyAlignment="1" pivotButton="0" quotePrefix="0" xfId="0">
      <alignment horizontal="right" vertical="center"/>
    </xf>
    <xf numFmtId="170" fontId="44" fillId="3" borderId="24" applyAlignment="1" pivotButton="0" quotePrefix="0" xfId="0">
      <alignment horizontal="right" vertical="center"/>
    </xf>
    <xf numFmtId="186" fontId="43" fillId="5" borderId="14" applyAlignment="1" pivotButton="0" quotePrefix="0" xfId="4">
      <alignment horizontal="right" vertical="center"/>
    </xf>
    <xf numFmtId="186" fontId="43" fillId="5" borderId="2" applyAlignment="1" pivotButton="0" quotePrefix="0" xfId="4">
      <alignment horizontal="right" vertical="center"/>
    </xf>
    <xf numFmtId="186" fontId="43" fillId="3" borderId="0" applyAlignment="1" pivotButton="0" quotePrefix="0" xfId="4">
      <alignment horizontal="right" vertical="center"/>
    </xf>
    <xf numFmtId="186" fontId="43" fillId="6" borderId="0" applyAlignment="1" pivotButton="0" quotePrefix="0" xfId="4">
      <alignment horizontal="right" vertical="center"/>
    </xf>
    <xf numFmtId="186" fontId="53" fillId="5" borderId="14" applyAlignment="1" pivotButton="0" quotePrefix="0" xfId="4">
      <alignment horizontal="right" vertical="center"/>
    </xf>
    <xf numFmtId="186" fontId="53" fillId="5" borderId="2" applyAlignment="1" pivotButton="0" quotePrefix="0" xfId="4">
      <alignment horizontal="right" vertical="center"/>
    </xf>
    <xf numFmtId="186" fontId="53" fillId="6" borderId="0" applyAlignment="1" pivotButton="0" quotePrefix="0" xfId="4">
      <alignment horizontal="right" vertical="center"/>
    </xf>
    <xf numFmtId="186" fontId="52" fillId="5" borderId="14" applyAlignment="1" pivotButton="0" quotePrefix="0" xfId="4">
      <alignment horizontal="right" vertical="center"/>
    </xf>
    <xf numFmtId="186" fontId="52" fillId="5" borderId="2" applyAlignment="1" pivotButton="0" quotePrefix="0" xfId="4">
      <alignment horizontal="right" vertical="center"/>
    </xf>
    <xf numFmtId="186" fontId="52" fillId="3" borderId="0" applyAlignment="1" pivotButton="0" quotePrefix="0" xfId="4">
      <alignment horizontal="right" vertical="center"/>
    </xf>
    <xf numFmtId="186" fontId="53" fillId="6" borderId="14" applyAlignment="1" pivotButton="0" quotePrefix="0" xfId="4">
      <alignment horizontal="right" vertical="center"/>
    </xf>
    <xf numFmtId="186" fontId="53" fillId="6" borderId="2" applyAlignment="1" pivotButton="0" quotePrefix="0" xfId="4">
      <alignment horizontal="right" vertical="center"/>
    </xf>
    <xf numFmtId="186" fontId="50" fillId="3" borderId="37" applyAlignment="1" pivotButton="0" quotePrefix="0" xfId="3">
      <alignment horizontal="right" vertical="center"/>
    </xf>
    <xf numFmtId="186" fontId="50" fillId="3" borderId="36" applyAlignment="1" pivotButton="0" quotePrefix="0" xfId="3">
      <alignment horizontal="right" vertical="center"/>
    </xf>
    <xf numFmtId="186" fontId="50" fillId="3" borderId="17" applyAlignment="1" pivotButton="0" quotePrefix="0" xfId="3">
      <alignment horizontal="right" vertical="center"/>
    </xf>
    <xf numFmtId="186" fontId="50" fillId="3" borderId="11" applyAlignment="1" pivotButton="0" quotePrefix="0" xfId="3">
      <alignment horizontal="right" vertical="center"/>
    </xf>
    <xf numFmtId="186" fontId="50" fillId="3" borderId="24" applyAlignment="1" pivotButton="0" quotePrefix="0" xfId="3">
      <alignment vertical="center"/>
    </xf>
    <xf numFmtId="170" fontId="50" fillId="8" borderId="38" applyAlignment="1" pivotButton="0" quotePrefix="0" xfId="3">
      <alignment horizontal="right" vertical="center"/>
    </xf>
    <xf numFmtId="170" fontId="50" fillId="8" borderId="17" applyAlignment="1" pivotButton="0" quotePrefix="0" xfId="3">
      <alignment horizontal="right" vertical="center"/>
    </xf>
    <xf numFmtId="170" fontId="50" fillId="8" borderId="9" applyAlignment="1" pivotButton="0" quotePrefix="0" xfId="3">
      <alignment horizontal="right" vertical="center"/>
    </xf>
    <xf numFmtId="170" fontId="50" fillId="8" borderId="24" applyAlignment="1" pivotButton="0" quotePrefix="0" xfId="3">
      <alignment vertical="center"/>
    </xf>
    <xf numFmtId="170" fontId="0" fillId="5" borderId="0" pivotButton="0" quotePrefix="0" xfId="0"/>
    <xf numFmtId="194" fontId="32" fillId="6" borderId="1" pivotButton="0" quotePrefix="0" xfId="0"/>
    <xf numFmtId="165" fontId="47" fillId="22" borderId="0" pivotButton="0" quotePrefix="0" xfId="0"/>
    <xf numFmtId="165" fontId="47" fillId="22" borderId="1" pivotButton="0" quotePrefix="0" xfId="0"/>
    <xf numFmtId="165" fontId="50" fillId="22" borderId="1" applyAlignment="1" pivotButton="0" quotePrefix="0" xfId="0">
      <alignment horizontal="right"/>
    </xf>
    <xf numFmtId="165" fontId="50" fillId="6"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170" fontId="34" fillId="3" borderId="1"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198" fontId="0" fillId="10" borderId="0" pivotButton="0" quotePrefix="0" xfId="0"/>
    <xf numFmtId="198" fontId="0" fillId="5" borderId="0" applyAlignment="1" pivotButton="0" quotePrefix="0" xfId="0">
      <alignment horizontal="center"/>
    </xf>
    <xf numFmtId="167" fontId="0" fillId="5" borderId="0" applyAlignment="1" pivotButton="0" quotePrefix="0" xfId="0">
      <alignment horizontal="center"/>
    </xf>
    <xf numFmtId="171" fontId="0" fillId="5" borderId="0" applyAlignment="1" pivotButton="0" quotePrefix="0" xfId="0">
      <alignment horizontal="center"/>
    </xf>
    <xf numFmtId="199" fontId="0" fillId="5" borderId="0" applyAlignment="1" pivotButton="0" quotePrefix="0" xfId="0">
      <alignment horizontal="center"/>
    </xf>
    <xf numFmtId="198" fontId="0" fillId="0" borderId="0" pivotButton="0" quotePrefix="0" xfId="0"/>
    <xf numFmtId="165" fontId="32" fillId="0" borderId="0" pivotButton="0" quotePrefix="0" xfId="0"/>
    <xf numFmtId="165" fontId="19" fillId="6" borderId="1" applyAlignment="1" pivotButton="0" quotePrefix="0" xfId="0">
      <alignment horizontal="center"/>
    </xf>
    <xf numFmtId="165" fontId="17" fillId="6" borderId="0" applyAlignment="1" pivotButton="0" quotePrefix="0" xfId="0">
      <alignment vertical="center"/>
    </xf>
    <xf numFmtId="167" fontId="17" fillId="10" borderId="0" applyAlignment="1" pivotButton="0" quotePrefix="0" xfId="0">
      <alignment vertical="center"/>
    </xf>
    <xf numFmtId="170" fontId="17" fillId="6" borderId="0" applyAlignment="1" pivotButton="0" quotePrefix="0" xfId="0">
      <alignment vertical="center"/>
    </xf>
    <xf numFmtId="167" fontId="4" fillId="10" borderId="0" applyAlignment="1" pivotButton="0" quotePrefix="0" xfId="0">
      <alignment vertical="center"/>
    </xf>
    <xf numFmtId="170" fontId="4" fillId="6" borderId="0" applyAlignment="1" pivotButton="0" quotePrefix="0" xfId="0">
      <alignment vertical="center"/>
    </xf>
    <xf numFmtId="165" fontId="4" fillId="6" borderId="0" applyAlignment="1" pivotButton="0" quotePrefix="0" xfId="0">
      <alignment vertical="center"/>
    </xf>
    <xf numFmtId="170" fontId="4" fillId="5" borderId="0" applyAlignment="1" pivotButton="0" quotePrefix="0" xfId="0">
      <alignment vertical="center"/>
    </xf>
    <xf numFmtId="165" fontId="4" fillId="6" borderId="11" applyAlignment="1" pivotButton="0" quotePrefix="0" xfId="0">
      <alignment vertical="center"/>
    </xf>
    <xf numFmtId="198" fontId="4" fillId="10" borderId="0" applyAlignment="1" pivotButton="0" quotePrefix="0" xfId="2">
      <alignment vertical="center"/>
    </xf>
    <xf numFmtId="182" fontId="4" fillId="6" borderId="0" applyAlignment="1" pivotButton="0" quotePrefix="0" xfId="2">
      <alignment vertical="center"/>
    </xf>
    <xf numFmtId="198" fontId="4" fillId="10"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165" fontId="4" fillId="6" borderId="1" applyAlignment="1" pivotButton="0" quotePrefix="0" xfId="3">
      <alignment vertical="center"/>
    </xf>
    <xf numFmtId="165" fontId="17" fillId="6" borderId="1" applyAlignment="1" pivotButton="0" quotePrefix="0" xfId="0">
      <alignment vertical="center"/>
    </xf>
    <xf numFmtId="170" fontId="23" fillId="0" borderId="0" applyAlignment="1" pivotButton="0" quotePrefix="0" xfId="0">
      <alignment vertical="center"/>
    </xf>
    <xf numFmtId="171" fontId="4" fillId="10"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166" fontId="23" fillId="0" borderId="0" applyAlignment="1" pivotButton="0" quotePrefix="0" xfId="3">
      <alignment vertical="center"/>
    </xf>
    <xf numFmtId="199" fontId="4" fillId="10" borderId="0" applyAlignment="1" pivotButton="0" quotePrefix="0" xfId="0">
      <alignment vertical="center"/>
    </xf>
    <xf numFmtId="184" fontId="4" fillId="6" borderId="0" applyAlignment="1" pivotButton="0" quotePrefix="0" xfId="0">
      <alignment vertical="center"/>
    </xf>
    <xf numFmtId="184" fontId="4" fillId="6" borderId="1" applyAlignment="1" pivotButton="0" quotePrefix="0" xfId="0">
      <alignment vertical="center"/>
    </xf>
    <xf numFmtId="171" fontId="4" fillId="6" borderId="0" applyAlignment="1" pivotButton="0" quotePrefix="0" xfId="0">
      <alignment vertical="center"/>
    </xf>
    <xf numFmtId="171" fontId="4" fillId="10" borderId="1" applyAlignment="1" pivotButton="0" quotePrefix="0" xfId="0">
      <alignment vertical="center"/>
    </xf>
    <xf numFmtId="165"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174" fontId="7" fillId="6" borderId="0" applyAlignment="1" applyProtection="1" pivotButton="0" quotePrefix="0" xfId="0">
      <alignment horizontal="left"/>
      <protection locked="0" hidden="0"/>
    </xf>
    <xf numFmtId="165" fontId="19" fillId="6" borderId="0" pivotButton="0" quotePrefix="0" xfId="0"/>
    <xf numFmtId="170" fontId="17" fillId="6" borderId="0" applyAlignment="1" pivotButton="0" quotePrefix="0" xfId="3">
      <alignment vertical="center"/>
    </xf>
    <xf numFmtId="166" fontId="17" fillId="6" borderId="0" applyAlignment="1" pivotButton="0" quotePrefix="0" xfId="3">
      <alignment vertical="center"/>
    </xf>
    <xf numFmtId="165" fontId="19" fillId="5" borderId="11"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165" fontId="4" fillId="5" borderId="1" pivotButton="0" quotePrefix="0" xfId="0"/>
    <xf numFmtId="169" fontId="32" fillId="0" borderId="0" pivotButton="0" quotePrefix="0" xfId="0"/>
    <xf numFmtId="165" fontId="4" fillId="6" borderId="0" pivotButton="0" quotePrefix="0" xfId="0"/>
    <xf numFmtId="169" fontId="4" fillId="0" borderId="0" pivotButton="0" quotePrefix="0" xfId="0"/>
    <xf numFmtId="167" fontId="4" fillId="0" borderId="0" pivotButton="0" quotePrefix="0" xfId="0"/>
    <xf numFmtId="165" fontId="32" fillId="6" borderId="0" pivotButton="0" quotePrefix="0" xfId="0"/>
    <xf numFmtId="165" fontId="32" fillId="6" borderId="0" applyAlignment="1" pivotButton="0" quotePrefix="0" xfId="0">
      <alignment vertical="center"/>
    </xf>
    <xf numFmtId="169" fontId="7" fillId="0" borderId="0" pivotButton="0" quotePrefix="0" xfId="0"/>
    <xf numFmtId="167" fontId="7" fillId="0" borderId="0" pivotButton="0" quotePrefix="0" xfId="0"/>
    <xf numFmtId="164" fontId="23" fillId="0" borderId="0" applyAlignment="1" pivotButton="0" quotePrefix="0" xfId="0">
      <alignment horizontal="center"/>
    </xf>
    <xf numFmtId="182" fontId="4" fillId="6" borderId="1" applyAlignment="1" pivotButton="0" quotePrefix="0" xfId="2">
      <alignment vertical="center"/>
    </xf>
    <xf numFmtId="171" fontId="4" fillId="6" borderId="1" applyAlignment="1" pivotButton="0" quotePrefix="0" xfId="0">
      <alignment vertical="center"/>
    </xf>
    <xf numFmtId="165" fontId="7" fillId="6" borderId="9" applyAlignment="1" pivotButton="0" quotePrefix="0" xfId="0">
      <alignment vertical="center"/>
    </xf>
    <xf numFmtId="169" fontId="23" fillId="0" borderId="0" applyAlignment="1" pivotButton="0" quotePrefix="0" xfId="0">
      <alignment vertical="center"/>
    </xf>
    <xf numFmtId="170" fontId="32" fillId="6" borderId="0" pivotButton="0" quotePrefix="0" xfId="0"/>
    <xf numFmtId="165" fontId="7" fillId="6" borderId="0" pivotButton="0" quotePrefix="0" xfId="0"/>
    <xf numFmtId="166" fontId="17" fillId="6" borderId="1" applyAlignment="1" pivotButton="0" quotePrefix="0" xfId="3">
      <alignment vertical="center"/>
    </xf>
    <xf numFmtId="185" fontId="4" fillId="6" borderId="0" applyAlignment="1" pivotButton="0" quotePrefix="0" xfId="0">
      <alignment horizontal="left"/>
    </xf>
    <xf numFmtId="185" fontId="7" fillId="6" borderId="0" applyAlignment="1" pivotButton="0" quotePrefix="0" xfId="0">
      <alignment horizontal="left"/>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165" fontId="17" fillId="6" borderId="1" applyAlignment="1" pivotButton="0" quotePrefix="0" xfId="3">
      <alignment horizontal="right" vertical="center"/>
    </xf>
    <xf numFmtId="170" fontId="24" fillId="6" borderId="9" applyAlignment="1" pivotButton="0" quotePrefix="0" xfId="0">
      <alignmen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24" fillId="6" borderId="0" applyAlignment="1" pivotButton="0" quotePrefix="0" xfId="0">
      <alignmen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165" fontId="17" fillId="6" borderId="11" applyAlignment="1" pivotButton="0" quotePrefix="0" xfId="0">
      <alignment vertical="center"/>
    </xf>
    <xf numFmtId="168" fontId="32" fillId="6" borderId="0" pivotButton="0" quotePrefix="0" xfId="2"/>
    <xf numFmtId="185" fontId="24" fillId="6" borderId="1" applyAlignment="1" pivotButton="0" quotePrefix="0" xfId="0">
      <alignment horizontal="left"/>
    </xf>
    <xf numFmtId="169" fontId="4" fillId="6" borderId="0" pivotButton="0" quotePrefix="0" xfId="0"/>
    <xf numFmtId="167" fontId="4" fillId="6" borderId="0" pivotButton="0" quotePrefix="0" xfId="0"/>
    <xf numFmtId="169" fontId="7" fillId="3" borderId="0" pivotButton="0" quotePrefix="0" xfId="0"/>
    <xf numFmtId="167" fontId="7" fillId="3" borderId="0" pivotButton="0" quotePrefix="0" xfId="0"/>
    <xf numFmtId="164" fontId="23" fillId="6" borderId="1" applyAlignment="1" pivotButton="0" quotePrefix="0" xfId="0">
      <alignment horizontal="center"/>
    </xf>
    <xf numFmtId="188" fontId="1" fillId="6" borderId="0" pivotButton="0" quotePrefix="0" xfId="8"/>
    <xf numFmtId="188" fontId="1" fillId="6" borderId="0" applyAlignment="1" pivotButton="0" quotePrefix="0" xfId="8">
      <alignment wrapText="1"/>
    </xf>
    <xf numFmtId="188" fontId="44" fillId="6" borderId="1" applyAlignment="1" pivotButton="0" quotePrefix="0" xfId="8">
      <alignment horizont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193" fontId="1" fillId="6" borderId="0" pivotButton="0" quotePrefix="0" xfId="9"/>
    <xf numFmtId="188" fontId="1" fillId="6" borderId="0" pivotButton="0" quotePrefix="0" xfId="9"/>
    <xf numFmtId="167" fontId="1" fillId="6" borderId="0" pivotButton="0" quotePrefix="0" xfId="9"/>
    <xf numFmtId="167" fontId="1" fillId="6" borderId="0" applyAlignment="1" pivotButton="0" quotePrefix="0" xfId="8">
      <alignment horizontal="right" vertical="center"/>
    </xf>
    <xf numFmtId="188" fontId="1" fillId="6" borderId="1" pivotButton="0" quotePrefix="0" xfId="9"/>
    <xf numFmtId="167" fontId="1" fillId="6" borderId="1" pivotButton="0" quotePrefix="0" xfId="9"/>
    <xf numFmtId="189" fontId="5" fillId="6" borderId="0" applyAlignment="1" pivotButton="0" quotePrefix="0" xfId="8">
      <alignment wrapText="1"/>
    </xf>
    <xf numFmtId="167" fontId="5" fillId="6" borderId="0" applyAlignment="1" pivotButton="0" quotePrefix="0" xfId="8">
      <alignment horizontal="right"/>
    </xf>
    <xf numFmtId="188" fontId="1" fillId="6" borderId="1" pivotButton="0" quotePrefix="0" xfId="8"/>
    <xf numFmtId="189" fontId="5" fillId="6" borderId="1" applyAlignment="1" pivotButton="0" quotePrefix="0" xfId="8">
      <alignment wrapText="1"/>
    </xf>
    <xf numFmtId="167" fontId="5" fillId="6" borderId="1" applyAlignment="1" pivotButton="0" quotePrefix="0" xfId="8">
      <alignment horizontal="right"/>
    </xf>
    <xf numFmtId="180" fontId="49" fillId="6" borderId="0" applyAlignment="1" pivotButton="0" quotePrefix="0" xfId="0">
      <alignment horizontal="right" vertical="top" justifyLastLine="1"/>
    </xf>
    <xf numFmtId="180" fontId="49" fillId="6" borderId="2" applyAlignment="1" pivotButton="0" quotePrefix="0" xfId="0">
      <alignment horizontal="right" vertical="top" justifyLastLine="1"/>
    </xf>
    <xf numFmtId="180" fontId="49" fillId="6" borderId="15" applyAlignment="1" pivotButton="0" quotePrefix="0" xfId="0">
      <alignment horizontal="right" vertical="top" justifyLastLine="1"/>
    </xf>
    <xf numFmtId="169" fontId="49" fillId="6" borderId="15" applyAlignment="1" pivotButton="0" quotePrefix="0" xfId="0">
      <alignment horizontal="right" vertical="top"/>
    </xf>
    <xf numFmtId="169" fontId="48" fillId="6" borderId="0" applyAlignment="1" pivotButton="0" quotePrefix="0" xfId="3">
      <alignment horizontal="right" vertical="top" justifyLastLine="1"/>
    </xf>
    <xf numFmtId="169" fontId="48" fillId="6" borderId="2" applyAlignment="1" pivotButton="0" quotePrefix="0" xfId="3">
      <alignment horizontal="right" vertical="top" justifyLastLine="1"/>
    </xf>
    <xf numFmtId="169" fontId="48" fillId="6" borderId="15" applyAlignment="1" pivotButton="0" quotePrefix="0" xfId="3">
      <alignment horizontal="right" vertical="top" justifyLastLine="1"/>
    </xf>
    <xf numFmtId="165" fontId="41" fillId="6" borderId="15" applyAlignment="1" pivotButton="0" quotePrefix="0" xfId="3">
      <alignment horizontal="right" vertical="top" wrapText="1"/>
    </xf>
    <xf numFmtId="169" fontId="49" fillId="6" borderId="41" applyAlignment="1" pivotButton="0" quotePrefix="0" xfId="3">
      <alignment horizontal="right" vertical="top" wrapText="1" justifyLastLine="1"/>
    </xf>
    <xf numFmtId="169" fontId="49" fillId="6" borderId="7" applyAlignment="1" pivotButton="0" quotePrefix="0" xfId="3">
      <alignment horizontal="right" vertical="top" wrapText="1" justifyLastLine="1"/>
    </xf>
    <xf numFmtId="170" fontId="50" fillId="3" borderId="65" applyAlignment="1" pivotButton="0" quotePrefix="0" xfId="3">
      <alignment horizontal="right" vertical="top"/>
    </xf>
    <xf numFmtId="170" fontId="44" fillId="3" borderId="37" applyAlignment="1" pivotButton="0" quotePrefix="0" xfId="3">
      <alignment horizontal="right" vertical="top"/>
    </xf>
    <xf numFmtId="170" fontId="44" fillId="3" borderId="6" applyAlignment="1" pivotButton="0" quotePrefix="0" xfId="3">
      <alignment horizontal="right" vertical="top"/>
    </xf>
    <xf numFmtId="190" fontId="48" fillId="6" borderId="37" applyAlignment="1" pivotButton="0" quotePrefix="0" xfId="4">
      <alignment horizontal="right" vertical="top"/>
    </xf>
    <xf numFmtId="186" fontId="51" fillId="6" borderId="6" applyAlignment="1" pivotButton="0" quotePrefix="0" xfId="4">
      <alignment horizontal="right" vertical="top"/>
    </xf>
    <xf numFmtId="190" fontId="41" fillId="6" borderId="14" applyAlignment="1" pivotButton="0" quotePrefix="0" xfId="4">
      <alignment horizontal="right" vertical="top"/>
    </xf>
    <xf numFmtId="186" fontId="43" fillId="6" borderId="0" applyAlignment="1" pivotButton="0" quotePrefix="0" xfId="4">
      <alignment horizontal="right" vertical="top"/>
    </xf>
    <xf numFmtId="190" fontId="52" fillId="6" borderId="14" applyAlignment="1" pivotButton="0" quotePrefix="0" xfId="3">
      <alignment horizontal="right" vertical="top"/>
    </xf>
    <xf numFmtId="170" fontId="52" fillId="6" borderId="0" applyAlignment="1" pivotButton="0" quotePrefix="0" xfId="3">
      <alignment horizontal="right" vertical="top"/>
    </xf>
    <xf numFmtId="190" fontId="52" fillId="3" borderId="38" applyAlignment="1" pivotButton="0" quotePrefix="0" xfId="0">
      <alignment horizontal="right" vertical="top" wrapText="1"/>
    </xf>
    <xf numFmtId="170" fontId="44" fillId="3" borderId="38" applyAlignment="1" pivotButton="0" quotePrefix="0" xfId="0">
      <alignment horizontal="right" vertical="top"/>
    </xf>
    <xf numFmtId="170" fontId="44" fillId="3" borderId="24" applyAlignment="1" pivotButton="0" quotePrefix="0" xfId="0">
      <alignment horizontal="right" vertical="top"/>
    </xf>
    <xf numFmtId="186" fontId="48" fillId="15" borderId="37" applyAlignment="1" pivotButton="0" quotePrefix="0" xfId="0">
      <alignment horizontal="right" vertical="top"/>
    </xf>
    <xf numFmtId="186" fontId="55" fillId="0" borderId="0" applyAlignment="1" pivotButton="0" quotePrefix="0" xfId="0">
      <alignment horizontal="right" vertical="top"/>
    </xf>
    <xf numFmtId="186" fontId="43" fillId="3" borderId="0" applyAlignment="1" pivotButton="0" quotePrefix="0" xfId="4">
      <alignment horizontal="right" vertical="top"/>
    </xf>
    <xf numFmtId="190" fontId="49" fillId="6" borderId="14" applyAlignment="1" pivotButton="0" quotePrefix="0" xfId="4">
      <alignment horizontal="right" vertical="top"/>
    </xf>
    <xf numFmtId="186" fontId="52" fillId="3" borderId="0" applyAlignment="1" pivotButton="0" quotePrefix="0" xfId="4">
      <alignment horizontal="right" vertical="top"/>
    </xf>
    <xf numFmtId="190" fontId="50" fillId="3" borderId="37" applyAlignment="1" pivotButton="0" quotePrefix="0" xfId="3">
      <alignment horizontal="right"/>
    </xf>
    <xf numFmtId="190" fontId="50" fillId="3" borderId="37" pivotButton="0" quotePrefix="0" xfId="3"/>
    <xf numFmtId="186" fontId="50" fillId="3" borderId="6" pivotButton="0" quotePrefix="0" xfId="3"/>
    <xf numFmtId="170" fontId="50" fillId="8" borderId="38" applyAlignment="1" pivotButton="0" quotePrefix="0" xfId="3">
      <alignment horizontal="right"/>
    </xf>
    <xf numFmtId="170" fontId="50" fillId="8" borderId="66" pivotButton="0" quotePrefix="0" xfId="3"/>
    <xf numFmtId="170" fontId="50" fillId="8" borderId="39" pivotButton="0" quotePrefix="0" xfId="3"/>
    <xf numFmtId="170" fontId="50" fillId="8" borderId="64" pivotButton="0" quotePrefix="0" xfId="3"/>
    <xf numFmtId="194" fontId="32" fillId="0" borderId="1" pivotButton="0" quotePrefix="0" xfId="0"/>
    <xf numFmtId="165" fontId="47" fillId="0" borderId="0" pivotButton="0" quotePrefix="0" xfId="0"/>
    <xf numFmtId="165" fontId="47" fillId="0" borderId="1" pivotButton="0" quotePrefix="0" xfId="0"/>
    <xf numFmtId="165" fontId="50" fillId="0" borderId="1" applyAlignment="1" pivotButton="0" quotePrefix="0" xfId="0">
      <alignment horizontal="right"/>
    </xf>
    <xf numFmtId="165" fontId="50" fillId="0" borderId="11" pivotButton="0" quotePrefix="0" xfId="0"/>
    <xf numFmtId="166" fontId="0" fillId="0" borderId="0" pivotButton="0" quotePrefix="0" xfId="0"/>
    <xf numFmtId="169" fontId="5" fillId="0" borderId="11" pivotButton="0" quotePrefix="0" xfId="0"/>
    <xf numFmtId="167" fontId="5" fillId="0" borderId="36" pivotButton="0" quotePrefix="0" xfId="0"/>
    <xf numFmtId="169" fontId="5" fillId="0" borderId="1" pivotButton="0" quotePrefix="0" xfId="0"/>
    <xf numFmtId="167" fontId="5" fillId="0" borderId="4" pivotButton="0" quotePrefix="0" xfId="0"/>
    <xf numFmtId="167" fontId="48" fillId="5" borderId="9" applyAlignment="1" pivotButton="0" quotePrefix="0" xfId="0">
      <alignment horizontal="center"/>
    </xf>
    <xf numFmtId="164" fontId="53" fillId="10" borderId="1" applyAlignment="1" pivotButton="0" quotePrefix="0" xfId="0">
      <alignment horizontal="center"/>
    </xf>
    <xf numFmtId="180" fontId="49" fillId="0" borderId="15" applyAlignment="1" pivotButton="0" quotePrefix="0" xfId="0">
      <alignment horizontal="right" vertical="center" justifyLastLine="1"/>
    </xf>
    <xf numFmtId="180" fontId="49" fillId="0" borderId="2" applyAlignment="1" pivotButton="0" quotePrefix="0" xfId="0">
      <alignment horizontal="right" vertical="center" justifyLastLine="1"/>
    </xf>
    <xf numFmtId="180" fontId="49" fillId="0" borderId="0" applyAlignment="1" pivotButton="0" quotePrefix="0" xfId="0">
      <alignment horizontal="right" vertical="center" justifyLastLine="1"/>
    </xf>
    <xf numFmtId="165" fontId="49" fillId="0" borderId="2" applyAlignment="1" pivotButton="0" quotePrefix="0" xfId="3">
      <alignment horizontal="right" vertical="center"/>
    </xf>
    <xf numFmtId="169" fontId="48" fillId="0" borderId="15" applyAlignment="1" pivotButton="0" quotePrefix="0" xfId="3">
      <alignment horizontal="right" vertical="center" justifyLastLine="1"/>
    </xf>
    <xf numFmtId="169" fontId="48" fillId="0" borderId="2" applyAlignment="1" pivotButton="0" quotePrefix="0" xfId="3">
      <alignment horizontal="right" vertical="center" justifyLastLine="1"/>
    </xf>
    <xf numFmtId="169" fontId="48" fillId="0" borderId="0" applyAlignment="1" pivotButton="0" quotePrefix="0" xfId="3">
      <alignment horizontal="right" vertical="center" justifyLastLine="1"/>
    </xf>
    <xf numFmtId="168" fontId="48" fillId="0" borderId="15" applyAlignment="1" pivotButton="0" quotePrefix="0" xfId="2">
      <alignment horizontal="right" vertical="center" justifyLastLine="1"/>
    </xf>
    <xf numFmtId="165" fontId="41" fillId="0" borderId="2" applyAlignment="1" pivotButton="0" quotePrefix="0" xfId="3">
      <alignment horizontal="right" vertical="center" wrapText="1"/>
    </xf>
    <xf numFmtId="169" fontId="49" fillId="6" borderId="75" applyAlignment="1" pivotButton="0" quotePrefix="0" xfId="3">
      <alignment horizontal="right" vertical="top" wrapText="1" justifyLastLine="1"/>
    </xf>
    <xf numFmtId="169" fontId="49" fillId="0" borderId="75" applyAlignment="1" pivotButton="0" quotePrefix="0" xfId="3">
      <alignment horizontal="right" vertical="center" wrapText="1"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170" fontId="44" fillId="3" borderId="0" applyAlignment="1" pivotButton="0" quotePrefix="0" xfId="3">
      <alignment horizontal="right" vertical="center"/>
    </xf>
    <xf numFmtId="186" fontId="44" fillId="0" borderId="6" applyAlignment="1" pivotButton="0" quotePrefix="0" xfId="4">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186" fontId="51" fillId="0" borderId="0" applyAlignment="1" pivotButton="0" quotePrefix="0" xfId="4">
      <alignment horizontal="righ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180" fontId="53" fillId="0" borderId="0" applyAlignment="1" pivotButton="0" quotePrefix="0" xfId="0">
      <alignment horizontal="right" vertical="center"/>
    </xf>
    <xf numFmtId="170" fontId="44" fillId="3" borderId="0"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186" fontId="43" fillId="3" borderId="14" applyAlignment="1" pivotButton="0" quotePrefix="0" xfId="4">
      <alignment horizontal="right" vertical="center"/>
    </xf>
    <xf numFmtId="186" fontId="43" fillId="0" borderId="14" applyAlignment="1" pivotButton="0" quotePrefix="0" xfId="4">
      <alignment horizontal="righ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168" fontId="56" fillId="0" borderId="2" applyAlignment="1" pivotButton="0" quotePrefix="0" xfId="2">
      <alignment horizontal="right" vertical="center"/>
    </xf>
    <xf numFmtId="168" fontId="56" fillId="0" borderId="0" applyAlignment="1" pivotButton="0" quotePrefix="0" xfId="2">
      <alignment horizontal="right" vertical="center"/>
    </xf>
    <xf numFmtId="186" fontId="52" fillId="3" borderId="14" applyAlignment="1" pivotButton="0" quotePrefix="0" xfId="4">
      <alignment horizontal="right" vertical="center"/>
    </xf>
    <xf numFmtId="186" fontId="53" fillId="0" borderId="1" applyAlignment="1" pivotButton="0" quotePrefix="0" xfId="4">
      <alignment horizontal="right" vertical="center"/>
    </xf>
    <xf numFmtId="186" fontId="50" fillId="3" borderId="6" applyAlignment="1" pivotButton="0" quotePrefix="0" xfId="3">
      <alignment vertical="center"/>
    </xf>
    <xf numFmtId="186" fontId="50" fillId="3" borderId="1" applyAlignment="1" pivotButton="0" quotePrefix="0" xfId="3">
      <alignment vertical="center"/>
    </xf>
    <xf numFmtId="186" fontId="50" fillId="3" borderId="38" applyAlignment="1" pivotButton="0" quotePrefix="0" xfId="3">
      <alignment vertical="center"/>
    </xf>
    <xf numFmtId="186" fontId="50" fillId="3" borderId="0"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170" fontId="50" fillId="8" borderId="0" applyAlignment="1" pivotButton="0" quotePrefix="0" xfId="3">
      <alignment vertical="center"/>
    </xf>
    <xf numFmtId="166" fontId="0" fillId="0" borderId="0" pivotButton="0" quotePrefix="0" xfId="3"/>
    <xf numFmtId="181" fontId="0" fillId="0" borderId="0" pivotButton="0" quotePrefix="0" xfId="3"/>
    <xf numFmtId="167" fontId="0" fillId="0" borderId="0" pivotButton="0" quotePrefix="0" xfId="4"/>
    <xf numFmtId="171" fontId="0" fillId="0" borderId="0" pivotButton="0" quotePrefix="0" xfId="4"/>
    <xf numFmtId="169" fontId="0" fillId="5" borderId="14" pivotButton="0" quotePrefix="0" xfId="0"/>
    <xf numFmtId="165" fontId="32" fillId="0" borderId="0" applyAlignment="1" pivotButton="0" quotePrefix="0" xfId="1">
      <alignment horizontal="left" vertical="top"/>
    </xf>
    <xf numFmtId="164" fontId="32" fillId="0" borderId="0" applyAlignment="1" pivotButton="0" quotePrefix="0" xfId="1">
      <alignment horizontal="left" vertical="top"/>
    </xf>
    <xf numFmtId="169" fontId="0" fillId="5" borderId="4" pivotButton="0" quotePrefix="0" xfId="0"/>
    <xf numFmtId="169" fontId="0" fillId="0" borderId="14" pivotButton="0" quotePrefix="0" xfId="3"/>
    <xf numFmtId="167" fontId="0" fillId="0" borderId="4" pivotButton="0" quotePrefix="0" xfId="3"/>
    <xf numFmtId="181" fontId="0" fillId="0" borderId="0" pivotButton="0" quotePrefix="0" xfId="0"/>
    <xf numFmtId="167" fontId="41" fillId="6" borderId="15" applyAlignment="1" pivotButton="0" quotePrefix="0" xfId="0">
      <alignment vertical="center" wrapText="1"/>
    </xf>
    <xf numFmtId="169" fontId="41" fillId="5" borderId="15" applyAlignment="1" pivotButton="0" quotePrefix="0" xfId="3">
      <alignment horizontal="center" vertical="center" wrapText="1"/>
    </xf>
    <xf numFmtId="167" fontId="41" fillId="5" borderId="15" applyAlignment="1" pivotButton="0" quotePrefix="0" xfId="3">
      <alignment horizontal="center" vertical="center" wrapText="1"/>
    </xf>
    <xf numFmtId="167" fontId="41" fillId="0" borderId="15" applyAlignment="1" pivotButton="0" quotePrefix="0" xfId="3">
      <alignment horizontal="center" vertical="center" wrapText="1"/>
    </xf>
    <xf numFmtId="180" fontId="41" fillId="5" borderId="15" applyAlignment="1" pivotButton="0" quotePrefix="0" xfId="3">
      <alignment horizontal="center" vertical="center" wrapText="1"/>
    </xf>
    <xf numFmtId="180" fontId="41" fillId="0" borderId="15" applyAlignment="1" pivotButton="0" quotePrefix="0" xfId="3">
      <alignment horizontal="center" vertical="center" wrapText="1"/>
    </xf>
    <xf numFmtId="167" fontId="41" fillId="6" borderId="22" applyAlignment="1" pivotButton="0" quotePrefix="0" xfId="0">
      <alignment vertical="center" wrapText="1"/>
    </xf>
    <xf numFmtId="167" fontId="41" fillId="5" borderId="22" applyAlignment="1" pivotButton="0" quotePrefix="0" xfId="3">
      <alignment horizontal="center" vertical="center" wrapText="1"/>
    </xf>
    <xf numFmtId="167" fontId="41" fillId="0" borderId="22" applyAlignment="1" pivotButton="0" quotePrefix="0" xfId="3">
      <alignment horizontal="center" vertical="center" wrapText="1"/>
    </xf>
    <xf numFmtId="167" fontId="43" fillId="3" borderId="10" applyAlignment="1" pivotButton="0" quotePrefix="0" xfId="0">
      <alignment vertical="center" wrapText="1"/>
    </xf>
    <xf numFmtId="167" fontId="43" fillId="3" borderId="10" applyAlignment="1" pivotButton="0" quotePrefix="0" xfId="3">
      <alignment horizontal="center" vertical="center" wrapText="1"/>
    </xf>
    <xf numFmtId="180" fontId="41" fillId="5" borderId="16" applyAlignment="1" pivotButton="0" quotePrefix="0" xfId="0">
      <alignment horizontal="center" vertical="center" wrapText="1"/>
    </xf>
    <xf numFmtId="180" fontId="41" fillId="0" borderId="16" applyAlignment="1" pivotButton="0" quotePrefix="0" xfId="0">
      <alignment horizontal="center" vertical="center" wrapText="1"/>
    </xf>
    <xf numFmtId="164" fontId="43" fillId="3" borderId="8" applyAlignment="1" pivotButton="0" quotePrefix="0" xfId="0">
      <alignment horizontal="center" vertical="center" wrapText="1"/>
    </xf>
    <xf numFmtId="164" fontId="43" fillId="3" borderId="17" applyAlignment="1" pivotButton="0" quotePrefix="0" xfId="0">
      <alignment horizontal="center" vertical="center" wrapText="1"/>
    </xf>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164" fontId="0" fillId="0" borderId="0" pivotButton="0" quotePrefix="0" xfId="0"/>
    <xf numFmtId="180" fontId="4" fillId="5" borderId="0" applyAlignment="1" pivotButton="0" quotePrefix="0" xfId="0">
      <alignment horizontal="center" vertical="top"/>
    </xf>
    <xf numFmtId="180" fontId="17" fillId="5" borderId="0" applyAlignment="1" pivotButton="0" quotePrefix="0" xfId="0">
      <alignment vertical="top"/>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67" fontId="4" fillId="5" borderId="0" applyAlignment="1" pivotButton="0" quotePrefix="0" xfId="0">
      <alignment horizontal="center" vertical="center" wrapText="1" shrinkToFit="1"/>
    </xf>
    <xf numFmtId="18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96" fontId="6" fillId="19" borderId="0" applyAlignment="1" applyProtection="1" pivotButton="0" quotePrefix="0" xfId="0">
      <alignment horizontal="centerContinuous"/>
      <protection locked="0" hidden="0"/>
    </xf>
    <xf numFmtId="165" fontId="4" fillId="0" borderId="0" pivotButton="0" quotePrefix="0" xfId="3"/>
    <xf numFmtId="166" fontId="4" fillId="0" borderId="0" pivotButton="0" quotePrefix="0" xfId="3"/>
    <xf numFmtId="170" fontId="4" fillId="0" borderId="0" pivotButton="0" quotePrefix="0" xfId="3"/>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165" fontId="3" fillId="0" borderId="0" pivotButton="0" quotePrefix="0" xfId="0"/>
    <xf numFmtId="165" fontId="4" fillId="0" borderId="0" pivotButton="0" quotePrefix="0" xfId="0"/>
    <xf numFmtId="165" fontId="7" fillId="3" borderId="9" pivotButton="0" quotePrefix="0" xfId="3"/>
    <xf numFmtId="166" fontId="7" fillId="3" borderId="9" pivotButton="0" quotePrefix="0" xfId="3"/>
    <xf numFmtId="167" fontId="7" fillId="3" borderId="9" pivotButton="0" quotePrefix="0" xfId="0"/>
    <xf numFmtId="170" fontId="7" fillId="3" borderId="9" pivotButton="0" quotePrefix="0" xfId="3"/>
    <xf numFmtId="165" fontId="4" fillId="19" borderId="0" pivotButton="0" quotePrefix="0" xfId="3"/>
    <xf numFmtId="166" fontId="4" fillId="19" borderId="0" pivotButton="0" quotePrefix="0" xfId="3"/>
    <xf numFmtId="167" fontId="4" fillId="19" borderId="0" pivotButton="0" quotePrefix="0" xfId="0"/>
    <xf numFmtId="165" fontId="4" fillId="4" borderId="0" pivotButton="0" quotePrefix="0" xfId="3"/>
    <xf numFmtId="167" fontId="4" fillId="4" borderId="0" pivotButton="0" quotePrefix="0" xfId="0"/>
    <xf numFmtId="168" fontId="4" fillId="0" borderId="0" pivotButton="0" quotePrefix="0" xfId="2"/>
    <xf numFmtId="168" fontId="4" fillId="0" borderId="0" pivotButton="0" quotePrefix="0" xfId="3"/>
    <xf numFmtId="168" fontId="4" fillId="19" borderId="0" pivotButton="0" quotePrefix="0" xfId="2"/>
    <xf numFmtId="168" fontId="4" fillId="4" borderId="0" pivotButton="0" quotePrefix="0" xfId="2"/>
    <xf numFmtId="167" fontId="24" fillId="4" borderId="0" applyProtection="1" pivotButton="0" quotePrefix="0" xfId="0">
      <protection locked="0" hidden="0"/>
    </xf>
    <xf numFmtId="169" fontId="4" fillId="0" borderId="0" pivotButton="0" quotePrefix="0" xfId="3"/>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3" borderId="9" applyAlignment="1" pivotButton="0" quotePrefix="0" xfId="3">
      <alignment horizontal="right"/>
    </xf>
    <xf numFmtId="165" fontId="7" fillId="0" borderId="0" applyAlignment="1" pivotButton="0" quotePrefix="0" xfId="3">
      <alignment horizontal="right"/>
    </xf>
    <xf numFmtId="169" fontId="26" fillId="0" borderId="0" pivotButton="0" quotePrefix="0" xfId="3"/>
    <xf numFmtId="167" fontId="3" fillId="0" borderId="0" pivotButton="0" quotePrefix="0" xfId="0"/>
    <xf numFmtId="165" fontId="7" fillId="0" borderId="9" pivotButton="0" quotePrefix="0" xfId="3"/>
    <xf numFmtId="167" fontId="7" fillId="0" borderId="9" pivotButton="0" quotePrefix="0" xfId="0"/>
    <xf numFmtId="165" fontId="3" fillId="0" borderId="9" pivotButton="0" quotePrefix="0" xfId="0"/>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171" fontId="4" fillId="0" borderId="13" applyAlignment="1" pivotButton="0" quotePrefix="0" xfId="4">
      <alignment horizontal="center" vertical="center"/>
    </xf>
    <xf numFmtId="166" fontId="4" fillId="0" borderId="19" pivotButton="0" quotePrefix="0" xfId="3"/>
    <xf numFmtId="165" fontId="9" fillId="5" borderId="2" pivotButton="0" quotePrefix="0" xfId="3"/>
    <xf numFmtId="167" fontId="4" fillId="0" borderId="0" applyAlignment="1" pivotButton="0" quotePrefix="0" xfId="3">
      <alignment horizontal="center"/>
    </xf>
    <xf numFmtId="165" fontId="9" fillId="0" borderId="2" pivotButton="0" quotePrefix="0" xfId="3"/>
    <xf numFmtId="167" fontId="9" fillId="0" borderId="15" applyAlignment="1" pivotButton="0" quotePrefix="0" xfId="3">
      <alignment horizontal="center"/>
    </xf>
    <xf numFmtId="165" fontId="9" fillId="0" borderId="0" pivotButton="0" quotePrefix="0" xfId="3"/>
    <xf numFmtId="166" fontId="9" fillId="0" borderId="0" pivotButton="0" quotePrefix="0" xfId="3"/>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169" fontId="7" fillId="3" borderId="8" pivotButton="0" quotePrefix="0" xfId="0"/>
    <xf numFmtId="167" fontId="7" fillId="3" borderId="9" applyAlignment="1" pivotButton="0" quotePrefix="0" xfId="0">
      <alignment horizontal="center"/>
    </xf>
    <xf numFmtId="169" fontId="7" fillId="3" borderId="8" applyAlignment="1" pivotButton="0" quotePrefix="0" xfId="0">
      <alignment horizontal="center"/>
    </xf>
    <xf numFmtId="169" fontId="7" fillId="0" borderId="9" pivotButton="0" quotePrefix="0" xfId="0"/>
    <xf numFmtId="172" fontId="4" fillId="0" borderId="32" applyAlignment="1" pivotButton="0" quotePrefix="0" xfId="0">
      <alignment horizontal="right" vertical="center"/>
    </xf>
    <xf numFmtId="169" fontId="23" fillId="0" borderId="12" applyAlignment="1" pivotButton="0" quotePrefix="0" xfId="0">
      <alignment horizontal="right" vertical="center"/>
    </xf>
    <xf numFmtId="169" fontId="23" fillId="0" borderId="31" applyAlignment="1" pivotButton="0" quotePrefix="0" xfId="0">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166" fontId="4" fillId="0" borderId="0" applyAlignment="1" pivotButton="0" quotePrefix="0" xfId="3">
      <alignment horizontal="center"/>
    </xf>
    <xf numFmtId="170" fontId="4" fillId="0" borderId="0" applyAlignment="1" pivotButton="0" quotePrefix="0" xfId="3">
      <alignment horizontal="center"/>
    </xf>
    <xf numFmtId="165" fontId="4" fillId="0" borderId="0" applyAlignment="1" pivotButton="0" quotePrefix="0" xfId="3">
      <alignment horizontal="center" vertical="center"/>
    </xf>
    <xf numFmtId="169" fontId="4" fillId="0" borderId="15" applyAlignment="1" pivotButton="0" quotePrefix="0" xfId="3">
      <alignment horizontal="center" vertical="center"/>
    </xf>
    <xf numFmtId="173" fontId="9" fillId="0" borderId="0" applyAlignment="1" pivotButton="0" quotePrefix="0" xfId="0">
      <alignment horizontal="left" vertical="top" wrapText="1"/>
    </xf>
    <xf numFmtId="170" fontId="9" fillId="0" borderId="0" applyAlignment="1" pivotButton="0" quotePrefix="0" xfId="3">
      <alignment horizontal="center" vertical="center"/>
    </xf>
    <xf numFmtId="167" fontId="9" fillId="0" borderId="15" applyAlignment="1" pivotButton="0" quotePrefix="0" xfId="3">
      <alignment horizontal="center" vertical="center"/>
    </xf>
    <xf numFmtId="170" fontId="4" fillId="0" borderId="0" applyAlignment="1" pivotButton="0" quotePrefix="0" xfId="3">
      <alignment horizontal="center" vertical="center"/>
    </xf>
    <xf numFmtId="167" fontId="4" fillId="0" borderId="15" applyAlignment="1" pivotButton="0" quotePrefix="0" xfId="3">
      <alignment horizontal="center" vertical="center"/>
    </xf>
    <xf numFmtId="170" fontId="4" fillId="0" borderId="0" applyAlignment="1" pivotButton="0" quotePrefix="0" xfId="0">
      <alignment horizontal="center" vertical="center"/>
    </xf>
    <xf numFmtId="203" fontId="9" fillId="0" borderId="0" applyAlignment="1" pivotButton="0" quotePrefix="0" xfId="0">
      <alignment horizontal="left" vertical="top" wrapText="1"/>
    </xf>
    <xf numFmtId="166" fontId="4" fillId="0" borderId="0" applyAlignment="1" pivotButton="0" quotePrefix="0" xfId="3">
      <alignment horizontal="center" vertic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5" fontId="4" fillId="0" borderId="15" applyAlignment="1" pivotButton="0" quotePrefix="0" xfId="3">
      <alignment horizontal="center" vertical="center"/>
    </xf>
    <xf numFmtId="203" fontId="24" fillId="0" borderId="0" applyAlignment="1" pivotButton="0" quotePrefix="0" xfId="0">
      <alignment horizontal="left" vertical="top" wrapText="1"/>
    </xf>
    <xf numFmtId="170" fontId="9" fillId="0" borderId="15" applyAlignment="1" pivotButton="0" quotePrefix="0" xfId="3">
      <alignment horizontal="center" vertical="center"/>
    </xf>
    <xf numFmtId="166" fontId="4" fillId="0" borderId="15" applyAlignment="1" pivotButton="0" quotePrefix="0" xfId="3">
      <alignment horizontal="center" vertical="center"/>
    </xf>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170" fontId="17"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169" fontId="9" fillId="0" borderId="0" pivotButton="0" quotePrefix="0" xfId="0"/>
    <xf numFmtId="167" fontId="4" fillId="0" borderId="0" applyProtection="1" pivotButton="0" quotePrefix="0" xfId="3">
      <protection locked="0" hidden="0"/>
    </xf>
    <xf numFmtId="169" fontId="9" fillId="0" borderId="0" applyAlignment="1" pivotButton="0" quotePrefix="0" xfId="0">
      <alignment horizontal="right"/>
    </xf>
    <xf numFmtId="169" fontId="19" fillId="3" borderId="9" pivotButton="0" quotePrefix="0" xfId="0"/>
    <xf numFmtId="166" fontId="7" fillId="3" borderId="9" applyProtection="1" pivotButton="0" quotePrefix="0" xfId="3">
      <protection locked="0" hidden="0"/>
    </xf>
    <xf numFmtId="169" fontId="17" fillId="0" borderId="0" pivotButton="0" quotePrefix="0" xfId="0"/>
    <xf numFmtId="167" fontId="7" fillId="3" borderId="9" applyProtection="1" pivotButton="0" quotePrefix="0" xfId="3">
      <protection locked="0" hidden="0"/>
    </xf>
    <xf numFmtId="167" fontId="17" fillId="4" borderId="0" pivotButton="0" quotePrefix="0" xfId="0"/>
    <xf numFmtId="166" fontId="4" fillId="4" borderId="0" applyProtection="1" pivotButton="0" quotePrefix="0" xfId="3">
      <protection locked="0" hidden="0"/>
    </xf>
    <xf numFmtId="167" fontId="4" fillId="0" borderId="0" pivotButton="0" quotePrefix="0" xfId="3"/>
    <xf numFmtId="171" fontId="19" fillId="0" borderId="0" applyAlignment="1" pivotButton="0" quotePrefix="0" xfId="4">
      <alignment horizontal="center"/>
    </xf>
    <xf numFmtId="169" fontId="19" fillId="0" borderId="0" pivotButton="0" quotePrefix="0" xfId="3"/>
    <xf numFmtId="167" fontId="7" fillId="0" borderId="0" applyProtection="1" pivotButton="0" quotePrefix="0" xfId="3">
      <protection locked="0" hidden="0"/>
    </xf>
    <xf numFmtId="180" fontId="17" fillId="6" borderId="0" applyAlignment="1" pivotButton="0" quotePrefix="0" xfId="0">
      <alignment horizontal="center"/>
    </xf>
    <xf numFmtId="167" fontId="17" fillId="6" borderId="0" applyAlignment="1" pivotButton="0" quotePrefix="0" xfId="3">
      <alignment horizontal="center"/>
    </xf>
    <xf numFmtId="170" fontId="17" fillId="6" borderId="0" applyAlignment="1" pivotButton="0" quotePrefix="0" xfId="3">
      <alignment horizontal="center"/>
    </xf>
    <xf numFmtId="169" fontId="0" fillId="0" borderId="0" pivotButton="0" quotePrefix="0" xfId="0"/>
    <xf numFmtId="180" fontId="17" fillId="0" borderId="0" applyAlignment="1" pivotButton="0" quotePrefix="0" xfId="0">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5" fontId="7" fillId="3" borderId="9" applyAlignment="1" pivotButton="0" quotePrefix="0" xfId="4">
      <alignment horizontal="righ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169" fontId="16" fillId="3" borderId="9" applyAlignment="1" pivotButton="0" quotePrefix="0" xfId="0">
      <alignment horizontal="right" vertical="center" wrapText="1"/>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9" fillId="3" borderId="1" applyAlignment="1" pivotButton="0" quotePrefix="0" xfId="0">
      <alignment horizontal="center"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175" fontId="17" fillId="0" borderId="0" applyAlignment="1" pivotButton="0" quotePrefix="0" xfId="0">
      <alignment horizontal="left"/>
    </xf>
    <xf numFmtId="165" fontId="17" fillId="0" borderId="0" pivotButton="0" quotePrefix="0" xfId="0"/>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65" fontId="17" fillId="0" borderId="11" pivotButton="0" quotePrefix="0" xfId="0"/>
    <xf numFmtId="165" fontId="17" fillId="0" borderId="0" applyProtection="1" pivotButton="0" quotePrefix="0" xfId="3">
      <protection locked="0" hidden="0"/>
    </xf>
    <xf numFmtId="165" fontId="19" fillId="0" borderId="11" pivotButton="0" quotePrefix="0" xfId="0"/>
    <xf numFmtId="170" fontId="19" fillId="0" borderId="11" pivotButton="0" quotePrefix="0" xfId="0"/>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165" fontId="9" fillId="0" borderId="0"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170" fontId="7" fillId="3" borderId="1" pivotButton="0" quotePrefix="0" xfId="0"/>
    <xf numFmtId="193" fontId="32" fillId="0" borderId="0" pivotButton="0" quotePrefix="0" xfId="3"/>
    <xf numFmtId="168" fontId="47" fillId="0" borderId="1" pivotButton="0" quotePrefix="0" xfId="0"/>
    <xf numFmtId="170"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164" fontId="68" fillId="5" borderId="9" applyAlignment="1" pivotButton="0" quotePrefix="0" xfId="0">
      <alignment horizontal="center" vertical="center" wrapText="1"/>
    </xf>
    <xf numFmtId="19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193" fontId="32" fillId="0" borderId="0" applyAlignment="1" pivotButton="0" quotePrefix="0" xfId="3">
      <alignment horizontal="left"/>
    </xf>
    <xf numFmtId="193" fontId="32" fillId="6" borderId="0" pivotButton="0" quotePrefix="0" xfId="3"/>
    <xf numFmtId="193" fontId="32" fillId="5" borderId="0" pivotButton="0" quotePrefix="0" xfId="3"/>
    <xf numFmtId="167" fontId="32" fillId="0" borderId="0" applyAlignment="1" pivotButton="0" quotePrefix="0" xfId="3">
      <alignment horizontal="center"/>
    </xf>
    <xf numFmtId="169" fontId="32" fillId="5" borderId="11" applyAlignment="1" pivotButton="0" quotePrefix="0" xfId="3">
      <alignment horizontal="right"/>
    </xf>
    <xf numFmtId="193" fontId="48" fillId="0" borderId="0" applyAlignment="1" pivotButton="0" quotePrefix="0" xfId="3">
      <alignment horizontal="right"/>
    </xf>
    <xf numFmtId="167" fontId="32" fillId="5" borderId="0" applyAlignment="1" pivotButton="0" quotePrefix="0" xfId="3">
      <alignment horizontal="center"/>
    </xf>
    <xf numFmtId="169" fontId="32" fillId="0" borderId="0" applyAlignment="1" pivotButton="0" quotePrefix="0" xfId="3">
      <alignment horizontal="right"/>
    </xf>
    <xf numFmtId="169" fontId="32" fillId="0" borderId="1" applyAlignment="1" pivotButton="0" quotePrefix="0" xfId="3">
      <alignment horizontal="right"/>
    </xf>
    <xf numFmtId="167" fontId="32" fillId="3" borderId="9" applyAlignment="1" pivotButton="0" quotePrefix="0" xfId="0">
      <alignment horizontal="center"/>
    </xf>
    <xf numFmtId="169" fontId="32" fillId="3" borderId="9" applyAlignment="1" pivotButton="0" quotePrefix="0" xfId="3">
      <alignment horizontal="right"/>
    </xf>
    <xf numFmtId="164" fontId="32" fillId="0" borderId="0" pivotButton="0" quotePrefix="0" xfId="0"/>
    <xf numFmtId="167" fontId="32" fillId="0" borderId="0" applyAlignment="1" pivotButton="0" quotePrefix="0" xfId="0">
      <alignment horizontal="center"/>
    </xf>
    <xf numFmtId="169" fontId="32" fillId="0" borderId="9" applyAlignment="1" pivotButton="0" quotePrefix="0" xfId="3">
      <alignment horizontal="right"/>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64" fontId="48" fillId="0" borderId="0" applyAlignment="1" pivotButton="0" quotePrefix="0" xfId="0">
      <alignment horizontal="right" vertical="center" wrapText="1"/>
    </xf>
    <xf numFmtId="164" fontId="68" fillId="0" borderId="9" applyAlignment="1" pivotButton="0" quotePrefix="0" xfId="3">
      <alignment horizontal="right" vertical="center" wrapText="1"/>
    </xf>
    <xf numFmtId="164" fontId="68" fillId="0" borderId="43" applyAlignment="1" pivotButton="0" quotePrefix="0" xfId="3">
      <alignment horizontal="right" vertical="center" wrapText="1"/>
    </xf>
    <xf numFmtId="164" fontId="68" fillId="0" borderId="49" applyAlignment="1" pivotButton="0" quotePrefix="0" xfId="3">
      <alignment horizontal="right" vertical="center" wrapText="1"/>
    </xf>
    <xf numFmtId="193" fontId="67" fillId="11" borderId="43" applyAlignment="1" pivotButton="0" quotePrefix="0" xfId="0">
      <alignment horizontal="right" vertical="center" wrapText="1"/>
    </xf>
    <xf numFmtId="164" fontId="67" fillId="3" borderId="43" applyAlignment="1" pivotButton="0" quotePrefix="0" xfId="3">
      <alignment horizontal="righ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193" fontId="44" fillId="11" borderId="0" applyAlignment="1" pivotButton="0" quotePrefix="0" xfId="0">
      <alignment horizontal="center" vertical="center" wrapText="1"/>
    </xf>
    <xf numFmtId="165" fontId="50" fillId="3" borderId="1" applyAlignment="1" pivotButton="0" quotePrefix="0" xfId="0">
      <alignment horizontal="center" vertical="center"/>
    </xf>
    <xf numFmtId="170" fontId="50" fillId="3" borderId="9" applyAlignment="1" pivotButton="0" quotePrefix="0" xfId="0">
      <alignment horizontal="center" vertical="center"/>
    </xf>
    <xf numFmtId="178" fontId="5" fillId="0" borderId="9" applyAlignment="1" applyProtection="1" pivotButton="0" quotePrefix="0" xfId="0">
      <alignment horizontal="left"/>
      <protection locked="0" hidden="0"/>
    </xf>
    <xf numFmtId="175" fontId="47" fillId="0" borderId="0" applyAlignment="1" pivotButton="0" quotePrefix="0" xfId="0">
      <alignment horizontal="left"/>
    </xf>
    <xf numFmtId="170" fontId="47" fillId="0" borderId="11" applyAlignment="1" pivotButton="0" quotePrefix="0" xfId="0">
      <alignment horizontal="center"/>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0" fontId="47" fillId="0" borderId="0" applyAlignment="1" pivotButton="0" quotePrefix="0" xfId="0">
      <alignment horizontal="center"/>
    </xf>
    <xf numFmtId="177" fontId="47" fillId="0" borderId="0" applyAlignment="1" pivotButton="0" quotePrefix="0" xfId="0">
      <alignment horizontal="left"/>
    </xf>
    <xf numFmtId="170" fontId="47" fillId="0" borderId="1" applyAlignment="1" pivotButton="0" quotePrefix="0" xfId="0">
      <alignment horizontal="center"/>
    </xf>
    <xf numFmtId="170" fontId="50" fillId="0" borderId="9" applyAlignment="1" pivotButton="0" quotePrefix="0" xfId="0">
      <alignment horizontal="center"/>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170" fontId="50" fillId="3" borderId="9" applyAlignment="1" pivotButton="0" quotePrefix="0" xfId="0">
      <alignment horizontal="center"/>
    </xf>
    <xf numFmtId="0" fontId="82" fillId="25" borderId="0" applyAlignment="1" pivotButton="0" quotePrefix="0" xfId="0">
      <alignment horizontal="center" vertical="center"/>
    </xf>
    <xf numFmtId="0" fontId="83" fillId="26" borderId="0" applyAlignment="1" pivotButton="0" quotePrefix="0" xfId="0">
      <alignment horizontal="center" vertical="center"/>
    </xf>
    <xf numFmtId="0" fontId="84" fillId="27" borderId="0" applyAlignment="1" pivotButton="0" quotePrefix="0" xfId="0">
      <alignment horizontal="center" vertical="center" wrapText="1"/>
    </xf>
    <xf numFmtId="0" fontId="85" fillId="25" borderId="82" applyAlignment="1" pivotButton="0" quotePrefix="0" xfId="0">
      <alignment horizontal="center" vertical="center"/>
    </xf>
    <xf numFmtId="0" fontId="87" fillId="28" borderId="82" applyAlignment="1" pivotButton="0" quotePrefix="0" xfId="0">
      <alignment vertical="center"/>
    </xf>
    <xf numFmtId="0" fontId="86" fillId="0" borderId="82" applyAlignment="1" pivotButton="0" quotePrefix="0" xfId="0">
      <alignment vertical="center"/>
    </xf>
    <xf numFmtId="0" fontId="87" fillId="28" borderId="82" applyAlignment="1" pivotButton="0" quotePrefix="0" xfId="0">
      <alignment vertical="center" wrapText="1"/>
    </xf>
    <xf numFmtId="0" fontId="87" fillId="29" borderId="82" applyAlignment="1" pivotButton="0" quotePrefix="0" xfId="0">
      <alignment vertical="center"/>
    </xf>
    <xf numFmtId="0" fontId="87" fillId="29" borderId="82" applyAlignment="1" pivotButton="0" quotePrefix="0" xfId="0">
      <alignment vertical="center" wrapText="1"/>
    </xf>
    <xf numFmtId="0" fontId="88" fillId="30" borderId="0" applyAlignment="1" pivotButton="0" quotePrefix="0" xfId="0">
      <alignment vertical="center"/>
    </xf>
    <xf numFmtId="0" fontId="89" fillId="30" borderId="83" applyAlignment="1" pivotButton="0" quotePrefix="0" xfId="0">
      <alignment horizontal="center" vertical="center"/>
    </xf>
    <xf numFmtId="0" fontId="90" fillId="30" borderId="0" applyAlignment="1" pivotButton="0" quotePrefix="0" xfId="0">
      <alignment vertical="center" wrapText="1"/>
    </xf>
    <xf numFmtId="0" fontId="87" fillId="28" borderId="82" applyAlignment="1" pivotButton="0" quotePrefix="0" xfId="0">
      <alignment vertical="center"/>
    </xf>
    <xf numFmtId="0" fontId="86" fillId="0" borderId="82" applyAlignment="1" pivotButton="0" quotePrefix="0" xfId="0">
      <alignment vertical="center"/>
    </xf>
    <xf numFmtId="0" fontId="87" fillId="29" borderId="82" applyAlignment="1" pivotButton="0" quotePrefix="0" xfId="0">
      <alignment vertical="center"/>
    </xf>
    <xf numFmtId="0" fontId="99" fillId="31" borderId="0" applyAlignment="1" pivotButton="0" quotePrefix="0" xfId="0">
      <alignment horizontal="center" vertical="center"/>
    </xf>
    <xf numFmtId="0" fontId="100" fillId="36" borderId="0" applyAlignment="1" pivotButton="0" quotePrefix="0" xfId="0">
      <alignment horizontal="center" vertical="center"/>
    </xf>
    <xf numFmtId="0" fontId="91" fillId="36" borderId="0" applyAlignment="1" pivotButton="0" quotePrefix="0" xfId="0">
      <alignment horizontal="center"/>
    </xf>
    <xf numFmtId="0" fontId="92" fillId="32" borderId="87" pivotButton="0" quotePrefix="0" xfId="0"/>
    <xf numFmtId="0" fontId="0" fillId="37" borderId="87" pivotButton="0" quotePrefix="0" xfId="0"/>
    <xf numFmtId="0" fontId="0" fillId="0" borderId="91" pivotButton="0" quotePrefix="0" xfId="0"/>
    <xf numFmtId="204" fontId="0" fillId="37" borderId="87" pivotButton="0" quotePrefix="0" xfId="0"/>
    <xf numFmtId="0" fontId="91" fillId="31" borderId="0" applyAlignment="1" pivotButton="0" quotePrefix="0" xfId="0">
      <alignment horizontal="center"/>
    </xf>
    <xf numFmtId="0" fontId="97" fillId="32" borderId="87" pivotButton="0" quotePrefix="0" xfId="0"/>
    <xf numFmtId="0" fontId="0" fillId="38" borderId="87" pivotButton="0" quotePrefix="0" xfId="0"/>
    <xf numFmtId="0" fontId="0" fillId="0" borderId="87" pivotButton="0" quotePrefix="0" xfId="0"/>
    <xf numFmtId="0" fontId="0" fillId="0" borderId="87" applyAlignment="1" pivotButton="0" quotePrefix="0" xfId="0">
      <alignment horizontal="center" vertical="center"/>
    </xf>
    <xf numFmtId="0" fontId="101" fillId="0" borderId="87" pivotButton="0" quotePrefix="0" xfId="0"/>
    <xf numFmtId="0" fontId="94" fillId="0" borderId="0" pivotButton="0" quotePrefix="0" xfId="0"/>
    <xf numFmtId="0" fontId="102" fillId="0" borderId="87" applyAlignment="1" pivotButton="0" quotePrefix="0" xfId="0">
      <alignment horizontal="center"/>
    </xf>
    <xf numFmtId="9" fontId="102" fillId="0" borderId="87" applyAlignment="1" pivotButton="0" quotePrefix="0" xfId="0">
      <alignment horizontal="center"/>
    </xf>
    <xf numFmtId="0" fontId="91" fillId="31" borderId="0" applyAlignment="1" pivotButton="0" quotePrefix="0" xfId="0">
      <alignment horizontal="center" vertical="center"/>
    </xf>
    <xf numFmtId="0" fontId="92" fillId="32" borderId="87" applyAlignment="1" pivotButton="0" quotePrefix="0" xfId="0">
      <alignment horizontal="left" vertical="center" wrapText="1"/>
    </xf>
    <xf numFmtId="0" fontId="93" fillId="33" borderId="87" applyAlignment="1" pivotButton="0" quotePrefix="0" xfId="0">
      <alignment horizontal="left" vertical="center" wrapText="1"/>
    </xf>
    <xf numFmtId="0" fontId="0" fillId="0" borderId="90" pivotButton="0" quotePrefix="0" xfId="0"/>
    <xf numFmtId="204" fontId="93" fillId="33" borderId="87" applyAlignment="1" pivotButton="0" quotePrefix="0" xfId="0">
      <alignment horizontal="left" vertical="center" wrapText="1"/>
    </xf>
    <xf numFmtId="204" fontId="93" fillId="34" borderId="87" applyAlignment="1" pivotButton="0" quotePrefix="0" xfId="0">
      <alignment horizontal="left" vertical="center" wrapText="1"/>
    </xf>
    <xf numFmtId="198" fontId="93" fillId="33" borderId="87" applyAlignment="1" pivotButton="0" quotePrefix="0" xfId="0">
      <alignment horizontal="left" vertical="center" wrapText="1"/>
    </xf>
    <xf numFmtId="0" fontId="95" fillId="31" borderId="0" applyAlignment="1" pivotButton="0" quotePrefix="0" xfId="0">
      <alignment horizontal="center"/>
    </xf>
    <xf numFmtId="0" fontId="0" fillId="34" borderId="0" applyAlignment="1" pivotButton="0" quotePrefix="0" xfId="0">
      <alignment wrapText="1"/>
    </xf>
    <xf numFmtId="0" fontId="0" fillId="33" borderId="0" applyAlignment="1" pivotButton="0" quotePrefix="0" xfId="0">
      <alignment wrapText="1"/>
    </xf>
    <xf numFmtId="0" fontId="0" fillId="35" borderId="0" applyAlignment="1" pivotButton="0" quotePrefix="0" xfId="0">
      <alignment wrapText="1"/>
    </xf>
    <xf numFmtId="0" fontId="0" fillId="0" borderId="86" pivotButton="0" quotePrefix="0" xfId="0"/>
    <xf numFmtId="0" fontId="96" fillId="31" borderId="0" applyAlignment="1" pivotButton="0" quotePrefix="0" xfId="0">
      <alignment horizontal="center" vertical="center"/>
    </xf>
    <xf numFmtId="0" fontId="91" fillId="31" borderId="0" applyAlignment="1" pivotButton="0" quotePrefix="0" xfId="0">
      <alignment horizontal="left" vertical="center"/>
    </xf>
    <xf numFmtId="0" fontId="0" fillId="34" borderId="87" applyAlignment="1" pivotButton="0" quotePrefix="0" xfId="0">
      <alignment vertical="center" wrapText="1"/>
    </xf>
    <xf numFmtId="0" fontId="98" fillId="0" borderId="87" pivotButton="0" quotePrefix="0" xfId="0"/>
    <xf numFmtId="0" fontId="0" fillId="33" borderId="87" applyAlignment="1" pivotButton="0" quotePrefix="0" xfId="0">
      <alignment vertical="center" wrapText="1"/>
    </xf>
    <xf numFmtId="0" fontId="103" fillId="0" borderId="82" applyAlignment="1" pivotButton="0" quotePrefix="0" xfId="0">
      <alignment vertical="center"/>
    </xf>
    <xf numFmtId="0" fontId="104" fillId="0" borderId="0" pivotButton="0" quotePrefix="0" xfId="0"/>
  </cellXfs>
  <cellStyles count="15">
    <cellStyle name="Normal" xfId="0" builtinId="0"/>
    <cellStyle name="Normal 22 2" xfId="1"/>
    <cellStyle name="Comma" xfId="2" builtinId="3"/>
    <cellStyle name="Currency" xfId="3" builtinId="4"/>
    <cellStyle name="Percent" xfId="4" builtinId="5"/>
    <cellStyle name="Subtitle" xfId="5"/>
    <cellStyle name="TableTitle" xfId="6"/>
    <cellStyle name="TableHeading" xfId="7"/>
    <cellStyle name="Normal 3" xfId="8"/>
    <cellStyle name="Normal 2" xfId="9"/>
    <cellStyle name="tblHeader" xfId="10"/>
    <cellStyle name="tblText" xfId="11"/>
    <cellStyle name="Percent 2 2" xfId="12"/>
    <cellStyle name="Normal 4" xfId="13"/>
    <cellStyle name="Instructions" xfId="14"/>
  </cellStyles>
  <dxfs count="13">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name val="Calibri"/>
        <color rgb="002D6A4F"/>
        <sz val="9"/>
      </font>
      <fill>
        <patternFill patternType="solid">
          <fgColor rgb="00D6EAD7"/>
        </patternFill>
      </fill>
    </dxf>
    <dxf>
      <font>
        <name val="Calibri"/>
        <color rgb="001A3A5C"/>
        <sz val="9"/>
      </font>
      <fill>
        <patternFill patternType="solid">
          <fgColor rgb="00DDEEFF"/>
        </patternFill>
      </fill>
    </dxf>
    <dxf>
      <font>
        <name val="Calibri"/>
        <color rgb="00BBBBBB"/>
        <sz val="9"/>
      </font>
      <fill>
        <patternFill patternType="solid">
          <fgColor rgb="00F4F4F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externalLink" Target="/xl/externalLinks/externalLink4.xml" Id="rId31" /><Relationship Type="http://schemas.openxmlformats.org/officeDocument/2006/relationships/externalLink" Target="/xl/externalLinks/externalLink5.xml" Id="rId32" /><Relationship Type="http://schemas.openxmlformats.org/officeDocument/2006/relationships/externalLink" Target="/xl/externalLinks/externalLink6.xml" Id="rId33" /><Relationship Type="http://schemas.openxmlformats.org/officeDocument/2006/relationships/externalLink" Target="/xl/externalLinks/externalLink7.xml" Id="rId34" /><Relationship Type="http://schemas.openxmlformats.org/officeDocument/2006/relationships/externalLink" Target="/xl/externalLinks/externalLink8.xml" Id="rId35" /><Relationship Type="http://schemas.openxmlformats.org/officeDocument/2006/relationships/externalLink" Target="/xl/externalLinks/externalLink9.xml" Id="rId36" /><Relationship Type="http://schemas.openxmlformats.org/officeDocument/2006/relationships/externalLink" Target="/xl/externalLinks/externalLink10.xml" Id="rId37" /><Relationship Type="http://schemas.openxmlformats.org/officeDocument/2006/relationships/externalLink" Target="/xl/externalLinks/externalLink11.xml" Id="rId38" /><Relationship Type="http://schemas.openxmlformats.org/officeDocument/2006/relationships/externalLink" Target="/xl/externalLinks/externalLink12.xml" Id="rId39" /><Relationship Type="http://schemas.openxmlformats.org/officeDocument/2006/relationships/externalLink" Target="/xl/externalLinks/externalLink13.xml" Id="rId40" /><Relationship Type="http://schemas.openxmlformats.org/officeDocument/2006/relationships/externalLink" Target="/xl/externalLinks/externalLink14.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omments/comment1.xml><?xml version="1.0" encoding="utf-8"?>
<comments xmlns="http://schemas.openxmlformats.org/spreadsheetml/2006/main">
  <authors>
    <author>Auto-Calc</author>
  </authors>
  <commentList>
    <comment ref="C8" authorId="0" shapeId="0">
      <text>
        <t>Source: MVS Sec.99 p.7 (Jan 2025). Drives LAM auto-lookup in C19.</t>
      </text>
    </comment>
    <comment ref="C14" authorId="0" shapeId="0">
      <text>
        <t>Formula: INDEX/MATCH from TABLE A (406) or TABLE F (407). Key = Class~Quality. Source: MVS Sec.14 (Feb 2024).</t>
      </text>
    </comment>
    <comment ref="C15" authorId="0" shapeId="0">
      <text>
        <t>Formula: INDEX/MATCH from TABLE D. Uses floor coverage band (not interpolated). Source: MVS Sec.14 p.37 (Feb 2024).</t>
      </text>
    </comment>
    <comment ref="H15" authorId="0" shapeId="0">
      <text>
        <t>Input: sprinkler tier used with building area (C10) to auto-calc C15.</t>
      </text>
    </comment>
    <comment ref="C18" authorId="0" shapeId="0">
      <text>
        <t>Formula: Looks up EASTERN region row (row 81) from TABLE C using class. Source: MVS Sec.99 p.3 (Jan 2025).</t>
      </text>
    </comment>
    <comment ref="C19" authorId="0" shapeId="0">
      <text>
        <t>Formula: INDEX/MATCH from TABLE C2 using city (C8) and class. Source: MVS Sec.99 p.7 (Jan 2025).</t>
      </text>
    </comment>
    <comment ref="C22" authorId="0" shapeId="0">
      <text>
        <t>Formula: VLOOKUP (approximate match) from TABLE G using eave height (G22). Source: MVS Sec.14 p.39 (Feb 2024).</t>
      </text>
    </comment>
    <comment ref="G22" authorId="0" shapeId="0">
      <text>
        <t>Input: Enter average eave height in feet. Used to auto-calculate story height multiplier (C22). Base height = 14 ft; common values: 14, 16, 18, 20, 24, 30, 40 ft.</t>
      </text>
    </comment>
    <comment ref="A114" authorId="0" shapeId="0">
      <text>
        <t>NOTE: Values are space-heater configuration. B Average / C Average / C Good ordering may differ from prior editions — verify against physical MVS Sec.14 p.23 if unusual. D-class and additional S-class entries not yet extracted.</t>
      </text>
    </comment>
  </commentList>
</comments>
</file>

<file path=xl/externalLinks/_rels/externalLink1.xml.rels><Relationships xmlns="http://schemas.openxmlformats.org/package/2006/relationships"><Relationship Type="http://schemas.openxmlformats.org/officeDocument/2006/relationships/externalLinkPath" Target="file:///\\darkhelmet\cvc-darkhelmet\CB%20Files\CB%202008\08-0690_Cortez\ARC%20Merrill%20Lynch%20MHP%200606.xls" TargetMode="External" Id="rId1" /></Relationships>
</file>

<file path=xl/externalLinks/_rels/externalLink2.xml.rels><Relationships xmlns="http://schemas.openxmlformats.org/package/2006/relationships"><Relationship Type="http://schemas.openxmlformats.org/officeDocument/2006/relationships/externalLinkPath" Target="file:///\\vader\CVC-Vader\AppraisalFinalCopies\2012\14059\Valuation\Copy%20of%20Excess_Rent.xls" TargetMode="External" Id="rId1" /></Relationships>
</file>

<file path=xl/externalLinks/_rels/externalLink3.xml.rels><Relationships xmlns="http://schemas.openxmlformats.org/package/2006/relationships"><Relationship Type="http://schemas.microsoft.com/office/2006/relationships/xlExternalLinkPath/xlPathMissing" Target="0118000415%204900%20Florence%20Street1" TargetMode="External" Id="rId1" /></Relationships>
</file>

<file path=xl/externalLinks/_rels/externalLink4.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4195%20Centennial%20Boulevard\Elite%20Vision%20Improved%20Sales%20Revised.xlsx" TargetMode="External" Id="rId1" /></Relationships>
</file>

<file path=xl/externalLinks/_rels/externalLink5.xml.rels><Relationships xmlns="http://schemas.openxmlformats.org/package/2006/relationships"><Relationship Type="http://schemas.openxmlformats.org/officeDocument/2006/relationships/externalLinkPath" Target="file:///\\gcfilesrv\ASR$\Users\scraig\Desktop\More%20Stuff\Templates\Income%20Approach,%20Owner-User.xlsx" TargetMode="External" Id="rId1" /></Relationships>
</file>

<file path=xl/externalLinks/_rels/externalLink6.xml.rels><Relationships xmlns="http://schemas.openxmlformats.org/package/2006/relationships"><Relationship Type="http://schemas.openxmlformats.org/officeDocument/2006/relationships/externalLinkPath" Target="file:///C:\Users\scraig\Desktop\More%20Stuff\Templates\Income%20Approach,%20Owner-User.xlsx" TargetMode="External" Id="rId1" /></Relationships>
</file>

<file path=xl/externalLinks/_rels/externalLink7.xml.rels><Relationships xmlns="http://schemas.openxmlformats.org/package/2006/relationships"><Relationship Type="http://schemas.openxmlformats.org/officeDocument/2006/relationships/externalLinkPath" Target="file:///D:\Appraisals\BBGAppraisals-2021\BBGDenver\Researchers\Templates\Eval%20Template\Newest%20Eval%20and%20Restricted%20Template\Commercial-Base-Excel%20-%20v3.2.4%20(2).xlsm" TargetMode="External" Id="rId1" /></Relationships>
</file>

<file path=xl/externalLinks/_rels/externalLink8.xml.rels><Relationships xmlns="http://schemas.openxmlformats.org/package/2006/relationships"><Relationship Type="http://schemas.openxmlformats.org/officeDocument/2006/relationships/externalLinkPath" Target="file:///\\gcfilesrv\ASR$\01_Commercial\06_2021%20Review_Valuation_Appeals\2021%20-%20BAA%20Appeal\JDB\2021BAA6146%20-%20LYONS%20REAL%20ESTATE%20HOLDINGS%20LLC\R0088278.xlsx" TargetMode="External" Id="rId1" /></Relationships>
</file>

<file path=xl/externalLinks/_rels/externalLink9.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Template%20Stuff\Commercial-Base-Excel.xlsm" TargetMode="External" Id="rId1" /></Relationships>
</file>

<file path=xl/externalLinks/_rels/externalLink10.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older%20version\6945%20Tutt%20Boulevard%20Analysis%20Revised%20New.xls" TargetMode="External" Id="rId1" /></Relationships>
</file>

<file path=xl/externalLinks/_rels/externalLink11.xml.rels><Relationships xmlns="http://schemas.openxmlformats.org/package/2006/relationships"><Relationship Type="http://schemas.openxmlformats.org/officeDocument/2006/relationships/externalLinkPath" Target="file:///\\eaglefive\CVC-EagleFive\Documents%20and%20Settings\pwalsh\My%20Documents\Payroll\Cost%20Approach.xls" TargetMode="External" Id="rId1" /></Relationships>
</file>

<file path=xl/externalLinks/_rels/externalLink12.xml.rels><Relationships xmlns="http://schemas.openxmlformats.org/package/2006/relationships"><Relationship Type="http://schemas.openxmlformats.org/officeDocument/2006/relationships/externalLinkPath" Target="file:///C:\Users\jbatchelder\AppData\Local\Microsoft\Windows\INetCache\Content.Outlook\QS388HG5\ST%20Retail%20IA%20%20SCA%205668%20Beeler%20Street.xlsx" TargetMode="External" Id="rId1" /></Relationships>
</file>

<file path=xl/externalLinks/_rels/externalLink13.xml.rels><Relationships xmlns="http://schemas.openxmlformats.org/package/2006/relationships"><Relationship Type="http://schemas.openxmlformats.org/officeDocument/2006/relationships/externalLinkPath" Target="file:///C:\Users\JBatchelder\Box%20Sync\BBGAppraisalFiles\2019\0119005598%20-%20%20Denver%20CO%2080237,%20Denver\Working%20Documents\3603%20s%20monaco%20parkway%20(jbatchelder@bbgres.com).xlsm" TargetMode="External" Id="rId1" /></Relationships>
</file>

<file path=xl/externalLinks/_rels/externalLink14.xml.rels><Relationships xmlns="http://schemas.openxmlformats.org/package/2006/relationships"><Relationship Type="http://schemas.openxmlformats.org/officeDocument/2006/relationships/externalLinkPath" Target="file:///D:\Appraisals\BBGAppraisals-2023\0123100874%20-%201024%20Cherokee%20Street,%20Denver\Working%20Documents\1024%20Cherokee%20Street%20FE.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structions"/>
      <sheetName val="Raw Data Fields"/>
      <sheetName val="Inputs"/>
      <sheetName val="Methodology"/>
      <sheetName val="RevSel"/>
      <sheetName val="ExpSel"/>
      <sheetName val="ARC Property List"/>
      <sheetName val="Values"/>
      <sheetName val="SFC"/>
      <sheetName val="Intro"/>
      <sheetName val="Restricted"/>
      <sheetName val="Survey Results"/>
      <sheetName val="Exposure"/>
      <sheetName val="Area"/>
      <sheetName val="Demos"/>
      <sheetName val="MktStdy"/>
      <sheetName val="MktStdyRents"/>
      <sheetName val="Zoning"/>
      <sheetName val="Site"/>
      <sheetName val="Improv"/>
      <sheetName val="ImpAnalysis"/>
      <sheetName val="Tax"/>
      <sheetName val="TaxAssum"/>
      <sheetName val="Tax Comps"/>
      <sheetName val="L Sum"/>
      <sheetName val="L Grid"/>
      <sheetName val="L Sum (2)"/>
      <sheetName val="L Grid (2)"/>
      <sheetName val="Ins Val (2)"/>
      <sheetName val="Cost"/>
      <sheetName val="Cost_Comps"/>
      <sheetName val="Ins Val"/>
      <sheetName val="LUD"/>
      <sheetName val="IS_Sum"/>
      <sheetName val="IS Grid"/>
      <sheetName val="IS Concl"/>
      <sheetName val="Rent Sum"/>
      <sheetName val="Comp. Rents"/>
      <sheetName val="Mkt Rent-Pads"/>
      <sheetName val="Mkt Rent-Rental Units"/>
      <sheetName val="ARC Financials"/>
      <sheetName val="Op History"/>
      <sheetName val="OpHistDial"/>
      <sheetName val="Exp Comps"/>
      <sheetName val="Exp Charts"/>
      <sheetName val="ExpChartDial"/>
      <sheetName val="Cap Rates"/>
      <sheetName val="Dir Cap"/>
      <sheetName val="DirCapDial"/>
      <sheetName val="DCF Assum"/>
      <sheetName val="APT DCF"/>
      <sheetName val="DCF Dial"/>
      <sheetName val="Key Assumptions"/>
      <sheetName val="Int Rev"/>
      <sheetName val="Job Center"/>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Raw Data Fields"/>
      <sheetName val="License"/>
      <sheetName val="Start Here"/>
      <sheetName val="Inputs"/>
      <sheetName val="RevSel"/>
      <sheetName val="ExpSel"/>
      <sheetName val="InputsRangeNames"/>
      <sheetName val="WA Import"/>
      <sheetName val="MapImport"/>
      <sheetName val="Values"/>
      <sheetName val="SFC"/>
      <sheetName val="Intro"/>
      <sheetName val="Restricted"/>
      <sheetName val="Survey Results"/>
      <sheetName val="Exposure"/>
      <sheetName val="Area"/>
      <sheetName val="Demos"/>
      <sheetName val="MPAA Trends"/>
      <sheetName val="Rest Trends"/>
      <sheetName val="LTL Trends"/>
      <sheetName val="PRW Trends"/>
      <sheetName val="MfgHousing"/>
      <sheetName val="TortoWheaton"/>
      <sheetName val="MktStdy"/>
      <sheetName val="MktStdyRents"/>
      <sheetName val="Site"/>
      <sheetName val="Improv"/>
      <sheetName val="ImpAnalysis"/>
      <sheetName val="Zoning"/>
      <sheetName val="Tax"/>
      <sheetName val="TaxAssum"/>
      <sheetName val="Tax Comps"/>
      <sheetName val="Ground Lease"/>
      <sheetName val="L Sum"/>
      <sheetName val="L Grid"/>
      <sheetName val="L Sum Narr"/>
      <sheetName val="L Sum (2)"/>
      <sheetName val="L Grid (2)"/>
      <sheetName val="L Sum Narr (2)"/>
      <sheetName val="CostComponents"/>
      <sheetName val="Cost"/>
      <sheetName val="Cost_Comps"/>
      <sheetName val="CostCompAssump"/>
      <sheetName val="Ins Val"/>
      <sheetName val="LUD"/>
      <sheetName val="IS_Sum"/>
      <sheetName val="ISGridSel"/>
      <sheetName val="IS Grid"/>
      <sheetName val="IS_Sum Narr"/>
      <sheetName val="IS Concl"/>
      <sheetName val="Natl Comps"/>
      <sheetName val="IS_Sum (2)"/>
      <sheetName val="ISGridSel (2)"/>
      <sheetName val="IS Grid (2)"/>
      <sheetName val="IS_Sum Narr (2)"/>
      <sheetName val="RentSumDisplay"/>
      <sheetName val="Rent Sum"/>
      <sheetName val="Rent Grid"/>
      <sheetName val="Rent Sum Narr"/>
      <sheetName val="RentSumDisplay (2)"/>
      <sheetName val="Rent Sum (2)"/>
      <sheetName val="Rent Sum Narr (2)"/>
      <sheetName val="Comp. Rents"/>
      <sheetName val="Lease Abstract"/>
      <sheetName val="BMR"/>
      <sheetName val="Mkt Rent"/>
      <sheetName val="Op History"/>
      <sheetName val="OpHistDial"/>
      <sheetName val="Exp Comps"/>
      <sheetName val="Exp Charts"/>
      <sheetName val="Cap Rates"/>
      <sheetName val="Dir Cap"/>
      <sheetName val="DirCapDial"/>
      <sheetName val="Dir Cap (2)"/>
      <sheetName val="DCF Assum"/>
      <sheetName val="APT DCF"/>
      <sheetName val="Int Rev"/>
      <sheetName val="Job Center"/>
    </sheetNames>
    <sheetDataSet>
      <sheetData sheetId="0" refreshError="1"/>
      <sheetData sheetId="1" refreshError="1"/>
      <sheetData sheetId="2" refreshError="1"/>
      <sheetData sheetId="3" refreshError="1">
        <row r="4">
          <cell r="C4" t="str">
            <v>08-277DN-0690</v>
          </cell>
        </row>
        <row r="9">
          <cell r="C9" t="str">
            <v>Jared Lay</v>
          </cell>
        </row>
        <row r="10">
          <cell r="C10" t="str">
            <v>Tom Baroch, MAI</v>
          </cell>
        </row>
        <row r="12">
          <cell r="C12" t="str">
            <v>Office Name - P/C ****</v>
          </cell>
        </row>
        <row r="13">
          <cell r="C13" t="str">
            <v>Complete</v>
          </cell>
        </row>
        <row r="14">
          <cell r="C14" t="str">
            <v>Summary</v>
          </cell>
        </row>
        <row r="15">
          <cell r="C15" t="str">
            <v>Robert Oehler</v>
          </cell>
        </row>
        <row r="16">
          <cell r="C16" t="str">
            <v>President and CEO</v>
          </cell>
        </row>
        <row r="18">
          <cell r="C18" t="str">
            <v>626-773-8878</v>
          </cell>
        </row>
        <row r="19">
          <cell r="C19" t="str">
            <v>626-773-8870</v>
          </cell>
        </row>
        <row r="21">
          <cell r="C21" t="str">
            <v>Pacific Alliance Bank</v>
          </cell>
        </row>
        <row r="24">
          <cell r="C24" t="str">
            <v>8400 East Valley Boulevard</v>
          </cell>
        </row>
        <row r="25">
          <cell r="C25" t="str">
            <v>Rosemead</v>
          </cell>
        </row>
        <row r="26">
          <cell r="C26" t="str">
            <v>California</v>
          </cell>
        </row>
        <row r="27">
          <cell r="C27">
            <v>91770</v>
          </cell>
        </row>
        <row r="30">
          <cell r="C30">
            <v>39679</v>
          </cell>
        </row>
        <row r="31">
          <cell r="C31">
            <v>39674</v>
          </cell>
        </row>
        <row r="32">
          <cell r="C32">
            <v>39679</v>
          </cell>
        </row>
        <row r="34">
          <cell r="C34" t="str">
            <v>Leased Fee Interest</v>
          </cell>
        </row>
        <row r="36">
          <cell r="C36" t="str">
            <v>Existing</v>
          </cell>
        </row>
        <row r="37">
          <cell r="C37">
            <v>0</v>
          </cell>
        </row>
        <row r="39">
          <cell r="C39" t="str">
            <v>As Is</v>
          </cell>
        </row>
        <row r="40">
          <cell r="C40"/>
          <cell r="D40">
            <v>6</v>
          </cell>
        </row>
        <row r="41">
          <cell r="C41"/>
          <cell r="D41">
            <v>6</v>
          </cell>
        </row>
        <row r="42">
          <cell r="C42">
            <v>0.03</v>
          </cell>
        </row>
        <row r="43">
          <cell r="C43">
            <v>39674</v>
          </cell>
        </row>
        <row r="44">
          <cell r="C44">
            <v>39674</v>
          </cell>
        </row>
        <row r="45">
          <cell r="C45">
            <v>39674</v>
          </cell>
        </row>
        <row r="47">
          <cell r="D47" t="b">
            <v>0</v>
          </cell>
        </row>
        <row r="52">
          <cell r="D52" t="b">
            <v>0</v>
          </cell>
          <cell r="E52" t="str">
            <v>Fee Simple</v>
          </cell>
        </row>
        <row r="56">
          <cell r="C56" t="str">
            <v>Great Scott's Restaurant</v>
          </cell>
        </row>
        <row r="58">
          <cell r="C58">
            <v>1900</v>
          </cell>
        </row>
        <row r="59">
          <cell r="C59" t="str">
            <v>1551 Cortez Street</v>
          </cell>
        </row>
        <row r="60">
          <cell r="C60" t="str">
            <v>Unincorporated Adams County</v>
          </cell>
        </row>
        <row r="61">
          <cell r="C61" t="str">
            <v>Colorado</v>
          </cell>
        </row>
        <row r="62">
          <cell r="C62">
            <v>80221</v>
          </cell>
        </row>
        <row r="63">
          <cell r="C63" t="str">
            <v>Adams</v>
          </cell>
          <cell r="D63" t="str">
            <v>County</v>
          </cell>
        </row>
        <row r="65">
          <cell r="C65" t="str">
            <v>Standard</v>
          </cell>
          <cell r="D65" t="str">
            <v>Single</v>
          </cell>
        </row>
        <row r="66">
          <cell r="C66" t="str">
            <v>1719-334-14-016</v>
          </cell>
        </row>
        <row r="70">
          <cell r="C70" t="str">
            <v>Retail</v>
          </cell>
        </row>
        <row r="73">
          <cell r="C73" t="str">
            <v>RET_Restaurant</v>
          </cell>
        </row>
        <row r="74">
          <cell r="C74" t="str">
            <v>Retail</v>
          </cell>
        </row>
        <row r="75">
          <cell r="C75" t="str">
            <v>Restaurant</v>
          </cell>
        </row>
        <row r="76">
          <cell r="C76" t="str">
            <v>Retail</v>
          </cell>
        </row>
        <row r="77">
          <cell r="C77">
            <v>250</v>
          </cell>
        </row>
        <row r="78">
          <cell r="C78">
            <v>0.9399908172635445</v>
          </cell>
        </row>
        <row r="79">
          <cell r="C79">
            <v>40946</v>
          </cell>
        </row>
        <row r="81">
          <cell r="C81">
            <v>0</v>
          </cell>
        </row>
        <row r="82">
          <cell r="C82">
            <v>0</v>
          </cell>
        </row>
        <row r="83">
          <cell r="C83">
            <v>0</v>
          </cell>
        </row>
        <row r="85">
          <cell r="C85">
            <v>0.9399908172635445</v>
          </cell>
        </row>
        <row r="93">
          <cell r="C93">
            <v>112</v>
          </cell>
        </row>
        <row r="95">
          <cell r="C95">
            <v>12000</v>
          </cell>
        </row>
        <row r="96">
          <cell r="C96">
            <v>108000</v>
          </cell>
        </row>
        <row r="97">
          <cell r="C97">
            <v>0</v>
          </cell>
        </row>
        <row r="98">
          <cell r="C98">
            <v>0</v>
          </cell>
        </row>
        <row r="99">
          <cell r="C99">
            <v>0</v>
          </cell>
        </row>
        <row r="102">
          <cell r="C102">
            <v>20</v>
          </cell>
        </row>
        <row r="103">
          <cell r="C103">
            <v>100</v>
          </cell>
        </row>
        <row r="104">
          <cell r="C104">
            <v>0.1</v>
          </cell>
        </row>
        <row r="105">
          <cell r="C105">
            <v>0.9</v>
          </cell>
        </row>
        <row r="106">
          <cell r="C106">
            <v>0</v>
          </cell>
        </row>
        <row r="107">
          <cell r="C107">
            <v>0</v>
          </cell>
        </row>
        <row r="108">
          <cell r="C108">
            <v>0</v>
          </cell>
        </row>
        <row r="109">
          <cell r="C109">
            <v>0.05</v>
          </cell>
        </row>
        <row r="117">
          <cell r="C117">
            <v>35</v>
          </cell>
        </row>
        <row r="118">
          <cell r="C118">
            <v>10</v>
          </cell>
        </row>
        <row r="132">
          <cell r="D132">
            <v>1</v>
          </cell>
        </row>
        <row r="133">
          <cell r="C133" t="str">
            <v>Restaurant</v>
          </cell>
        </row>
        <row r="134">
          <cell r="C134">
            <v>4680</v>
          </cell>
        </row>
        <row r="142">
          <cell r="C142">
            <v>0</v>
          </cell>
        </row>
        <row r="143">
          <cell r="C143" t="str">
            <v>---</v>
          </cell>
        </row>
        <row r="144">
          <cell r="C144">
            <v>0</v>
          </cell>
        </row>
        <row r="146">
          <cell r="C146">
            <v>4680</v>
          </cell>
        </row>
        <row r="147">
          <cell r="C147">
            <v>4680</v>
          </cell>
        </row>
        <row r="148">
          <cell r="C148" t="str">
            <v>1</v>
          </cell>
          <cell r="D148" t="str">
            <v>Unit</v>
          </cell>
        </row>
        <row r="149">
          <cell r="C149">
            <v>1</v>
          </cell>
        </row>
        <row r="150">
          <cell r="D150">
            <v>0</v>
          </cell>
        </row>
        <row r="151">
          <cell r="D151">
            <v>7.0000000000000007E-2</v>
          </cell>
        </row>
        <row r="152">
          <cell r="C152">
            <v>0.92999999999999994</v>
          </cell>
        </row>
        <row r="154">
          <cell r="C154">
            <v>1</v>
          </cell>
        </row>
        <row r="155">
          <cell r="C155">
            <v>1</v>
          </cell>
        </row>
        <row r="156">
          <cell r="C156">
            <v>1975</v>
          </cell>
        </row>
        <row r="158">
          <cell r="C158" t="str">
            <v>average</v>
          </cell>
        </row>
        <row r="159">
          <cell r="C159">
            <v>38</v>
          </cell>
        </row>
        <row r="160">
          <cell r="C160">
            <v>15</v>
          </cell>
        </row>
        <row r="161">
          <cell r="C161">
            <v>50</v>
          </cell>
        </row>
        <row r="164">
          <cell r="C164" t="str">
            <v>Potential Rental Income</v>
          </cell>
        </row>
        <row r="165">
          <cell r="C165"/>
        </row>
        <row r="166">
          <cell r="C166"/>
        </row>
        <row r="167">
          <cell r="C167"/>
        </row>
        <row r="168">
          <cell r="C168"/>
        </row>
        <row r="169">
          <cell r="C169"/>
        </row>
        <row r="170">
          <cell r="C170"/>
        </row>
        <row r="171">
          <cell r="C171"/>
        </row>
        <row r="173">
          <cell r="C173"/>
        </row>
        <row r="174">
          <cell r="C174"/>
        </row>
        <row r="175">
          <cell r="C175"/>
        </row>
        <row r="176">
          <cell r="C176"/>
        </row>
        <row r="177">
          <cell r="C177"/>
        </row>
        <row r="178">
          <cell r="C178"/>
        </row>
        <row r="179">
          <cell r="C179"/>
        </row>
        <row r="180">
          <cell r="C180"/>
        </row>
        <row r="181">
          <cell r="C181"/>
        </row>
        <row r="182">
          <cell r="C182"/>
        </row>
        <row r="183">
          <cell r="C183"/>
        </row>
        <row r="184">
          <cell r="C184"/>
        </row>
        <row r="185">
          <cell r="C185" t="str">
            <v>Management Fee</v>
          </cell>
        </row>
        <row r="186">
          <cell r="C186"/>
        </row>
        <row r="187">
          <cell r="C187"/>
        </row>
        <row r="188">
          <cell r="C188"/>
        </row>
        <row r="189">
          <cell r="C189"/>
        </row>
        <row r="190">
          <cell r="C190"/>
        </row>
        <row r="191">
          <cell r="C191"/>
        </row>
        <row r="192">
          <cell r="C192" t="str">
            <v>Reserves for Replacement</v>
          </cell>
        </row>
      </sheetData>
      <sheetData sheetId="4" refreshError="1"/>
      <sheetData sheetId="5" refreshError="1"/>
      <sheetData sheetId="6" refreshError="1">
        <row r="2">
          <cell r="E2">
            <v>1</v>
          </cell>
          <cell r="G2">
            <v>71</v>
          </cell>
          <cell r="J2">
            <v>1</v>
          </cell>
          <cell r="K2">
            <v>2</v>
          </cell>
          <cell r="N2">
            <v>2</v>
          </cell>
          <cell r="O2">
            <v>2</v>
          </cell>
          <cell r="P2">
            <v>2</v>
          </cell>
          <cell r="T2">
            <v>1</v>
          </cell>
          <cell r="U2">
            <v>3</v>
          </cell>
          <cell r="V2">
            <v>9</v>
          </cell>
          <cell r="W2">
            <v>4</v>
          </cell>
          <cell r="X2">
            <v>3</v>
          </cell>
        </row>
        <row r="4">
          <cell r="A4">
            <v>1</v>
          </cell>
          <cell r="E4" t="str">
            <v>Assignment</v>
          </cell>
          <cell r="I4" t="str">
            <v>A</v>
          </cell>
          <cell r="J4" t="str">
            <v>Fireproofed structural steel frames with reinforced concrete or masonry floors and roofs</v>
          </cell>
          <cell r="K4" t="str">
            <v>A +</v>
          </cell>
          <cell r="N4" t="str">
            <v>$ Per AC</v>
          </cell>
          <cell r="O4">
            <v>0.9399908172635445</v>
          </cell>
          <cell r="P4" t="str">
            <v>Subject Acs.</v>
          </cell>
          <cell r="Q4">
            <v>0</v>
          </cell>
          <cell r="S4" t="str">
            <v>Land Value</v>
          </cell>
          <cell r="T4" t="str">
            <v>General Investment</v>
          </cell>
          <cell r="U4" t="str">
            <v>General Investment</v>
          </cell>
          <cell r="V4" t="str">
            <v>Regional Mall</v>
          </cell>
          <cell r="W4" t="str">
            <v>Apartment</v>
          </cell>
          <cell r="X4" t="str">
            <v>poor</v>
          </cell>
          <cell r="Y4" t="str">
            <v>---</v>
          </cell>
        </row>
        <row r="5">
          <cell r="A5">
            <v>2</v>
          </cell>
          <cell r="E5" t="str">
            <v>Cancelled</v>
          </cell>
          <cell r="I5" t="str">
            <v>B</v>
          </cell>
          <cell r="J5" t="str">
            <v>Reinforced concrete frames and concrete or masonry floors and roofs</v>
          </cell>
          <cell r="K5" t="str">
            <v>A</v>
          </cell>
          <cell r="N5" t="str">
            <v>$ PSF</v>
          </cell>
          <cell r="O5">
            <v>40946</v>
          </cell>
          <cell r="P5" t="str">
            <v>Subject SF</v>
          </cell>
          <cell r="Q5">
            <v>0</v>
          </cell>
          <cell r="S5" t="str">
            <v>As Is</v>
          </cell>
          <cell r="T5" t="str">
            <v>Apartments</v>
          </cell>
          <cell r="U5" t="str">
            <v>Apartments</v>
          </cell>
          <cell r="V5" t="str">
            <v>Power Center</v>
          </cell>
          <cell r="W5" t="str">
            <v>Industrial</v>
          </cell>
          <cell r="X5" t="str">
            <v>fair</v>
          </cell>
          <cell r="Y5" t="str">
            <v>Retail Space</v>
          </cell>
        </row>
        <row r="6">
          <cell r="A6">
            <v>3</v>
          </cell>
          <cell r="E6" t="str">
            <v>Completed</v>
          </cell>
          <cell r="I6" t="str">
            <v>C</v>
          </cell>
          <cell r="J6" t="str">
            <v>Masonry/concrete ext. walls &amp; wood/steel roof &amp; floor struct., exc. concrete slab on grade</v>
          </cell>
          <cell r="K6" t="str">
            <v>A -</v>
          </cell>
          <cell r="N6" t="str">
            <v>$ Per Unit</v>
          </cell>
          <cell r="O6">
            <v>250</v>
          </cell>
          <cell r="P6" t="str">
            <v>Subject Units</v>
          </cell>
          <cell r="Q6">
            <v>0</v>
          </cell>
          <cell r="S6" t="str">
            <v>As Complete</v>
          </cell>
          <cell r="T6" t="str">
            <v>Net Leased Investments</v>
          </cell>
          <cell r="U6" t="str">
            <v>Net Leased Investments</v>
          </cell>
          <cell r="V6" t="str">
            <v>Strip Shopping Center</v>
          </cell>
          <cell r="W6" t="str">
            <v>Office</v>
          </cell>
          <cell r="X6" t="str">
            <v>average</v>
          </cell>
          <cell r="Y6" t="str">
            <v>Anchors</v>
          </cell>
        </row>
        <row r="7">
          <cell r="A7">
            <v>4</v>
          </cell>
          <cell r="E7" t="str">
            <v>Draft</v>
          </cell>
          <cell r="I7" t="str">
            <v>D</v>
          </cell>
          <cell r="J7" t="str">
            <v>Wood frame, floor and structure; considered combustible</v>
          </cell>
          <cell r="K7" t="str">
            <v>A/B</v>
          </cell>
          <cell r="S7" t="str">
            <v>As Stabilized</v>
          </cell>
          <cell r="T7" t="str">
            <v>Business Parks</v>
          </cell>
          <cell r="U7" t="str">
            <v>Business Parks</v>
          </cell>
          <cell r="V7" t="str">
            <v>CBD Office</v>
          </cell>
          <cell r="W7" t="str">
            <v>Retail</v>
          </cell>
          <cell r="X7" t="str">
            <v>good</v>
          </cell>
          <cell r="Y7" t="str">
            <v>Jr. Anchors</v>
          </cell>
        </row>
        <row r="8">
          <cell r="A8">
            <v>5</v>
          </cell>
          <cell r="E8" t="str">
            <v>On Hold</v>
          </cell>
          <cell r="I8" t="str">
            <v>S</v>
          </cell>
          <cell r="J8" t="str">
            <v>Frames, roofs and walls of incombustible metal</v>
          </cell>
          <cell r="K8" t="str">
            <v>B +</v>
          </cell>
          <cell r="S8" t="str">
            <v>Retrospective Value</v>
          </cell>
          <cell r="T8" t="str">
            <v>Industrial R&amp;D</v>
          </cell>
          <cell r="U8" t="str">
            <v>Industrial R&amp;D</v>
          </cell>
          <cell r="V8" t="str">
            <v>Suburban Office</v>
          </cell>
          <cell r="X8" t="str">
            <v>excellent</v>
          </cell>
          <cell r="Y8" t="str">
            <v>End Cap</v>
          </cell>
        </row>
        <row r="9">
          <cell r="A9">
            <v>6</v>
          </cell>
          <cell r="E9" t="str">
            <v>Proposal</v>
          </cell>
          <cell r="K9" t="str">
            <v>B</v>
          </cell>
          <cell r="S9"/>
          <cell r="T9" t="str">
            <v>Self Storage</v>
          </cell>
          <cell r="U9" t="str">
            <v>Self Storage</v>
          </cell>
          <cell r="V9" t="str">
            <v>Flex/R&amp;D</v>
          </cell>
          <cell r="Y9" t="str">
            <v>In-line</v>
          </cell>
        </row>
        <row r="10">
          <cell r="A10">
            <v>7</v>
          </cell>
          <cell r="E10" t="str">
            <v>Verbal</v>
          </cell>
          <cell r="K10" t="str">
            <v>B -</v>
          </cell>
          <cell r="T10" t="str">
            <v>Warehouse/Distribution</v>
          </cell>
          <cell r="U10" t="str">
            <v>Warehouse/Distribution</v>
          </cell>
          <cell r="V10" t="str">
            <v>Warehouse</v>
          </cell>
          <cell r="Y10" t="str">
            <v>Bank</v>
          </cell>
        </row>
        <row r="11">
          <cell r="A11">
            <v>8</v>
          </cell>
          <cell r="K11" t="str">
            <v>B/C</v>
          </cell>
          <cell r="T11" t="str">
            <v>Suburban Office</v>
          </cell>
          <cell r="U11" t="str">
            <v>Suburban Office</v>
          </cell>
          <cell r="V11" t="str">
            <v>Apartment</v>
          </cell>
          <cell r="Y11" t="str">
            <v>Restaurant</v>
          </cell>
        </row>
        <row r="12">
          <cell r="A12">
            <v>9</v>
          </cell>
          <cell r="K12" t="str">
            <v>C +</v>
          </cell>
          <cell r="T12" t="str">
            <v>Urban Office</v>
          </cell>
          <cell r="U12" t="str">
            <v>Urban Office</v>
          </cell>
          <cell r="V12" t="str">
            <v>Net Lease</v>
          </cell>
          <cell r="Y12" t="str">
            <v>Theater</v>
          </cell>
        </row>
        <row r="13">
          <cell r="A13">
            <v>10</v>
          </cell>
          <cell r="K13" t="str">
            <v>C</v>
          </cell>
          <cell r="T13" t="str">
            <v>Regional Malls</v>
          </cell>
          <cell r="U13" t="str">
            <v>Regional Malls</v>
          </cell>
          <cell r="V13" t="str">
            <v>Domestic Self Storage</v>
          </cell>
          <cell r="Y13" t="str">
            <v>Auto Dealership</v>
          </cell>
        </row>
        <row r="14">
          <cell r="A14">
            <v>11</v>
          </cell>
          <cell r="K14" t="str">
            <v>C -</v>
          </cell>
          <cell r="T14" t="str">
            <v>Power Centers</v>
          </cell>
          <cell r="U14" t="str">
            <v>Power Centers</v>
          </cell>
          <cell r="Y14" t="str">
            <v>Storage</v>
          </cell>
        </row>
        <row r="15">
          <cell r="A15">
            <v>12</v>
          </cell>
          <cell r="K15" t="str">
            <v>C/D</v>
          </cell>
          <cell r="T15" t="str">
            <v>Community Centers</v>
          </cell>
          <cell r="U15" t="str">
            <v>Community Centers</v>
          </cell>
          <cell r="Y15" t="str">
            <v>Pad Site</v>
          </cell>
        </row>
        <row r="16">
          <cell r="A16">
            <v>13</v>
          </cell>
          <cell r="K16" t="str">
            <v>D +</v>
          </cell>
          <cell r="T16" t="str">
            <v>Neighborhood Centers</v>
          </cell>
          <cell r="U16" t="str">
            <v>Neighborhood Centers</v>
          </cell>
          <cell r="Y16" t="str">
            <v>Ground Lease</v>
          </cell>
        </row>
        <row r="17">
          <cell r="A17">
            <v>14</v>
          </cell>
          <cell r="K17" t="str">
            <v>D</v>
          </cell>
          <cell r="T17" t="str">
            <v>Strip Centers</v>
          </cell>
          <cell r="U17" t="str">
            <v>Strip Centers</v>
          </cell>
          <cell r="Y17" t="str">
            <v>---</v>
          </cell>
        </row>
        <row r="18">
          <cell r="A18">
            <v>15</v>
          </cell>
          <cell r="K18" t="str">
            <v>D -</v>
          </cell>
          <cell r="T18" t="str">
            <v>Hotels</v>
          </cell>
          <cell r="U18" t="str">
            <v>Hotels</v>
          </cell>
          <cell r="Y18" t="str">
            <v>Office Space</v>
          </cell>
        </row>
        <row r="19">
          <cell r="A19">
            <v>16</v>
          </cell>
          <cell r="T19" t="str">
            <v>All Responses</v>
          </cell>
          <cell r="U19" t="str">
            <v>All Responses</v>
          </cell>
          <cell r="Y19" t="str">
            <v>Ground Floor Retail</v>
          </cell>
        </row>
        <row r="20">
          <cell r="A20">
            <v>17</v>
          </cell>
          <cell r="Y20" t="str">
            <v>Low &amp; Mid Floors</v>
          </cell>
        </row>
        <row r="21">
          <cell r="A21">
            <v>18</v>
          </cell>
          <cell r="Y21" t="str">
            <v>Upper Floors</v>
          </cell>
        </row>
        <row r="22">
          <cell r="A22">
            <v>19</v>
          </cell>
          <cell r="Y22" t="str">
            <v>Premium Floors</v>
          </cell>
        </row>
        <row r="23">
          <cell r="A23">
            <v>20</v>
          </cell>
          <cell r="Y23" t="str">
            <v>Storage</v>
          </cell>
        </row>
        <row r="24">
          <cell r="A24">
            <v>21</v>
          </cell>
          <cell r="Y24" t="str">
            <v>---</v>
          </cell>
        </row>
        <row r="25">
          <cell r="A25">
            <v>22</v>
          </cell>
          <cell r="Y25" t="str">
            <v>Industrial Space</v>
          </cell>
        </row>
        <row r="26">
          <cell r="A26">
            <v>23</v>
          </cell>
          <cell r="Y26" t="str">
            <v>Warehouse</v>
          </cell>
        </row>
        <row r="27">
          <cell r="A27">
            <v>24</v>
          </cell>
          <cell r="Y27" t="str">
            <v>Office Service</v>
          </cell>
        </row>
        <row r="28">
          <cell r="A28">
            <v>25</v>
          </cell>
          <cell r="Y28" t="str">
            <v>Flex</v>
          </cell>
        </row>
        <row r="29">
          <cell r="A29">
            <v>26</v>
          </cell>
          <cell r="Y29" t="str">
            <v>Tech</v>
          </cell>
        </row>
        <row r="30">
          <cell r="A30">
            <v>27</v>
          </cell>
          <cell r="Y30" t="str">
            <v>Manufacturing</v>
          </cell>
        </row>
        <row r="31">
          <cell r="A31">
            <v>28</v>
          </cell>
          <cell r="Y31" t="str">
            <v>Distribution</v>
          </cell>
        </row>
        <row r="32">
          <cell r="A32">
            <v>29</v>
          </cell>
          <cell r="Y32" t="str">
            <v>Break Bulk</v>
          </cell>
        </row>
        <row r="33">
          <cell r="A33">
            <v>30</v>
          </cell>
          <cell r="Y33" t="str">
            <v>Research &amp; Development</v>
          </cell>
        </row>
        <row r="34">
          <cell r="A34">
            <v>31</v>
          </cell>
          <cell r="Y34" t="str">
            <v>Clean Room</v>
          </cell>
        </row>
        <row r="35">
          <cell r="A35">
            <v>32</v>
          </cell>
          <cell r="Y35" t="str">
            <v>Cold Storage</v>
          </cell>
        </row>
        <row r="36">
          <cell r="A36">
            <v>33</v>
          </cell>
          <cell r="Y36" t="str">
            <v>Ambient</v>
          </cell>
        </row>
        <row r="37">
          <cell r="A37">
            <v>34</v>
          </cell>
          <cell r="Y37" t="str">
            <v>Cooler</v>
          </cell>
        </row>
        <row r="38">
          <cell r="A38">
            <v>35</v>
          </cell>
          <cell r="Y38" t="str">
            <v>Freezer</v>
          </cell>
        </row>
        <row r="39">
          <cell r="A39">
            <v>36</v>
          </cell>
        </row>
        <row r="40">
          <cell r="A40">
            <v>37</v>
          </cell>
        </row>
        <row r="41">
          <cell r="A41">
            <v>38</v>
          </cell>
        </row>
        <row r="42">
          <cell r="A42">
            <v>39</v>
          </cell>
        </row>
        <row r="43">
          <cell r="A43">
            <v>40</v>
          </cell>
        </row>
        <row r="44">
          <cell r="A44">
            <v>41</v>
          </cell>
        </row>
        <row r="45">
          <cell r="A45">
            <v>42</v>
          </cell>
        </row>
        <row r="46">
          <cell r="A46">
            <v>43</v>
          </cell>
        </row>
        <row r="47">
          <cell r="A47">
            <v>44</v>
          </cell>
        </row>
        <row r="48">
          <cell r="A48">
            <v>45</v>
          </cell>
        </row>
        <row r="49">
          <cell r="A49">
            <v>46</v>
          </cell>
        </row>
        <row r="50">
          <cell r="A50">
            <v>47</v>
          </cell>
        </row>
        <row r="51">
          <cell r="A51">
            <v>48</v>
          </cell>
        </row>
        <row r="52">
          <cell r="A52">
            <v>49</v>
          </cell>
        </row>
        <row r="53">
          <cell r="A53">
            <v>50</v>
          </cell>
        </row>
        <row r="54">
          <cell r="A54">
            <v>51</v>
          </cell>
        </row>
        <row r="55">
          <cell r="A55">
            <v>52</v>
          </cell>
        </row>
        <row r="56">
          <cell r="A56">
            <v>53</v>
          </cell>
        </row>
        <row r="57">
          <cell r="A57">
            <v>54</v>
          </cell>
        </row>
        <row r="58">
          <cell r="A58">
            <v>55</v>
          </cell>
        </row>
        <row r="59">
          <cell r="A59">
            <v>56</v>
          </cell>
        </row>
        <row r="60">
          <cell r="A60">
            <v>57</v>
          </cell>
        </row>
        <row r="61">
          <cell r="A61">
            <v>58</v>
          </cell>
        </row>
        <row r="62">
          <cell r="A62">
            <v>59</v>
          </cell>
        </row>
        <row r="63">
          <cell r="A63">
            <v>60</v>
          </cell>
        </row>
        <row r="64">
          <cell r="A64">
            <v>61</v>
          </cell>
        </row>
        <row r="65">
          <cell r="A65">
            <v>62</v>
          </cell>
        </row>
        <row r="66">
          <cell r="A66">
            <v>63</v>
          </cell>
        </row>
        <row r="67">
          <cell r="A67">
            <v>64</v>
          </cell>
        </row>
        <row r="68">
          <cell r="A68">
            <v>65</v>
          </cell>
        </row>
        <row r="69">
          <cell r="A69">
            <v>66</v>
          </cell>
        </row>
        <row r="70">
          <cell r="A70">
            <v>67</v>
          </cell>
        </row>
        <row r="71">
          <cell r="A71">
            <v>68</v>
          </cell>
        </row>
        <row r="72">
          <cell r="A72">
            <v>69</v>
          </cell>
        </row>
        <row r="73">
          <cell r="A73">
            <v>70</v>
          </cell>
        </row>
        <row r="74">
          <cell r="A74">
            <v>71</v>
          </cell>
        </row>
        <row r="75">
          <cell r="A75">
            <v>72</v>
          </cell>
        </row>
        <row r="76">
          <cell r="A76">
            <v>73</v>
          </cell>
        </row>
        <row r="77">
          <cell r="A77">
            <v>74</v>
          </cell>
        </row>
        <row r="78">
          <cell r="A78">
            <v>75</v>
          </cell>
        </row>
        <row r="79">
          <cell r="A79">
            <v>76</v>
          </cell>
        </row>
        <row r="80">
          <cell r="A80">
            <v>77</v>
          </cell>
        </row>
        <row r="81">
          <cell r="A81">
            <v>78</v>
          </cell>
        </row>
        <row r="82">
          <cell r="A82">
            <v>79</v>
          </cell>
        </row>
        <row r="83">
          <cell r="A83">
            <v>80</v>
          </cell>
        </row>
        <row r="84">
          <cell r="A84">
            <v>81</v>
          </cell>
        </row>
        <row r="85">
          <cell r="A85">
            <v>82</v>
          </cell>
        </row>
        <row r="86">
          <cell r="A86">
            <v>83</v>
          </cell>
        </row>
        <row r="87">
          <cell r="A87">
            <v>84</v>
          </cell>
        </row>
        <row r="88">
          <cell r="A88">
            <v>85</v>
          </cell>
        </row>
        <row r="89">
          <cell r="A89">
            <v>86</v>
          </cell>
        </row>
        <row r="90">
          <cell r="A90">
            <v>87</v>
          </cell>
        </row>
        <row r="91">
          <cell r="A91">
            <v>88</v>
          </cell>
        </row>
        <row r="92">
          <cell r="A92">
            <v>89</v>
          </cell>
        </row>
        <row r="93">
          <cell r="A93">
            <v>90</v>
          </cell>
        </row>
        <row r="94">
          <cell r="A94">
            <v>91</v>
          </cell>
        </row>
        <row r="95">
          <cell r="A95">
            <v>92</v>
          </cell>
        </row>
        <row r="96">
          <cell r="A96">
            <v>93</v>
          </cell>
        </row>
        <row r="97">
          <cell r="A97">
            <v>94</v>
          </cell>
        </row>
        <row r="98">
          <cell r="A98">
            <v>95</v>
          </cell>
        </row>
        <row r="99">
          <cell r="A99">
            <v>96</v>
          </cell>
        </row>
        <row r="100">
          <cell r="A100">
            <v>97</v>
          </cell>
        </row>
        <row r="101">
          <cell r="A101">
            <v>98</v>
          </cell>
        </row>
        <row r="102">
          <cell r="A102">
            <v>99</v>
          </cell>
        </row>
        <row r="103">
          <cell r="A103">
            <v>100</v>
          </cell>
        </row>
        <row r="104">
          <cell r="A104">
            <v>101</v>
          </cell>
        </row>
        <row r="105">
          <cell r="A105">
            <v>102</v>
          </cell>
        </row>
        <row r="106">
          <cell r="A106">
            <v>103</v>
          </cell>
        </row>
        <row r="107">
          <cell r="A107">
            <v>104</v>
          </cell>
        </row>
      </sheetData>
      <sheetData sheetId="7" refreshError="1">
        <row r="8">
          <cell r="J8" t="str">
            <v>Rosie's Diner</v>
          </cell>
          <cell r="Q8" t="str">
            <v>14061 East Iliff Avenue</v>
          </cell>
          <cell r="S8" t="str">
            <v>Aurora</v>
          </cell>
          <cell r="T8">
            <v>80014</v>
          </cell>
          <cell r="V8" t="str">
            <v>CO</v>
          </cell>
          <cell r="AA8">
            <v>0.82</v>
          </cell>
          <cell r="AD8">
            <v>0</v>
          </cell>
          <cell r="AN8">
            <v>0</v>
          </cell>
          <cell r="AP8">
            <v>0</v>
          </cell>
          <cell r="AT8">
            <v>3604</v>
          </cell>
          <cell r="AU8">
            <v>2000</v>
          </cell>
          <cell r="AW8">
            <v>0</v>
          </cell>
          <cell r="BD8">
            <v>38749</v>
          </cell>
          <cell r="BI8">
            <v>900000</v>
          </cell>
          <cell r="BM8">
            <v>900000</v>
          </cell>
          <cell r="CC8">
            <v>0</v>
          </cell>
          <cell r="CE8">
            <v>0</v>
          </cell>
          <cell r="CG8">
            <v>0</v>
          </cell>
          <cell r="CH8">
            <v>0</v>
          </cell>
          <cell r="CI8">
            <v>249.72</v>
          </cell>
          <cell r="CJ8">
            <v>0</v>
          </cell>
          <cell r="GM8" t="str">
            <v>Sale</v>
          </cell>
        </row>
        <row r="9">
          <cell r="J9" t="str">
            <v>Thornton Restauant</v>
          </cell>
          <cell r="Q9" t="str">
            <v>610-650 East 104th Avenue</v>
          </cell>
          <cell r="S9" t="str">
            <v>Thornton</v>
          </cell>
          <cell r="T9">
            <v>80233</v>
          </cell>
          <cell r="V9" t="str">
            <v>CO</v>
          </cell>
          <cell r="AA9">
            <v>0.78</v>
          </cell>
          <cell r="AD9">
            <v>0</v>
          </cell>
          <cell r="AN9">
            <v>0</v>
          </cell>
          <cell r="AP9">
            <v>0</v>
          </cell>
          <cell r="AT9">
            <v>4686</v>
          </cell>
          <cell r="AU9">
            <v>1974</v>
          </cell>
          <cell r="AW9">
            <v>0</v>
          </cell>
          <cell r="BD9">
            <v>39083</v>
          </cell>
          <cell r="BI9">
            <v>1004000</v>
          </cell>
          <cell r="BM9">
            <v>1004000</v>
          </cell>
          <cell r="CC9">
            <v>0</v>
          </cell>
          <cell r="CE9">
            <v>0</v>
          </cell>
          <cell r="CG9">
            <v>0</v>
          </cell>
          <cell r="CH9">
            <v>0</v>
          </cell>
          <cell r="CI9">
            <v>214.26</v>
          </cell>
          <cell r="CJ9">
            <v>0</v>
          </cell>
          <cell r="GM9" t="str">
            <v>Sale</v>
          </cell>
        </row>
        <row r="10">
          <cell r="J10" t="str">
            <v>India Garden Restaurant</v>
          </cell>
          <cell r="Q10" t="str">
            <v>7180 East Hampden Avenue</v>
          </cell>
          <cell r="S10" t="str">
            <v>Denver</v>
          </cell>
          <cell r="T10">
            <v>80224</v>
          </cell>
          <cell r="V10" t="str">
            <v>CO</v>
          </cell>
          <cell r="AA10">
            <v>0.52</v>
          </cell>
          <cell r="AD10">
            <v>0</v>
          </cell>
          <cell r="AN10">
            <v>0</v>
          </cell>
          <cell r="AP10">
            <v>0</v>
          </cell>
          <cell r="AT10">
            <v>6297</v>
          </cell>
          <cell r="AU10">
            <v>1974</v>
          </cell>
          <cell r="AW10">
            <v>0</v>
          </cell>
          <cell r="BD10">
            <v>39203</v>
          </cell>
          <cell r="BI10">
            <v>1200000</v>
          </cell>
          <cell r="BM10">
            <v>1200000</v>
          </cell>
          <cell r="CC10">
            <v>0</v>
          </cell>
          <cell r="CE10">
            <v>0</v>
          </cell>
          <cell r="CG10">
            <v>0</v>
          </cell>
          <cell r="CH10">
            <v>0</v>
          </cell>
          <cell r="CI10">
            <v>190.57</v>
          </cell>
          <cell r="CJ10">
            <v>0</v>
          </cell>
          <cell r="GM10" t="str">
            <v>Sale</v>
          </cell>
        </row>
        <row r="11">
          <cell r="J11" t="str">
            <v>The Chalet</v>
          </cell>
          <cell r="Q11" t="str">
            <v>7340 West 38th Avenue</v>
          </cell>
          <cell r="S11" t="str">
            <v>Wheat Ridge</v>
          </cell>
          <cell r="T11">
            <v>80033</v>
          </cell>
          <cell r="V11" t="str">
            <v>CO</v>
          </cell>
          <cell r="AA11">
            <v>0.47</v>
          </cell>
          <cell r="AD11">
            <v>0</v>
          </cell>
          <cell r="AN11">
            <v>0</v>
          </cell>
          <cell r="AP11">
            <v>0</v>
          </cell>
          <cell r="AT11">
            <v>2817</v>
          </cell>
          <cell r="AU11">
            <v>1957</v>
          </cell>
          <cell r="AW11">
            <v>0</v>
          </cell>
          <cell r="BD11">
            <v>39295</v>
          </cell>
          <cell r="BI11">
            <v>600000</v>
          </cell>
          <cell r="BM11">
            <v>600000</v>
          </cell>
          <cell r="BQ11">
            <v>1</v>
          </cell>
          <cell r="CC11">
            <v>0</v>
          </cell>
          <cell r="CE11">
            <v>0</v>
          </cell>
          <cell r="CG11">
            <v>0</v>
          </cell>
          <cell r="CH11">
            <v>0</v>
          </cell>
          <cell r="CI11">
            <v>212.99</v>
          </cell>
          <cell r="CJ11">
            <v>0</v>
          </cell>
          <cell r="GM11" t="str">
            <v>Sale</v>
          </cell>
        </row>
        <row r="12">
          <cell r="J12" t="str">
            <v>Former Marie Callenders</v>
          </cell>
          <cell r="Q12" t="str">
            <v>6030 West 92nd Avenue</v>
          </cell>
          <cell r="S12" t="str">
            <v>Westminster</v>
          </cell>
          <cell r="T12">
            <v>80031</v>
          </cell>
          <cell r="V12" t="str">
            <v>CO</v>
          </cell>
          <cell r="AA12">
            <v>1.07</v>
          </cell>
          <cell r="AP12">
            <v>0</v>
          </cell>
          <cell r="AT12">
            <v>10552</v>
          </cell>
          <cell r="AU12">
            <v>1986</v>
          </cell>
          <cell r="AW12">
            <v>0</v>
          </cell>
          <cell r="BD12">
            <v>39417</v>
          </cell>
          <cell r="BI12">
            <v>1720000</v>
          </cell>
          <cell r="BM12">
            <v>1720000</v>
          </cell>
          <cell r="CC12">
            <v>0</v>
          </cell>
          <cell r="CE12">
            <v>0</v>
          </cell>
          <cell r="CG12">
            <v>0</v>
          </cell>
          <cell r="CH12">
            <v>0</v>
          </cell>
          <cell r="CI12">
            <v>163</v>
          </cell>
          <cell r="CJ12">
            <v>0</v>
          </cell>
          <cell r="GM12" t="str">
            <v>Sale</v>
          </cell>
        </row>
        <row r="20">
          <cell r="J20" t="str">
            <v>Shea Plaza</v>
          </cell>
          <cell r="Q20" t="str">
            <v>NEC Shea Boulevard &amp; 32nd Street</v>
          </cell>
          <cell r="S20" t="str">
            <v>Phoenix</v>
          </cell>
          <cell r="T20">
            <v>85028</v>
          </cell>
          <cell r="V20" t="str">
            <v>AZ</v>
          </cell>
          <cell r="AA20">
            <v>7.74</v>
          </cell>
          <cell r="AC20" t="str">
            <v>Yes - Vacant Pa</v>
          </cell>
          <cell r="AD20">
            <v>0</v>
          </cell>
          <cell r="AL20">
            <v>0</v>
          </cell>
          <cell r="AT20">
            <v>86000</v>
          </cell>
          <cell r="AU20">
            <v>1971</v>
          </cell>
          <cell r="BD20">
            <v>38504</v>
          </cell>
          <cell r="BM20">
            <v>13450000</v>
          </cell>
          <cell r="BQ20">
            <v>1</v>
          </cell>
          <cell r="CC20">
            <v>11.4</v>
          </cell>
          <cell r="CE20">
            <v>7.29</v>
          </cell>
          <cell r="CI20">
            <v>156.4</v>
          </cell>
          <cell r="CJ20">
            <v>0</v>
          </cell>
          <cell r="GM20" t="str">
            <v>Sale</v>
          </cell>
        </row>
        <row r="21">
          <cell r="J21" t="str">
            <v>Shoppes at Palm Valley</v>
          </cell>
          <cell r="Q21" t="str">
            <v>3865 Mickler Road</v>
          </cell>
          <cell r="S21" t="str">
            <v>Ponte Vedra Beach</v>
          </cell>
          <cell r="V21" t="str">
            <v>FL</v>
          </cell>
          <cell r="Y21" t="str">
            <v>067240 0000</v>
          </cell>
          <cell r="AA21">
            <v>5.57</v>
          </cell>
          <cell r="AC21" t="str">
            <v>none</v>
          </cell>
          <cell r="AD21">
            <v>0</v>
          </cell>
          <cell r="AL21">
            <v>0</v>
          </cell>
          <cell r="AT21">
            <v>39927</v>
          </cell>
          <cell r="AU21">
            <v>2005</v>
          </cell>
          <cell r="BD21">
            <v>38504</v>
          </cell>
          <cell r="BM21">
            <v>12730000</v>
          </cell>
          <cell r="BQ21">
            <v>1</v>
          </cell>
          <cell r="CC21">
            <v>21.49</v>
          </cell>
          <cell r="CE21">
            <v>6.74</v>
          </cell>
          <cell r="CI21">
            <v>318.83</v>
          </cell>
          <cell r="CJ21">
            <v>0</v>
          </cell>
          <cell r="GM21" t="str">
            <v>Sale</v>
          </cell>
        </row>
        <row r="22">
          <cell r="J22" t="str">
            <v>Shops at Boca Grove</v>
          </cell>
          <cell r="Q22" t="str">
            <v>21055 Jog Road</v>
          </cell>
          <cell r="S22" t="str">
            <v>Boca Raton</v>
          </cell>
          <cell r="T22">
            <v>33433</v>
          </cell>
          <cell r="V22" t="str">
            <v>FL</v>
          </cell>
          <cell r="Y22" t="str">
            <v>00-4247-22-00-000-3090</v>
          </cell>
          <cell r="AA22">
            <v>6.31</v>
          </cell>
          <cell r="AD22">
            <v>0</v>
          </cell>
          <cell r="AL22">
            <v>0</v>
          </cell>
          <cell r="AT22">
            <v>190110</v>
          </cell>
          <cell r="AU22">
            <v>1984</v>
          </cell>
          <cell r="BD22">
            <v>38504</v>
          </cell>
          <cell r="BM22">
            <v>0</v>
          </cell>
          <cell r="BQ22">
            <v>0.91</v>
          </cell>
          <cell r="CC22">
            <v>0</v>
          </cell>
          <cell r="CE22">
            <v>0</v>
          </cell>
          <cell r="CI22">
            <v>0</v>
          </cell>
          <cell r="CJ22">
            <v>0</v>
          </cell>
          <cell r="GM22" t="str">
            <v>Contract</v>
          </cell>
        </row>
        <row r="23">
          <cell r="J23" t="str">
            <v>Steele Creek Crossing</v>
          </cell>
          <cell r="Q23" t="str">
            <v>12810 York Road</v>
          </cell>
          <cell r="S23" t="str">
            <v>Charlotte</v>
          </cell>
          <cell r="V23" t="str">
            <v>NC</v>
          </cell>
          <cell r="Y23" t="str">
            <v>201-231-12 &amp;13</v>
          </cell>
          <cell r="AA23">
            <v>11.28</v>
          </cell>
          <cell r="AD23">
            <v>0</v>
          </cell>
          <cell r="AL23">
            <v>10908</v>
          </cell>
          <cell r="AT23">
            <v>69201</v>
          </cell>
          <cell r="AU23">
            <v>2000</v>
          </cell>
          <cell r="BD23">
            <v>38504</v>
          </cell>
          <cell r="BM23">
            <v>14500000</v>
          </cell>
          <cell r="CC23">
            <v>0</v>
          </cell>
          <cell r="CE23">
            <v>0</v>
          </cell>
          <cell r="CI23">
            <v>209.53</v>
          </cell>
          <cell r="CJ23">
            <v>0</v>
          </cell>
          <cell r="GM23" t="str">
            <v>Contract</v>
          </cell>
        </row>
        <row r="24">
          <cell r="J24" t="str">
            <v>The Pavilion</v>
          </cell>
          <cell r="Q24" t="str">
            <v>1900-1998 Hacienda Drive</v>
          </cell>
          <cell r="S24" t="str">
            <v>Vista</v>
          </cell>
          <cell r="T24">
            <v>92083</v>
          </cell>
          <cell r="V24" t="str">
            <v>CA</v>
          </cell>
          <cell r="Y24" t="str">
            <v>166-054-25, 44</v>
          </cell>
          <cell r="AA24">
            <v>10.87</v>
          </cell>
          <cell r="AD24">
            <v>0</v>
          </cell>
          <cell r="AL24">
            <v>0</v>
          </cell>
          <cell r="AT24">
            <v>135754</v>
          </cell>
          <cell r="AU24">
            <v>1989</v>
          </cell>
          <cell r="BD24">
            <v>38504</v>
          </cell>
          <cell r="BM24">
            <v>28500000</v>
          </cell>
          <cell r="BQ24">
            <v>0.97</v>
          </cell>
          <cell r="CC24">
            <v>14.38</v>
          </cell>
          <cell r="CE24">
            <v>6.85</v>
          </cell>
          <cell r="CI24">
            <v>209.94</v>
          </cell>
          <cell r="CJ24">
            <v>0</v>
          </cell>
          <cell r="GM24" t="str">
            <v>Sale</v>
          </cell>
        </row>
        <row r="25">
          <cell r="J25" t="str">
            <v>Torrey Hills Center</v>
          </cell>
          <cell r="Q25" t="str">
            <v>4639 to 4853 Carmel Mountain Road</v>
          </cell>
          <cell r="S25" t="str">
            <v>San Diego</v>
          </cell>
          <cell r="T25">
            <v>92130</v>
          </cell>
          <cell r="V25" t="str">
            <v>CA</v>
          </cell>
          <cell r="AA25">
            <v>15.3</v>
          </cell>
          <cell r="AD25">
            <v>0</v>
          </cell>
          <cell r="AT25">
            <v>86584</v>
          </cell>
          <cell r="AU25">
            <v>2005</v>
          </cell>
          <cell r="BD25">
            <v>38504</v>
          </cell>
          <cell r="BM25">
            <v>36750000</v>
          </cell>
          <cell r="BQ25" t="str">
            <v>N/A</v>
          </cell>
          <cell r="CC25">
            <v>25.9</v>
          </cell>
          <cell r="CE25">
            <v>6.1</v>
          </cell>
          <cell r="CI25">
            <v>424.44</v>
          </cell>
          <cell r="CJ25">
            <v>0</v>
          </cell>
          <cell r="GM25" t="str">
            <v>Sale</v>
          </cell>
        </row>
        <row r="32">
          <cell r="L32" t="str">
            <v>NWC Sam Houston Parkway &amp; Mesa</v>
          </cell>
          <cell r="O32" t="str">
            <v>NWC Sam Houston Parkway &amp; Mesa</v>
          </cell>
          <cell r="Q32" t="str">
            <v>Humble</v>
          </cell>
          <cell r="T32" t="str">
            <v>Tx</v>
          </cell>
          <cell r="AA32">
            <v>5.2256</v>
          </cell>
          <cell r="AB32">
            <v>227627</v>
          </cell>
          <cell r="AH32" t="str">
            <v>N/A</v>
          </cell>
          <cell r="AK32">
            <v>0</v>
          </cell>
          <cell r="AM32">
            <v>37469</v>
          </cell>
          <cell r="AR32">
            <v>967415</v>
          </cell>
          <cell r="AV32">
            <v>967415</v>
          </cell>
          <cell r="AZ32" t="str">
            <v>Retail</v>
          </cell>
          <cell r="DM32" t="str">
            <v>Sale</v>
          </cell>
        </row>
        <row r="33">
          <cell r="L33" t="str">
            <v>Proposed Retail Center Site</v>
          </cell>
          <cell r="O33" t="str">
            <v>South side Bellaire Blvd west of Corporate Drive</v>
          </cell>
          <cell r="Q33" t="str">
            <v>Houston</v>
          </cell>
          <cell r="R33">
            <v>77025</v>
          </cell>
          <cell r="T33" t="str">
            <v>TX</v>
          </cell>
          <cell r="AA33">
            <v>5.444</v>
          </cell>
          <cell r="AB33">
            <v>237141</v>
          </cell>
          <cell r="AK33">
            <v>0</v>
          </cell>
          <cell r="AM33">
            <v>37469</v>
          </cell>
          <cell r="AR33">
            <v>2134269</v>
          </cell>
          <cell r="AV33">
            <v>2134269</v>
          </cell>
          <cell r="AZ33" t="str">
            <v>Retail center</v>
          </cell>
          <cell r="DM33" t="str">
            <v>Sale</v>
          </cell>
        </row>
        <row r="34">
          <cell r="L34" t="str">
            <v>Strip Center Site</v>
          </cell>
          <cell r="O34" t="str">
            <v>W Corner of Grant and Prado Woods</v>
          </cell>
          <cell r="Q34" t="str">
            <v>Cypress</v>
          </cell>
          <cell r="R34">
            <v>77429</v>
          </cell>
          <cell r="T34" t="str">
            <v>TX</v>
          </cell>
          <cell r="AA34">
            <v>3.82</v>
          </cell>
          <cell r="AB34">
            <v>166399</v>
          </cell>
          <cell r="AH34" t="str">
            <v>none</v>
          </cell>
          <cell r="AK34">
            <v>0</v>
          </cell>
          <cell r="AM34">
            <v>37500</v>
          </cell>
          <cell r="AR34">
            <v>665596</v>
          </cell>
          <cell r="AV34">
            <v>665596</v>
          </cell>
          <cell r="AZ34" t="str">
            <v>Strip center</v>
          </cell>
          <cell r="DM34" t="str">
            <v>Sale</v>
          </cell>
        </row>
        <row r="44">
          <cell r="L44" t="str">
            <v>4965 Dorchester Road</v>
          </cell>
          <cell r="O44" t="str">
            <v>4965 Dorchester Road</v>
          </cell>
          <cell r="Q44" t="str">
            <v>North Charleston</v>
          </cell>
          <cell r="R44">
            <v>29418</v>
          </cell>
          <cell r="T44" t="str">
            <v>SC</v>
          </cell>
          <cell r="AA44">
            <v>1.52</v>
          </cell>
          <cell r="AB44">
            <v>66211</v>
          </cell>
          <cell r="AH44" t="str">
            <v>B2</v>
          </cell>
          <cell r="AK44">
            <v>0</v>
          </cell>
          <cell r="AM44">
            <v>38261</v>
          </cell>
          <cell r="AR44">
            <v>315000</v>
          </cell>
          <cell r="AV44">
            <v>315000</v>
          </cell>
          <cell r="AZ44" t="str">
            <v>Unknown</v>
          </cell>
          <cell r="DM44" t="str">
            <v>Sale</v>
          </cell>
        </row>
        <row r="45">
          <cell r="L45" t="str">
            <v>7520 South Tryon Street</v>
          </cell>
          <cell r="O45" t="str">
            <v>7520 South Tryon Street</v>
          </cell>
          <cell r="Q45" t="str">
            <v>Charlotte</v>
          </cell>
          <cell r="T45" t="str">
            <v>NC</v>
          </cell>
          <cell r="AA45">
            <v>5.3120000000000003</v>
          </cell>
          <cell r="AB45">
            <v>231391</v>
          </cell>
          <cell r="AH45" t="str">
            <v>B-1SCD</v>
          </cell>
          <cell r="AK45">
            <v>0</v>
          </cell>
          <cell r="AM45">
            <v>38261</v>
          </cell>
          <cell r="AR45">
            <v>1069000</v>
          </cell>
          <cell r="AV45">
            <v>1069000</v>
          </cell>
          <cell r="AZ45" t="str">
            <v>Retail</v>
          </cell>
          <cell r="DM45" t="str">
            <v>Sale</v>
          </cell>
        </row>
        <row r="46">
          <cell r="L46" t="str">
            <v>801 Lew Dewitt Boulevard</v>
          </cell>
          <cell r="O46" t="str">
            <v>801 Lew DeWitt Boulevard</v>
          </cell>
          <cell r="Q46" t="str">
            <v>Waynesboro</v>
          </cell>
          <cell r="R46">
            <v>22980</v>
          </cell>
          <cell r="T46" t="str">
            <v>VA</v>
          </cell>
          <cell r="AA46">
            <v>18.943999999999999</v>
          </cell>
          <cell r="AB46">
            <v>825200</v>
          </cell>
          <cell r="AH46" t="str">
            <v>C-2</v>
          </cell>
          <cell r="AK46">
            <v>0</v>
          </cell>
          <cell r="AM46">
            <v>38261</v>
          </cell>
          <cell r="AR46">
            <v>3600000</v>
          </cell>
          <cell r="AV46">
            <v>3600000</v>
          </cell>
          <cell r="AZ46" t="str">
            <v>Retail Center</v>
          </cell>
          <cell r="DM46" t="str">
            <v>Sale</v>
          </cell>
        </row>
        <row r="47">
          <cell r="L47" t="str">
            <v>983 S. Rand Road</v>
          </cell>
          <cell r="O47" t="str">
            <v>983 S. Rand Road</v>
          </cell>
          <cell r="Q47" t="str">
            <v>Lake Zurich</v>
          </cell>
          <cell r="R47">
            <v>60047</v>
          </cell>
          <cell r="T47" t="str">
            <v>IL</v>
          </cell>
          <cell r="AA47">
            <v>4.4000000000000004</v>
          </cell>
          <cell r="AB47">
            <v>191664</v>
          </cell>
          <cell r="AH47" t="str">
            <v>R-1, Lake Zurich</v>
          </cell>
          <cell r="AK47">
            <v>0</v>
          </cell>
          <cell r="AM47">
            <v>38261</v>
          </cell>
          <cell r="AR47">
            <v>1100000</v>
          </cell>
          <cell r="AV47">
            <v>1100000</v>
          </cell>
          <cell r="AZ47" t="str">
            <v>Retail center</v>
          </cell>
          <cell r="DM47" t="str">
            <v>Sale</v>
          </cell>
        </row>
        <row r="48">
          <cell r="L48" t="str">
            <v>A-2 Zoned Acreage</v>
          </cell>
          <cell r="O48" t="str">
            <v>16985 E 136th Ave</v>
          </cell>
          <cell r="Q48" t="str">
            <v>Brighton</v>
          </cell>
          <cell r="R48">
            <v>80601</v>
          </cell>
          <cell r="T48" t="str">
            <v>CO</v>
          </cell>
          <cell r="AA48">
            <v>4</v>
          </cell>
          <cell r="AB48">
            <v>174240</v>
          </cell>
          <cell r="AH48" t="str">
            <v>A-2, Brighton</v>
          </cell>
          <cell r="AK48">
            <v>0</v>
          </cell>
          <cell r="AM48">
            <v>38261</v>
          </cell>
          <cell r="AR48">
            <v>840000</v>
          </cell>
          <cell r="AV48">
            <v>840000</v>
          </cell>
          <cell r="AZ48" t="str">
            <v>Commercial Land</v>
          </cell>
          <cell r="DM48" t="str">
            <v>Sale</v>
          </cell>
        </row>
        <row r="49">
          <cell r="L49" t="str">
            <v>Commercial Land</v>
          </cell>
          <cell r="O49" t="str">
            <v>NEC of W Herndon and N Blythe</v>
          </cell>
          <cell r="Q49" t="str">
            <v>Fresno</v>
          </cell>
          <cell r="R49">
            <v>93650</v>
          </cell>
          <cell r="T49" t="str">
            <v>CA</v>
          </cell>
          <cell r="AA49">
            <v>6.8</v>
          </cell>
          <cell r="AB49">
            <v>296208</v>
          </cell>
          <cell r="AH49" t="str">
            <v>C-3</v>
          </cell>
          <cell r="AK49">
            <v>0</v>
          </cell>
          <cell r="AM49">
            <v>38261</v>
          </cell>
          <cell r="AR49">
            <v>1429500</v>
          </cell>
          <cell r="AV49">
            <v>1429500</v>
          </cell>
          <cell r="AZ49" t="str">
            <v>Commercial/Light Industrial</v>
          </cell>
          <cell r="DM49" t="str">
            <v>Sale</v>
          </cell>
        </row>
        <row r="56">
          <cell r="J56" t="str">
            <v>Inwood Central Shopping Center</v>
          </cell>
          <cell r="Q56" t="str">
            <v>8021 Antoine Village</v>
          </cell>
          <cell r="S56" t="str">
            <v>Houston</v>
          </cell>
          <cell r="T56">
            <v>77088</v>
          </cell>
          <cell r="V56" t="str">
            <v>TX</v>
          </cell>
          <cell r="AD56">
            <v>0</v>
          </cell>
          <cell r="AG56" t="str">
            <v>Ginham Goose</v>
          </cell>
          <cell r="AN56">
            <v>0</v>
          </cell>
          <cell r="AP56">
            <v>0</v>
          </cell>
          <cell r="AS56">
            <v>83262</v>
          </cell>
          <cell r="AU56">
            <v>1981</v>
          </cell>
          <cell r="CK56">
            <v>0.98</v>
          </cell>
          <cell r="CL56">
            <v>0.98</v>
          </cell>
          <cell r="CO56" t="str">
            <v>$8.00 -$11.00</v>
          </cell>
          <cell r="CQ56" t="str">
            <v>None</v>
          </cell>
          <cell r="CR56" t="str">
            <v>NNN</v>
          </cell>
          <cell r="CS56" t="str">
            <v>Cam, Tax, Ins.</v>
          </cell>
          <cell r="CW56" t="str">
            <v>Negotiable</v>
          </cell>
          <cell r="DI56">
            <v>0</v>
          </cell>
          <cell r="DJ56">
            <v>0</v>
          </cell>
          <cell r="DK56">
            <v>0</v>
          </cell>
          <cell r="DL56">
            <v>0</v>
          </cell>
          <cell r="DM56">
            <v>0</v>
          </cell>
          <cell r="DS56">
            <v>0</v>
          </cell>
          <cell r="DT56">
            <v>0</v>
          </cell>
          <cell r="DU56">
            <v>0</v>
          </cell>
          <cell r="DV56">
            <v>0</v>
          </cell>
          <cell r="DW56">
            <v>0</v>
          </cell>
          <cell r="DX56">
            <v>0</v>
          </cell>
          <cell r="DY56">
            <v>0</v>
          </cell>
          <cell r="DZ56">
            <v>0</v>
          </cell>
          <cell r="EA56">
            <v>0</v>
          </cell>
          <cell r="ER56">
            <v>0</v>
          </cell>
          <cell r="ES56">
            <v>0</v>
          </cell>
          <cell r="ET56">
            <v>0</v>
          </cell>
          <cell r="EU56">
            <v>0</v>
          </cell>
          <cell r="EV56">
            <v>0</v>
          </cell>
          <cell r="EX56" t="b">
            <v>0</v>
          </cell>
          <cell r="EY56">
            <v>0</v>
          </cell>
          <cell r="EZ56">
            <v>0</v>
          </cell>
        </row>
        <row r="57">
          <cell r="J57" t="str">
            <v>Inwood Village</v>
          </cell>
          <cell r="Q57" t="str">
            <v>6438-6496 W. Little York</v>
          </cell>
          <cell r="S57" t="str">
            <v>Houston</v>
          </cell>
          <cell r="T57">
            <v>77088</v>
          </cell>
          <cell r="V57" t="str">
            <v>Tx</v>
          </cell>
          <cell r="AD57">
            <v>0</v>
          </cell>
          <cell r="AG57" t="str">
            <v>Ace Cash Express</v>
          </cell>
          <cell r="AN57">
            <v>0</v>
          </cell>
          <cell r="AP57">
            <v>0</v>
          </cell>
          <cell r="AS57">
            <v>68000</v>
          </cell>
          <cell r="AU57">
            <v>1975</v>
          </cell>
          <cell r="CK57">
            <v>1</v>
          </cell>
          <cell r="CL57">
            <v>1</v>
          </cell>
          <cell r="CO57" t="str">
            <v>$6.24 - $17.04</v>
          </cell>
          <cell r="CS57" t="str">
            <v>NNN - $3.84</v>
          </cell>
          <cell r="CW57" t="str">
            <v>Negotiable</v>
          </cell>
          <cell r="DI57">
            <v>0</v>
          </cell>
          <cell r="DJ57">
            <v>0</v>
          </cell>
          <cell r="DK57">
            <v>0</v>
          </cell>
          <cell r="DL57">
            <v>0</v>
          </cell>
          <cell r="DM57">
            <v>0</v>
          </cell>
          <cell r="DS57">
            <v>0</v>
          </cell>
          <cell r="DT57">
            <v>0</v>
          </cell>
          <cell r="DU57">
            <v>0</v>
          </cell>
          <cell r="DV57">
            <v>0</v>
          </cell>
          <cell r="DW57">
            <v>0</v>
          </cell>
          <cell r="DX57">
            <v>0</v>
          </cell>
          <cell r="DY57">
            <v>0</v>
          </cell>
          <cell r="DZ57">
            <v>0</v>
          </cell>
          <cell r="EA57">
            <v>0</v>
          </cell>
          <cell r="ER57">
            <v>0</v>
          </cell>
          <cell r="ES57">
            <v>0</v>
          </cell>
          <cell r="ET57">
            <v>0</v>
          </cell>
          <cell r="EU57">
            <v>0</v>
          </cell>
          <cell r="EV57">
            <v>0</v>
          </cell>
          <cell r="EX57" t="b">
            <v>0</v>
          </cell>
          <cell r="EY57">
            <v>0</v>
          </cell>
          <cell r="EZ57">
            <v>0</v>
          </cell>
        </row>
        <row r="58">
          <cell r="J58" t="str">
            <v>Jones Square Shopping Center</v>
          </cell>
          <cell r="Q58" t="str">
            <v>SWC Jones &amp; West</v>
          </cell>
          <cell r="S58" t="str">
            <v>Houston</v>
          </cell>
          <cell r="T58">
            <v>77065</v>
          </cell>
          <cell r="V58" t="str">
            <v>TX</v>
          </cell>
          <cell r="AD58">
            <v>0</v>
          </cell>
          <cell r="AN58">
            <v>0</v>
          </cell>
          <cell r="AP58">
            <v>0</v>
          </cell>
          <cell r="AS58">
            <v>28195</v>
          </cell>
          <cell r="AU58">
            <v>1985</v>
          </cell>
          <cell r="CK58">
            <v>0.94</v>
          </cell>
          <cell r="CL58">
            <v>0.94</v>
          </cell>
          <cell r="CO58" t="str">
            <v>$12.00 psf</v>
          </cell>
          <cell r="CQ58" t="str">
            <v>none</v>
          </cell>
          <cell r="CR58" t="str">
            <v>NNN</v>
          </cell>
          <cell r="CS58" t="str">
            <v>$4.92 psf</v>
          </cell>
          <cell r="CW58" t="str">
            <v>negotiable</v>
          </cell>
          <cell r="DI58">
            <v>0</v>
          </cell>
          <cell r="DJ58">
            <v>0</v>
          </cell>
          <cell r="DK58">
            <v>0</v>
          </cell>
          <cell r="DL58">
            <v>0</v>
          </cell>
          <cell r="DM58">
            <v>0</v>
          </cell>
          <cell r="DS58">
            <v>0</v>
          </cell>
          <cell r="DT58">
            <v>0</v>
          </cell>
          <cell r="DU58">
            <v>0</v>
          </cell>
          <cell r="DV58">
            <v>0</v>
          </cell>
          <cell r="DW58">
            <v>0</v>
          </cell>
          <cell r="DX58">
            <v>0</v>
          </cell>
          <cell r="DY58">
            <v>0</v>
          </cell>
          <cell r="DZ58">
            <v>0</v>
          </cell>
          <cell r="EA58">
            <v>0</v>
          </cell>
          <cell r="ER58">
            <v>0</v>
          </cell>
          <cell r="ES58">
            <v>0</v>
          </cell>
          <cell r="ET58">
            <v>0</v>
          </cell>
          <cell r="EU58">
            <v>0</v>
          </cell>
          <cell r="EV58">
            <v>0</v>
          </cell>
          <cell r="EX58" t="b">
            <v>0</v>
          </cell>
          <cell r="EY58">
            <v>0</v>
          </cell>
          <cell r="EZ58">
            <v>0</v>
          </cell>
        </row>
        <row r="59">
          <cell r="J59" t="str">
            <v>Lakewood Forest</v>
          </cell>
          <cell r="Q59" t="str">
            <v>NWC Louetta &amp; Highway 249</v>
          </cell>
          <cell r="S59" t="str">
            <v>Houston</v>
          </cell>
          <cell r="V59" t="str">
            <v>TX</v>
          </cell>
          <cell r="AD59">
            <v>0</v>
          </cell>
          <cell r="AN59">
            <v>0</v>
          </cell>
          <cell r="AP59">
            <v>0</v>
          </cell>
          <cell r="AS59">
            <v>78225</v>
          </cell>
          <cell r="AU59">
            <v>1982</v>
          </cell>
          <cell r="CK59">
            <v>0.89</v>
          </cell>
          <cell r="CL59">
            <v>0.89</v>
          </cell>
          <cell r="CO59" t="str">
            <v>$8.00-$16.00 psf</v>
          </cell>
          <cell r="CR59" t="str">
            <v>NNN</v>
          </cell>
          <cell r="CS59" t="str">
            <v>$3.60 psf</v>
          </cell>
          <cell r="CW59" t="str">
            <v>negotiable</v>
          </cell>
          <cell r="DI59">
            <v>0</v>
          </cell>
          <cell r="DJ59">
            <v>0</v>
          </cell>
          <cell r="DK59">
            <v>0</v>
          </cell>
          <cell r="DL59">
            <v>0</v>
          </cell>
          <cell r="DM59">
            <v>0</v>
          </cell>
          <cell r="DS59">
            <v>0</v>
          </cell>
          <cell r="DT59">
            <v>0</v>
          </cell>
          <cell r="DU59">
            <v>0</v>
          </cell>
          <cell r="DV59">
            <v>0</v>
          </cell>
          <cell r="DW59">
            <v>0</v>
          </cell>
          <cell r="DX59">
            <v>0</v>
          </cell>
          <cell r="DY59">
            <v>0</v>
          </cell>
          <cell r="DZ59">
            <v>0</v>
          </cell>
          <cell r="EA59">
            <v>0</v>
          </cell>
          <cell r="ER59">
            <v>0</v>
          </cell>
          <cell r="ES59">
            <v>0</v>
          </cell>
          <cell r="ET59">
            <v>0</v>
          </cell>
          <cell r="EU59">
            <v>0</v>
          </cell>
          <cell r="EV59">
            <v>0</v>
          </cell>
          <cell r="EX59" t="b">
            <v>0</v>
          </cell>
          <cell r="EY59">
            <v>0</v>
          </cell>
          <cell r="EZ59">
            <v>0</v>
          </cell>
        </row>
        <row r="60">
          <cell r="J60" t="str">
            <v>Spring Cypress Village</v>
          </cell>
          <cell r="Q60" t="str">
            <v>22506 Tomball Parkway</v>
          </cell>
          <cell r="S60" t="str">
            <v>Houston</v>
          </cell>
          <cell r="V60" t="str">
            <v>TX</v>
          </cell>
          <cell r="AD60">
            <v>0</v>
          </cell>
          <cell r="AN60">
            <v>0</v>
          </cell>
          <cell r="AP60">
            <v>0</v>
          </cell>
          <cell r="AS60">
            <v>100793</v>
          </cell>
          <cell r="AU60">
            <v>1982</v>
          </cell>
          <cell r="CK60">
            <v>0.55900000000000005</v>
          </cell>
          <cell r="CL60">
            <v>0.55900000000000005</v>
          </cell>
          <cell r="CO60" t="str">
            <v>$10.00-$15.00 psf</v>
          </cell>
          <cell r="CQ60" t="str">
            <v>None</v>
          </cell>
          <cell r="CR60" t="str">
            <v>NNN</v>
          </cell>
          <cell r="CS60" t="str">
            <v>$2.90 psf</v>
          </cell>
          <cell r="CW60" t="str">
            <v>Negotiable</v>
          </cell>
          <cell r="DI60">
            <v>0</v>
          </cell>
          <cell r="DJ60">
            <v>0</v>
          </cell>
          <cell r="DK60">
            <v>0</v>
          </cell>
          <cell r="DL60">
            <v>0</v>
          </cell>
          <cell r="DM60">
            <v>0</v>
          </cell>
          <cell r="DS60">
            <v>0</v>
          </cell>
          <cell r="DT60">
            <v>0</v>
          </cell>
          <cell r="DU60">
            <v>0</v>
          </cell>
          <cell r="DV60">
            <v>0</v>
          </cell>
          <cell r="DW60">
            <v>0</v>
          </cell>
          <cell r="DX60">
            <v>0</v>
          </cell>
          <cell r="DY60">
            <v>0</v>
          </cell>
          <cell r="DZ60">
            <v>0</v>
          </cell>
          <cell r="EA60">
            <v>0</v>
          </cell>
          <cell r="ER60">
            <v>0</v>
          </cell>
          <cell r="ES60">
            <v>0</v>
          </cell>
          <cell r="ET60">
            <v>0</v>
          </cell>
          <cell r="EU60">
            <v>0</v>
          </cell>
          <cell r="EV60">
            <v>0</v>
          </cell>
          <cell r="EX60" t="b">
            <v>0</v>
          </cell>
          <cell r="EY60">
            <v>0</v>
          </cell>
          <cell r="EZ60">
            <v>0</v>
          </cell>
        </row>
        <row r="69">
          <cell r="J69" t="str">
            <v>Abercorn Walk</v>
          </cell>
          <cell r="Q69" t="str">
            <v>5525 Abercorn Street</v>
          </cell>
          <cell r="S69" t="str">
            <v>Savannah</v>
          </cell>
          <cell r="T69">
            <v>31405</v>
          </cell>
          <cell r="V69" t="str">
            <v>GA</v>
          </cell>
          <cell r="AA69">
            <v>5.6</v>
          </cell>
          <cell r="AD69">
            <v>0</v>
          </cell>
          <cell r="AN69">
            <v>0</v>
          </cell>
          <cell r="AS69">
            <v>70000</v>
          </cell>
          <cell r="AU69">
            <v>2005</v>
          </cell>
          <cell r="CK69" t="str">
            <v>Lease-up</v>
          </cell>
          <cell r="CL69" t="str">
            <v>Lease-up</v>
          </cell>
          <cell r="CO69">
            <v>35</v>
          </cell>
          <cell r="CQ69">
            <v>0.03</v>
          </cell>
          <cell r="CR69" t="str">
            <v>NNN</v>
          </cell>
          <cell r="CS69" t="str">
            <v>$4.70 PSF</v>
          </cell>
          <cell r="DI69">
            <v>0</v>
          </cell>
          <cell r="DJ69">
            <v>0</v>
          </cell>
          <cell r="DK69">
            <v>0</v>
          </cell>
          <cell r="DL69">
            <v>0</v>
          </cell>
          <cell r="DS69">
            <v>0</v>
          </cell>
          <cell r="DT69">
            <v>0</v>
          </cell>
          <cell r="DU69">
            <v>0</v>
          </cell>
          <cell r="DV69">
            <v>0</v>
          </cell>
          <cell r="DX69">
            <v>0</v>
          </cell>
          <cell r="DY69">
            <v>0</v>
          </cell>
          <cell r="DZ69">
            <v>0</v>
          </cell>
          <cell r="EA69">
            <v>0</v>
          </cell>
          <cell r="ER69">
            <v>0</v>
          </cell>
          <cell r="ES69">
            <v>0</v>
          </cell>
          <cell r="ET69">
            <v>0</v>
          </cell>
          <cell r="EU69">
            <v>0</v>
          </cell>
        </row>
        <row r="70">
          <cell r="J70" t="str">
            <v>Creekside Village</v>
          </cell>
          <cell r="Q70" t="str">
            <v>9400 Interstate 35 South</v>
          </cell>
          <cell r="S70" t="str">
            <v>Austin</v>
          </cell>
          <cell r="V70" t="str">
            <v>TX</v>
          </cell>
          <cell r="AA70">
            <v>0</v>
          </cell>
          <cell r="AD70">
            <v>0</v>
          </cell>
          <cell r="AF70" t="str">
            <v>PetsMart</v>
          </cell>
          <cell r="AN70">
            <v>0</v>
          </cell>
          <cell r="AS70">
            <v>260926</v>
          </cell>
          <cell r="AU70">
            <v>2005</v>
          </cell>
          <cell r="CK70">
            <v>0.96899999999999997</v>
          </cell>
          <cell r="CL70">
            <v>0.96899999999999997</v>
          </cell>
          <cell r="CO70">
            <v>26.5</v>
          </cell>
          <cell r="CQ70" t="str">
            <v>Varies per Tenant</v>
          </cell>
          <cell r="CR70" t="str">
            <v>NNN</v>
          </cell>
          <cell r="CS70">
            <v>5.3</v>
          </cell>
          <cell r="CW70" t="str">
            <v>$15 from Shell</v>
          </cell>
          <cell r="CZ70">
            <v>38412</v>
          </cell>
          <cell r="DB70">
            <v>38412</v>
          </cell>
          <cell r="DD70">
            <v>38412</v>
          </cell>
          <cell r="DF70">
            <v>38412</v>
          </cell>
          <cell r="DI70">
            <v>22304</v>
          </cell>
          <cell r="DJ70">
            <v>1200</v>
          </cell>
          <cell r="DK70">
            <v>3000</v>
          </cell>
          <cell r="DL70">
            <v>2500</v>
          </cell>
          <cell r="DN70" t="str">
            <v>PetsMart</v>
          </cell>
          <cell r="DO70" t="str">
            <v>EB Games</v>
          </cell>
          <cell r="DP70" t="str">
            <v>Sprint</v>
          </cell>
          <cell r="DQ70" t="str">
            <v>Twin Liquors</v>
          </cell>
          <cell r="DS70">
            <v>12.5</v>
          </cell>
          <cell r="DT70">
            <v>26</v>
          </cell>
          <cell r="DU70">
            <v>30.8</v>
          </cell>
          <cell r="DV70">
            <v>21.6</v>
          </cell>
          <cell r="DX70">
            <v>0</v>
          </cell>
          <cell r="DY70">
            <v>0</v>
          </cell>
          <cell r="DZ70">
            <v>0</v>
          </cell>
          <cell r="EA70">
            <v>0</v>
          </cell>
          <cell r="ER70">
            <v>10</v>
          </cell>
          <cell r="ES70">
            <v>5</v>
          </cell>
          <cell r="ET70">
            <v>7</v>
          </cell>
          <cell r="EU70">
            <v>5</v>
          </cell>
        </row>
        <row r="71">
          <cell r="J71" t="str">
            <v>Dollar Tree</v>
          </cell>
          <cell r="Q71" t="str">
            <v>250 San Pablo Towne Center</v>
          </cell>
          <cell r="S71" t="str">
            <v>San Pablo</v>
          </cell>
          <cell r="V71" t="str">
            <v>CA</v>
          </cell>
          <cell r="AA71">
            <v>0</v>
          </cell>
          <cell r="AD71">
            <v>0</v>
          </cell>
          <cell r="AF71" t="str">
            <v>Longs Drugs</v>
          </cell>
          <cell r="AG71" t="str">
            <v>24 Hour Fitness</v>
          </cell>
          <cell r="AN71">
            <v>10080</v>
          </cell>
          <cell r="AS71">
            <v>176760</v>
          </cell>
          <cell r="AU71">
            <v>1991</v>
          </cell>
          <cell r="CL71">
            <v>0.99</v>
          </cell>
          <cell r="CS71" t="str">
            <v>NNN</v>
          </cell>
          <cell r="CZ71">
            <v>37653</v>
          </cell>
          <cell r="DI71">
            <v>10080</v>
          </cell>
          <cell r="DJ71">
            <v>0</v>
          </cell>
          <cell r="DK71">
            <v>0</v>
          </cell>
          <cell r="DL71">
            <v>0</v>
          </cell>
          <cell r="DN71" t="str">
            <v>Dollar Tree</v>
          </cell>
          <cell r="DS71">
            <v>0.84</v>
          </cell>
          <cell r="DT71">
            <v>0</v>
          </cell>
          <cell r="DU71">
            <v>0</v>
          </cell>
          <cell r="DV71">
            <v>0</v>
          </cell>
          <cell r="DX71">
            <v>0</v>
          </cell>
          <cell r="DY71">
            <v>0</v>
          </cell>
          <cell r="DZ71">
            <v>0</v>
          </cell>
          <cell r="EA71">
            <v>0</v>
          </cell>
          <cell r="EH71" t="str">
            <v>10% in Yr. 6</v>
          </cell>
          <cell r="ER71">
            <v>10</v>
          </cell>
          <cell r="ES71">
            <v>0</v>
          </cell>
          <cell r="ET71">
            <v>0</v>
          </cell>
          <cell r="EU71">
            <v>0</v>
          </cell>
        </row>
        <row r="72">
          <cell r="J72" t="str">
            <v>Parkway Plaza</v>
          </cell>
          <cell r="Q72" t="str">
            <v>1096 Concord Parkway</v>
          </cell>
          <cell r="S72" t="str">
            <v>Concord</v>
          </cell>
          <cell r="T72">
            <v>28025</v>
          </cell>
          <cell r="V72" t="str">
            <v>NC</v>
          </cell>
          <cell r="AA72">
            <v>0</v>
          </cell>
          <cell r="AD72">
            <v>0</v>
          </cell>
          <cell r="AN72">
            <v>0</v>
          </cell>
          <cell r="AS72">
            <v>35000</v>
          </cell>
          <cell r="AU72">
            <v>1999</v>
          </cell>
          <cell r="CK72">
            <v>1</v>
          </cell>
          <cell r="CL72">
            <v>1</v>
          </cell>
          <cell r="CO72" t="str">
            <v>$16 psf</v>
          </cell>
          <cell r="CQ72" t="str">
            <v>Varies</v>
          </cell>
          <cell r="CR72" t="str">
            <v>NNN</v>
          </cell>
          <cell r="CS72">
            <v>2.2999999999999998</v>
          </cell>
          <cell r="CW72" t="str">
            <v>None</v>
          </cell>
          <cell r="DI72">
            <v>0</v>
          </cell>
          <cell r="DJ72">
            <v>0</v>
          </cell>
          <cell r="DK72">
            <v>0</v>
          </cell>
          <cell r="DL72">
            <v>0</v>
          </cell>
          <cell r="DS72">
            <v>0</v>
          </cell>
          <cell r="DT72">
            <v>0</v>
          </cell>
          <cell r="DU72">
            <v>0</v>
          </cell>
          <cell r="DV72">
            <v>0</v>
          </cell>
          <cell r="DX72">
            <v>0</v>
          </cell>
          <cell r="DY72">
            <v>0</v>
          </cell>
          <cell r="DZ72">
            <v>0</v>
          </cell>
          <cell r="EA72">
            <v>0</v>
          </cell>
          <cell r="ER72">
            <v>0</v>
          </cell>
          <cell r="ES72">
            <v>0</v>
          </cell>
          <cell r="ET72">
            <v>0</v>
          </cell>
          <cell r="EU72">
            <v>0</v>
          </cell>
        </row>
        <row r="73">
          <cell r="J73" t="str">
            <v>San Marin Plaza</v>
          </cell>
          <cell r="Q73" t="str">
            <v>179 San Marin Drive</v>
          </cell>
          <cell r="S73" t="str">
            <v>Novato</v>
          </cell>
          <cell r="V73" t="str">
            <v>CA</v>
          </cell>
          <cell r="AA73">
            <v>0</v>
          </cell>
          <cell r="AD73">
            <v>0</v>
          </cell>
          <cell r="AN73">
            <v>0</v>
          </cell>
          <cell r="AS73">
            <v>70483</v>
          </cell>
          <cell r="AU73">
            <v>1984</v>
          </cell>
          <cell r="CL73">
            <v>0.95</v>
          </cell>
          <cell r="CO73">
            <v>1.5</v>
          </cell>
          <cell r="CQ73">
            <v>0.03</v>
          </cell>
          <cell r="CR73" t="str">
            <v>NNN</v>
          </cell>
          <cell r="CW73" t="str">
            <v>Negotiable</v>
          </cell>
          <cell r="DI73">
            <v>0</v>
          </cell>
          <cell r="DJ73">
            <v>0</v>
          </cell>
          <cell r="DK73">
            <v>0</v>
          </cell>
          <cell r="DL73">
            <v>0</v>
          </cell>
          <cell r="DS73">
            <v>0</v>
          </cell>
          <cell r="DT73">
            <v>0</v>
          </cell>
          <cell r="DU73">
            <v>0</v>
          </cell>
          <cell r="DV73">
            <v>0</v>
          </cell>
          <cell r="DX73">
            <v>0</v>
          </cell>
          <cell r="DY73">
            <v>0</v>
          </cell>
          <cell r="DZ73">
            <v>0</v>
          </cell>
          <cell r="EA73">
            <v>0</v>
          </cell>
          <cell r="ER73">
            <v>0</v>
          </cell>
          <cell r="ES73">
            <v>0</v>
          </cell>
          <cell r="ET73">
            <v>0</v>
          </cell>
          <cell r="EU73">
            <v>0</v>
          </cell>
        </row>
        <row r="74">
          <cell r="J74" t="str">
            <v>Savannah Crossing</v>
          </cell>
          <cell r="Q74" t="str">
            <v>13065 Abercorn Street</v>
          </cell>
          <cell r="S74" t="str">
            <v>Savannah</v>
          </cell>
          <cell r="V74" t="str">
            <v>GA</v>
          </cell>
          <cell r="AD74">
            <v>0</v>
          </cell>
          <cell r="AS74">
            <v>65693</v>
          </cell>
          <cell r="AU74">
            <v>1989</v>
          </cell>
          <cell r="CK74">
            <v>0.94</v>
          </cell>
          <cell r="CL74">
            <v>0.94</v>
          </cell>
          <cell r="CO74">
            <v>20</v>
          </cell>
          <cell r="CQ74" t="str">
            <v>None</v>
          </cell>
          <cell r="CR74" t="str">
            <v>NNN</v>
          </cell>
          <cell r="CS74" t="str">
            <v>$2.20 psf</v>
          </cell>
          <cell r="CW74" t="str">
            <v>As Is</v>
          </cell>
          <cell r="DI74">
            <v>0</v>
          </cell>
          <cell r="DJ74">
            <v>0</v>
          </cell>
          <cell r="DK74">
            <v>0</v>
          </cell>
          <cell r="DL74">
            <v>0</v>
          </cell>
          <cell r="DS74">
            <v>0</v>
          </cell>
          <cell r="DT74">
            <v>0</v>
          </cell>
          <cell r="DU74">
            <v>0</v>
          </cell>
          <cell r="DV74">
            <v>0</v>
          </cell>
          <cell r="DX74">
            <v>0</v>
          </cell>
          <cell r="DY74">
            <v>0</v>
          </cell>
          <cell r="DZ74">
            <v>0</v>
          </cell>
          <cell r="EA74">
            <v>0</v>
          </cell>
          <cell r="ER74">
            <v>0</v>
          </cell>
          <cell r="ES74">
            <v>0</v>
          </cell>
          <cell r="ET74">
            <v>0</v>
          </cell>
          <cell r="EU74">
            <v>0</v>
          </cell>
        </row>
        <row r="75">
          <cell r="J75" t="str">
            <v>Springfield Commons</v>
          </cell>
          <cell r="S75" t="str">
            <v>Springfield</v>
          </cell>
          <cell r="V75" t="str">
            <v>OH</v>
          </cell>
          <cell r="AD75">
            <v>0</v>
          </cell>
          <cell r="AS75">
            <v>207497</v>
          </cell>
          <cell r="CK75">
            <v>1</v>
          </cell>
          <cell r="CO75" t="str">
            <v>$6.30-$13.00</v>
          </cell>
          <cell r="CZ75">
            <v>38384</v>
          </cell>
          <cell r="DB75">
            <v>35735</v>
          </cell>
          <cell r="DD75">
            <v>38200</v>
          </cell>
          <cell r="DF75">
            <v>38353</v>
          </cell>
          <cell r="DI75">
            <v>125357</v>
          </cell>
          <cell r="DJ75">
            <v>32850</v>
          </cell>
          <cell r="DK75">
            <v>20044</v>
          </cell>
          <cell r="DL75">
            <v>19466</v>
          </cell>
          <cell r="DN75" t="str">
            <v>Lowe's</v>
          </cell>
          <cell r="DO75" t="str">
            <v>Toys R Us</v>
          </cell>
          <cell r="DP75" t="str">
            <v>Best Buy</v>
          </cell>
          <cell r="DQ75" t="str">
            <v>PETsMART</v>
          </cell>
          <cell r="DS75">
            <v>6.3</v>
          </cell>
          <cell r="DT75">
            <v>7.7</v>
          </cell>
          <cell r="DU75">
            <v>12.47</v>
          </cell>
          <cell r="DV75">
            <v>13</v>
          </cell>
          <cell r="DX75">
            <v>0</v>
          </cell>
          <cell r="DY75">
            <v>0</v>
          </cell>
          <cell r="DZ75">
            <v>0</v>
          </cell>
          <cell r="EA75">
            <v>0</v>
          </cell>
          <cell r="ER75">
            <v>10</v>
          </cell>
          <cell r="ES75">
            <v>10</v>
          </cell>
          <cell r="ET75">
            <v>10</v>
          </cell>
          <cell r="EU75">
            <v>10</v>
          </cell>
        </row>
      </sheetData>
      <sheetData sheetId="8" refreshError="1"/>
      <sheetData sheetId="9" refreshError="1">
        <row r="8">
          <cell r="E8">
            <v>7710000</v>
          </cell>
        </row>
        <row r="9">
          <cell r="E9">
            <v>1080000</v>
          </cell>
        </row>
        <row r="21">
          <cell r="M21">
            <v>1080000</v>
          </cell>
          <cell r="N21">
            <v>1080000</v>
          </cell>
          <cell r="O21">
            <v>1080000</v>
          </cell>
        </row>
        <row r="32">
          <cell r="V32">
            <v>1080000</v>
          </cell>
        </row>
        <row r="37">
          <cell r="V37">
            <v>1080000</v>
          </cell>
        </row>
        <row r="44">
          <cell r="AC44">
            <v>1080000</v>
          </cell>
        </row>
      </sheetData>
      <sheetData sheetId="10" refreshError="1"/>
      <sheetData sheetId="11" refreshError="1"/>
      <sheetData sheetId="12" refreshError="1"/>
      <sheetData sheetId="13" refreshError="1">
        <row r="2">
          <cell r="A2">
            <v>2007</v>
          </cell>
        </row>
        <row r="3">
          <cell r="A3" t="str">
            <v>2nd Qtr. 2008</v>
          </cell>
        </row>
        <row r="4">
          <cell r="A4" t="str">
            <v>General Investment A</v>
          </cell>
          <cell r="B4">
            <v>5.7500000000000002E-2</v>
          </cell>
          <cell r="C4">
            <v>7.4999999999999997E-2</v>
          </cell>
          <cell r="D4">
            <v>6.8928571428571395E-2</v>
          </cell>
          <cell r="E4">
            <v>7.0000000000000007E-2</v>
          </cell>
          <cell r="F4">
            <v>8.5000000000000006E-2</v>
          </cell>
          <cell r="G4">
            <v>7.7083333333333295E-2</v>
          </cell>
          <cell r="H4">
            <v>0.08</v>
          </cell>
          <cell r="I4">
            <v>0.09</v>
          </cell>
          <cell r="J4">
            <v>8.5000000000000006E-2</v>
          </cell>
          <cell r="K4">
            <v>3.3833333333333299E-2</v>
          </cell>
          <cell r="L4">
            <v>2.9166666666666698E-2</v>
          </cell>
          <cell r="M4">
            <v>2.9166666666666698E-2</v>
          </cell>
          <cell r="N4">
            <v>1</v>
          </cell>
          <cell r="O4">
            <v>6</v>
          </cell>
          <cell r="P4">
            <v>4.4000000000000004</v>
          </cell>
        </row>
        <row r="5">
          <cell r="A5" t="str">
            <v>General Investment B</v>
          </cell>
          <cell r="B5">
            <v>7.0000000000000007E-2</v>
          </cell>
          <cell r="C5">
            <v>0.08</v>
          </cell>
          <cell r="D5">
            <v>7.4583333333333293E-2</v>
          </cell>
          <cell r="E5">
            <v>7.7499999999999999E-2</v>
          </cell>
          <cell r="F5">
            <v>0.09</v>
          </cell>
          <cell r="G5">
            <v>8.2000000000000003E-2</v>
          </cell>
          <cell r="H5">
            <v>0.09</v>
          </cell>
          <cell r="I5">
            <v>9.5000000000000001E-2</v>
          </cell>
          <cell r="J5">
            <v>9.1666666666666702E-2</v>
          </cell>
          <cell r="K5">
            <v>3.4000000000000002E-2</v>
          </cell>
          <cell r="L5">
            <v>2.9000000000000001E-2</v>
          </cell>
          <cell r="M5">
            <v>2.9000000000000001E-2</v>
          </cell>
          <cell r="N5">
            <v>1</v>
          </cell>
          <cell r="O5">
            <v>6</v>
          </cell>
          <cell r="P5">
            <v>4</v>
          </cell>
        </row>
        <row r="6">
          <cell r="A6" t="str">
            <v>General Investment C</v>
          </cell>
          <cell r="B6">
            <v>0.08</v>
          </cell>
          <cell r="C6">
            <v>0.09</v>
          </cell>
          <cell r="D6">
            <v>8.5999999999999993E-2</v>
          </cell>
          <cell r="E6">
            <v>0.09</v>
          </cell>
          <cell r="F6">
            <v>0.1</v>
          </cell>
          <cell r="G6">
            <v>9.3124999999999999E-2</v>
          </cell>
          <cell r="H6">
            <v>0.1</v>
          </cell>
          <cell r="I6">
            <v>0.11</v>
          </cell>
          <cell r="J6">
            <v>0.105</v>
          </cell>
          <cell r="K6">
            <v>3.125E-2</v>
          </cell>
          <cell r="L6">
            <v>2.8750000000000001E-2</v>
          </cell>
          <cell r="M6">
            <v>2.8750000000000001E-2</v>
          </cell>
          <cell r="N6">
            <v>2</v>
          </cell>
          <cell r="O6">
            <v>6</v>
          </cell>
          <cell r="P6">
            <v>3.3333333333333335</v>
          </cell>
        </row>
        <row r="7">
          <cell r="A7" t="str">
            <v>Apartments A</v>
          </cell>
          <cell r="B7">
            <v>4.7500000000000001E-2</v>
          </cell>
          <cell r="C7">
            <v>6.5000000000000002E-2</v>
          </cell>
          <cell r="D7">
            <v>5.6071428571428598E-2</v>
          </cell>
          <cell r="E7">
            <v>0.05</v>
          </cell>
          <cell r="F7">
            <v>7.4999999999999997E-2</v>
          </cell>
          <cell r="G7">
            <v>6.2642857142857097E-2</v>
          </cell>
          <cell r="H7">
            <v>6.5000000000000002E-2</v>
          </cell>
          <cell r="I7">
            <v>0.09</v>
          </cell>
          <cell r="J7">
            <v>7.5999999999999998E-2</v>
          </cell>
          <cell r="K7">
            <v>3.09230769230769E-2</v>
          </cell>
          <cell r="L7">
            <v>2.9423076923076899E-2</v>
          </cell>
          <cell r="M7">
            <v>2.8846153846153799E-2</v>
          </cell>
          <cell r="N7">
            <v>1</v>
          </cell>
          <cell r="O7">
            <v>12</v>
          </cell>
          <cell r="P7">
            <v>6.8181818181818183</v>
          </cell>
        </row>
        <row r="8">
          <cell r="A8" t="str">
            <v>Apartments B</v>
          </cell>
          <cell r="B8">
            <v>5.2499999999999998E-2</v>
          </cell>
          <cell r="C8">
            <v>0.08</v>
          </cell>
          <cell r="D8">
            <v>6.5227272727272703E-2</v>
          </cell>
          <cell r="E8">
            <v>5.7500000000000002E-2</v>
          </cell>
          <cell r="F8">
            <v>8.2500000000000004E-2</v>
          </cell>
          <cell r="G8">
            <v>7.0000000000000007E-2</v>
          </cell>
          <cell r="H8">
            <v>7.0000000000000007E-2</v>
          </cell>
          <cell r="I8">
            <v>0.10249999999999999</v>
          </cell>
          <cell r="J8">
            <v>8.3611111111111094E-2</v>
          </cell>
          <cell r="K8">
            <v>2.87E-2</v>
          </cell>
          <cell r="L8">
            <v>2.9499999999999998E-2</v>
          </cell>
          <cell r="M8">
            <v>2.8500000000000001E-2</v>
          </cell>
          <cell r="N8">
            <v>1</v>
          </cell>
          <cell r="O8">
            <v>12</v>
          </cell>
          <cell r="P8">
            <v>6</v>
          </cell>
        </row>
        <row r="9">
          <cell r="A9" t="str">
            <v>Apartments C</v>
          </cell>
          <cell r="B9">
            <v>7.0000000000000007E-2</v>
          </cell>
          <cell r="C9">
            <v>8.5000000000000006E-2</v>
          </cell>
          <cell r="D9">
            <v>7.4083333333333307E-2</v>
          </cell>
          <cell r="E9">
            <v>7.4999999999999997E-2</v>
          </cell>
          <cell r="F9">
            <v>0.08</v>
          </cell>
          <cell r="G9">
            <v>7.8399999999999997E-2</v>
          </cell>
          <cell r="H9">
            <v>8.5000000000000006E-2</v>
          </cell>
          <cell r="I9">
            <v>9.5000000000000001E-2</v>
          </cell>
          <cell r="J9">
            <v>0.09</v>
          </cell>
          <cell r="K9">
            <v>2.9399999999999999E-2</v>
          </cell>
          <cell r="L9">
            <v>2.9000000000000001E-2</v>
          </cell>
          <cell r="M9">
            <v>2.8000000000000001E-2</v>
          </cell>
          <cell r="N9">
            <v>2</v>
          </cell>
          <cell r="O9">
            <v>9</v>
          </cell>
          <cell r="P9">
            <v>5.75</v>
          </cell>
        </row>
        <row r="10">
          <cell r="A10" t="str">
            <v>Net Leased Investments A</v>
          </cell>
          <cell r="B10">
            <v>0.04</v>
          </cell>
          <cell r="C10">
            <v>7.4999999999999997E-2</v>
          </cell>
          <cell r="D10">
            <v>5.7500000000000002E-2</v>
          </cell>
          <cell r="E10">
            <v>0.05</v>
          </cell>
          <cell r="F10">
            <v>7.2499999999999995E-2</v>
          </cell>
          <cell r="G10">
            <v>5.9499999999999997E-2</v>
          </cell>
          <cell r="H10">
            <v>0.06</v>
          </cell>
          <cell r="I10">
            <v>7.0000000000000007E-2</v>
          </cell>
          <cell r="J10">
            <v>6.3333333333333297E-2</v>
          </cell>
          <cell r="K10">
            <v>3.4000000000000002E-2</v>
          </cell>
          <cell r="L10">
            <v>0.03</v>
          </cell>
          <cell r="M10">
            <v>0.03</v>
          </cell>
          <cell r="N10">
            <v>1</v>
          </cell>
          <cell r="O10">
            <v>6</v>
          </cell>
          <cell r="P10">
            <v>2.8</v>
          </cell>
        </row>
        <row r="11">
          <cell r="A11" t="str">
            <v>Net Leased Investments B</v>
          </cell>
          <cell r="B11">
            <v>0.05</v>
          </cell>
          <cell r="C11">
            <v>7.7499999999999999E-2</v>
          </cell>
          <cell r="D11">
            <v>6.3750000000000001E-2</v>
          </cell>
          <cell r="E11">
            <v>5.5E-2</v>
          </cell>
          <cell r="F11">
            <v>7.7499999999999999E-2</v>
          </cell>
          <cell r="G11">
            <v>6.6500000000000004E-2</v>
          </cell>
          <cell r="H11">
            <v>6.5000000000000002E-2</v>
          </cell>
          <cell r="I11">
            <v>7.4999999999999997E-2</v>
          </cell>
          <cell r="J11">
            <v>7.0000000000000007E-2</v>
          </cell>
          <cell r="K11">
            <v>3.4000000000000002E-2</v>
          </cell>
          <cell r="L11">
            <v>0.03</v>
          </cell>
          <cell r="M11">
            <v>0.03</v>
          </cell>
          <cell r="N11">
            <v>1</v>
          </cell>
          <cell r="O11">
            <v>6</v>
          </cell>
          <cell r="P11">
            <v>2.8</v>
          </cell>
        </row>
        <row r="12">
          <cell r="A12" t="str">
            <v>Net Leased Investments C</v>
          </cell>
          <cell r="B12">
            <v>0.06</v>
          </cell>
          <cell r="C12">
            <v>8.2500000000000004E-2</v>
          </cell>
          <cell r="D12">
            <v>6.9583333333333303E-2</v>
          </cell>
          <cell r="E12">
            <v>7.0000000000000007E-2</v>
          </cell>
          <cell r="F12">
            <v>8.2500000000000004E-2</v>
          </cell>
          <cell r="G12">
            <v>7.5499999999999998E-2</v>
          </cell>
          <cell r="H12">
            <v>7.4999999999999997E-2</v>
          </cell>
          <cell r="I12">
            <v>8.5000000000000006E-2</v>
          </cell>
          <cell r="J12">
            <v>0.08</v>
          </cell>
          <cell r="K12">
            <v>3.4000000000000002E-2</v>
          </cell>
          <cell r="L12">
            <v>0.03</v>
          </cell>
          <cell r="M12">
            <v>0.03</v>
          </cell>
          <cell r="N12">
            <v>1</v>
          </cell>
          <cell r="O12">
            <v>6</v>
          </cell>
          <cell r="P12">
            <v>4.2</v>
          </cell>
        </row>
        <row r="13">
          <cell r="A13" t="str">
            <v>Business Parks A</v>
          </cell>
          <cell r="B13">
            <v>5.2499999999999998E-2</v>
          </cell>
          <cell r="C13">
            <v>6.7500000000000004E-2</v>
          </cell>
          <cell r="D13">
            <v>0.06</v>
          </cell>
          <cell r="E13">
            <v>6.5000000000000002E-2</v>
          </cell>
          <cell r="F13">
            <v>7.0000000000000007E-2</v>
          </cell>
          <cell r="G13">
            <v>6.7916666666666695E-2</v>
          </cell>
          <cell r="H13">
            <v>7.4999999999999997E-2</v>
          </cell>
          <cell r="I13">
            <v>8.7499999999999994E-2</v>
          </cell>
          <cell r="J13">
            <v>7.9166666666666705E-2</v>
          </cell>
          <cell r="K13">
            <v>3.6333333333333301E-2</v>
          </cell>
          <cell r="L13">
            <v>0.03</v>
          </cell>
          <cell r="M13">
            <v>0.03</v>
          </cell>
          <cell r="N13">
            <v>1</v>
          </cell>
          <cell r="O13">
            <v>6</v>
          </cell>
          <cell r="P13">
            <v>5</v>
          </cell>
        </row>
        <row r="14">
          <cell r="A14" t="str">
            <v>Business Parks B</v>
          </cell>
          <cell r="B14">
            <v>5.7500000000000002E-2</v>
          </cell>
          <cell r="C14">
            <v>7.2499999999999995E-2</v>
          </cell>
          <cell r="D14">
            <v>6.7000000000000004E-2</v>
          </cell>
          <cell r="E14">
            <v>7.0000000000000007E-2</v>
          </cell>
          <cell r="F14">
            <v>0.08</v>
          </cell>
          <cell r="G14">
            <v>7.4499999999999997E-2</v>
          </cell>
          <cell r="H14">
            <v>0.08</v>
          </cell>
          <cell r="I14">
            <v>9.2499999999999999E-2</v>
          </cell>
          <cell r="J14">
            <v>8.5500000000000007E-2</v>
          </cell>
          <cell r="K14">
            <v>3.4000000000000002E-2</v>
          </cell>
          <cell r="L14">
            <v>0.03</v>
          </cell>
          <cell r="M14">
            <v>0.03</v>
          </cell>
          <cell r="N14">
            <v>1</v>
          </cell>
          <cell r="O14">
            <v>6</v>
          </cell>
          <cell r="P14">
            <v>4.75</v>
          </cell>
        </row>
        <row r="15">
          <cell r="A15" t="str">
            <v>Business Parks C</v>
          </cell>
          <cell r="B15">
            <v>7.0000000000000007E-2</v>
          </cell>
          <cell r="C15">
            <v>8.7499999999999994E-2</v>
          </cell>
          <cell r="D15">
            <v>7.9375000000000001E-2</v>
          </cell>
          <cell r="E15">
            <v>7.4999999999999997E-2</v>
          </cell>
          <cell r="F15">
            <v>0.09</v>
          </cell>
          <cell r="G15">
            <v>8.5000000000000006E-2</v>
          </cell>
          <cell r="H15">
            <v>0.08</v>
          </cell>
          <cell r="I15">
            <v>0.1075</v>
          </cell>
          <cell r="J15">
            <v>9.4375000000000001E-2</v>
          </cell>
          <cell r="K15">
            <v>3.3500000000000002E-2</v>
          </cell>
          <cell r="L15">
            <v>0.03</v>
          </cell>
          <cell r="M15">
            <v>0.03</v>
          </cell>
          <cell r="N15">
            <v>2</v>
          </cell>
          <cell r="O15">
            <v>9</v>
          </cell>
          <cell r="P15">
            <v>6.666666666666667</v>
          </cell>
        </row>
        <row r="16">
          <cell r="A16" t="str">
            <v>Industrial R&amp;D A</v>
          </cell>
          <cell r="B16">
            <v>5.2499999999999998E-2</v>
          </cell>
          <cell r="C16">
            <v>7.4999999999999997E-2</v>
          </cell>
          <cell r="D16">
            <v>6.5777777777777796E-2</v>
          </cell>
          <cell r="E16">
            <v>6.5000000000000002E-2</v>
          </cell>
          <cell r="F16">
            <v>8.5000000000000006E-2</v>
          </cell>
          <cell r="G16">
            <v>7.3833333333333306E-2</v>
          </cell>
          <cell r="H16">
            <v>7.4999999999999997E-2</v>
          </cell>
          <cell r="I16">
            <v>0.09</v>
          </cell>
          <cell r="J16">
            <v>8.2142857142857101E-2</v>
          </cell>
          <cell r="K16">
            <v>3.2875000000000001E-2</v>
          </cell>
          <cell r="L16">
            <v>2.9374999999999998E-2</v>
          </cell>
          <cell r="M16">
            <v>2.8750000000000001E-2</v>
          </cell>
          <cell r="N16">
            <v>1</v>
          </cell>
          <cell r="O16">
            <v>9</v>
          </cell>
          <cell r="P16">
            <v>6.166666666666667</v>
          </cell>
        </row>
        <row r="17">
          <cell r="A17" t="str">
            <v>Industrial R&amp;D B</v>
          </cell>
          <cell r="B17">
            <v>7.0000000000000007E-2</v>
          </cell>
          <cell r="C17">
            <v>8.5000000000000006E-2</v>
          </cell>
          <cell r="D17">
            <v>7.5999999999999998E-2</v>
          </cell>
          <cell r="E17">
            <v>7.6999999999999999E-2</v>
          </cell>
          <cell r="F17">
            <v>0.09</v>
          </cell>
          <cell r="G17">
            <v>8.1714285714285698E-2</v>
          </cell>
          <cell r="H17">
            <v>8.5000000000000006E-2</v>
          </cell>
          <cell r="I17">
            <v>9.5000000000000001E-2</v>
          </cell>
          <cell r="J17">
            <v>9.0999999999999998E-2</v>
          </cell>
          <cell r="K17">
            <v>3.0333333333333299E-2</v>
          </cell>
          <cell r="L17">
            <v>2.9166666666666698E-2</v>
          </cell>
          <cell r="M17">
            <v>2.8333333333333301E-2</v>
          </cell>
          <cell r="N17">
            <v>1</v>
          </cell>
          <cell r="O17">
            <v>9</v>
          </cell>
          <cell r="P17">
            <v>6.25</v>
          </cell>
        </row>
        <row r="18">
          <cell r="A18" t="str">
            <v>Industrial R&amp;D C</v>
          </cell>
          <cell r="B18">
            <v>0.08</v>
          </cell>
          <cell r="C18">
            <v>0.1</v>
          </cell>
          <cell r="D18">
            <v>8.77857142857143E-2</v>
          </cell>
          <cell r="E18">
            <v>8.6999999999999994E-2</v>
          </cell>
          <cell r="F18">
            <v>0.11</v>
          </cell>
          <cell r="G18">
            <v>9.4571428571428598E-2</v>
          </cell>
          <cell r="H18">
            <v>0.09</v>
          </cell>
          <cell r="I18">
            <v>0.12</v>
          </cell>
          <cell r="J18">
            <v>0.104</v>
          </cell>
          <cell r="K18">
            <v>2.9166666666666698E-2</v>
          </cell>
          <cell r="L18">
            <v>2.9166666666666698E-2</v>
          </cell>
          <cell r="M18">
            <v>2.8333333333333301E-2</v>
          </cell>
          <cell r="N18">
            <v>2</v>
          </cell>
          <cell r="O18">
            <v>12</v>
          </cell>
          <cell r="P18">
            <v>8</v>
          </cell>
        </row>
        <row r="19">
          <cell r="A19" t="str">
            <v>Self Storage A</v>
          </cell>
          <cell r="B19">
            <v>6.5000000000000002E-2</v>
          </cell>
          <cell r="C19">
            <v>7.4999999999999997E-2</v>
          </cell>
          <cell r="D19">
            <v>7.0000000000000007E-2</v>
          </cell>
          <cell r="E19">
            <v>7.0000000000000007E-2</v>
          </cell>
          <cell r="F19">
            <v>8.5000000000000006E-2</v>
          </cell>
          <cell r="G19">
            <v>7.5833333333333294E-2</v>
          </cell>
          <cell r="H19">
            <v>8.5000000000000006E-2</v>
          </cell>
          <cell r="I19">
            <v>0.09</v>
          </cell>
          <cell r="J19">
            <v>8.7999999999999995E-2</v>
          </cell>
          <cell r="K19">
            <v>2.9166666666666698E-2</v>
          </cell>
          <cell r="L19">
            <v>2.9166666666666698E-2</v>
          </cell>
          <cell r="M19">
            <v>2.9166666666666698E-2</v>
          </cell>
          <cell r="N19">
            <v>3</v>
          </cell>
          <cell r="O19">
            <v>12</v>
          </cell>
          <cell r="P19">
            <v>7</v>
          </cell>
        </row>
        <row r="20">
          <cell r="A20" t="str">
            <v>Self Storage B</v>
          </cell>
          <cell r="B20">
            <v>7.0000000000000007E-2</v>
          </cell>
          <cell r="C20">
            <v>8.5000000000000006E-2</v>
          </cell>
          <cell r="D20">
            <v>7.5937500000000005E-2</v>
          </cell>
          <cell r="E20">
            <v>7.7499999999999999E-2</v>
          </cell>
          <cell r="F20">
            <v>0.09</v>
          </cell>
          <cell r="G20">
            <v>8.2857142857142893E-2</v>
          </cell>
          <cell r="H20">
            <v>8.7499999999999994E-2</v>
          </cell>
          <cell r="I20">
            <v>9.7500000000000003E-2</v>
          </cell>
          <cell r="J20">
            <v>9.1999999999999998E-2</v>
          </cell>
          <cell r="K20">
            <v>3.0833333333333299E-2</v>
          </cell>
          <cell r="L20">
            <v>2.9166666666666698E-2</v>
          </cell>
          <cell r="M20">
            <v>2.9166666666666698E-2</v>
          </cell>
          <cell r="N20">
            <v>1</v>
          </cell>
          <cell r="O20">
            <v>12</v>
          </cell>
          <cell r="P20">
            <v>6.5714285714285712</v>
          </cell>
        </row>
        <row r="21">
          <cell r="A21" t="str">
            <v>Self Storage C</v>
          </cell>
          <cell r="B21">
            <v>7.0000000000000007E-2</v>
          </cell>
          <cell r="C21">
            <v>0.09</v>
          </cell>
          <cell r="D21">
            <v>8.2142857142857101E-2</v>
          </cell>
          <cell r="E21">
            <v>0.08</v>
          </cell>
          <cell r="F21">
            <v>0.1</v>
          </cell>
          <cell r="G21">
            <v>8.9285714285714302E-2</v>
          </cell>
          <cell r="H21">
            <v>0.09</v>
          </cell>
          <cell r="I21">
            <v>0.1075</v>
          </cell>
          <cell r="J21">
            <v>9.8000000000000004E-2</v>
          </cell>
          <cell r="K21">
            <v>3.0833333333333299E-2</v>
          </cell>
          <cell r="L21">
            <v>2.9166666666666698E-2</v>
          </cell>
          <cell r="M21">
            <v>2.9166666666666698E-2</v>
          </cell>
          <cell r="N21">
            <v>2</v>
          </cell>
          <cell r="O21">
            <v>12</v>
          </cell>
          <cell r="P21">
            <v>6.833333333333333</v>
          </cell>
        </row>
        <row r="22">
          <cell r="A22" t="str">
            <v>Warehouse/Distribution A</v>
          </cell>
          <cell r="B22">
            <v>0.05</v>
          </cell>
          <cell r="C22">
            <v>7.4999999999999997E-2</v>
          </cell>
          <cell r="D22">
            <v>6.1785714285714298E-2</v>
          </cell>
          <cell r="E22">
            <v>0.06</v>
          </cell>
          <cell r="F22">
            <v>8.7499999999999994E-2</v>
          </cell>
          <cell r="G22">
            <v>6.9642857142857104E-2</v>
          </cell>
          <cell r="H22">
            <v>6.25E-2</v>
          </cell>
          <cell r="I22">
            <v>0.09</v>
          </cell>
          <cell r="J22">
            <v>7.6833333333333295E-2</v>
          </cell>
          <cell r="K22">
            <v>3.06153846153846E-2</v>
          </cell>
          <cell r="L22">
            <v>2.73076923076923E-2</v>
          </cell>
          <cell r="M22">
            <v>2.69230769230769E-2</v>
          </cell>
          <cell r="N22">
            <v>1</v>
          </cell>
          <cell r="O22">
            <v>12</v>
          </cell>
          <cell r="P22">
            <v>7.1818181818181817</v>
          </cell>
        </row>
        <row r="23">
          <cell r="A23" t="str">
            <v>Warehouse/Distribution B</v>
          </cell>
          <cell r="B23">
            <v>0.06</v>
          </cell>
          <cell r="C23">
            <v>0.08</v>
          </cell>
          <cell r="D23">
            <v>7.1999999999999995E-2</v>
          </cell>
          <cell r="E23">
            <v>6.7500000000000004E-2</v>
          </cell>
          <cell r="F23">
            <v>0.09</v>
          </cell>
          <cell r="G23">
            <v>7.7499999999999999E-2</v>
          </cell>
          <cell r="H23">
            <v>7.7499999999999999E-2</v>
          </cell>
          <cell r="I23">
            <v>9.5000000000000001E-2</v>
          </cell>
          <cell r="J23">
            <v>8.7857142857142898E-2</v>
          </cell>
          <cell r="K23">
            <v>2.5000000000000001E-2</v>
          </cell>
          <cell r="L23">
            <v>2.6111111111111099E-2</v>
          </cell>
          <cell r="M23">
            <v>2.5555555555555599E-2</v>
          </cell>
          <cell r="N23">
            <v>6</v>
          </cell>
          <cell r="O23">
            <v>12</v>
          </cell>
          <cell r="P23">
            <v>8.1428571428571423</v>
          </cell>
        </row>
        <row r="24">
          <cell r="A24" t="str">
            <v>Warehouse/Distribution C</v>
          </cell>
          <cell r="B24">
            <v>0.08</v>
          </cell>
          <cell r="C24">
            <v>0.1</v>
          </cell>
          <cell r="D24">
            <v>8.7916666666666698E-2</v>
          </cell>
          <cell r="E24">
            <v>8.5000000000000006E-2</v>
          </cell>
          <cell r="F24">
            <v>0.105</v>
          </cell>
          <cell r="G24">
            <v>9.2916666666666703E-2</v>
          </cell>
          <cell r="H24">
            <v>0.09</v>
          </cell>
          <cell r="I24">
            <v>0.11</v>
          </cell>
          <cell r="J24">
            <v>0.10187499999999999</v>
          </cell>
          <cell r="K24">
            <v>2.5000000000000001E-2</v>
          </cell>
          <cell r="L24">
            <v>2.9000000000000001E-2</v>
          </cell>
          <cell r="M24">
            <v>2.8000000000000001E-2</v>
          </cell>
          <cell r="N24">
            <v>6</v>
          </cell>
          <cell r="O24">
            <v>12</v>
          </cell>
          <cell r="P24">
            <v>10</v>
          </cell>
        </row>
        <row r="25">
          <cell r="A25" t="str">
            <v>Suburban Office A</v>
          </cell>
          <cell r="B25">
            <v>4.7500000000000001E-2</v>
          </cell>
          <cell r="C25">
            <v>7.7499999999999999E-2</v>
          </cell>
          <cell r="D25">
            <v>6.3039999999999999E-2</v>
          </cell>
          <cell r="E25">
            <v>0.06</v>
          </cell>
          <cell r="F25">
            <v>0.09</v>
          </cell>
          <cell r="G25">
            <v>7.2620000000000004E-2</v>
          </cell>
          <cell r="H25">
            <v>7.0000000000000007E-2</v>
          </cell>
          <cell r="I25">
            <v>0.11</v>
          </cell>
          <cell r="J25">
            <v>8.3673913043478307E-2</v>
          </cell>
          <cell r="K25">
            <v>3.3250000000000002E-2</v>
          </cell>
          <cell r="L25">
            <v>2.9374999999999998E-2</v>
          </cell>
          <cell r="M25">
            <v>2.9166666666666698E-2</v>
          </cell>
          <cell r="N25">
            <v>1</v>
          </cell>
          <cell r="O25">
            <v>12</v>
          </cell>
          <cell r="P25">
            <v>6.1818181818181817</v>
          </cell>
        </row>
        <row r="26">
          <cell r="A26" t="str">
            <v>Suburban Office B</v>
          </cell>
          <cell r="B26">
            <v>0.06</v>
          </cell>
          <cell r="C26">
            <v>8.5000000000000006E-2</v>
          </cell>
          <cell r="D26">
            <v>7.0906250000000004E-2</v>
          </cell>
          <cell r="E26">
            <v>6.7500000000000004E-2</v>
          </cell>
          <cell r="F26">
            <v>9.2499999999999999E-2</v>
          </cell>
          <cell r="G26">
            <v>7.8750000000000001E-2</v>
          </cell>
          <cell r="H26">
            <v>7.4999999999999997E-2</v>
          </cell>
          <cell r="I26">
            <v>0.11</v>
          </cell>
          <cell r="J26">
            <v>0.09</v>
          </cell>
          <cell r="K26">
            <v>0.03</v>
          </cell>
          <cell r="L26">
            <v>2.9000000000000001E-2</v>
          </cell>
          <cell r="M26">
            <v>2.8666666666666701E-2</v>
          </cell>
          <cell r="N26">
            <v>1</v>
          </cell>
          <cell r="O26">
            <v>12</v>
          </cell>
          <cell r="P26">
            <v>6.5384615384615383</v>
          </cell>
        </row>
        <row r="27">
          <cell r="A27" t="str">
            <v>Suburban Office C</v>
          </cell>
          <cell r="B27">
            <v>7.0000000000000007E-2</v>
          </cell>
          <cell r="C27">
            <v>9.2499999999999999E-2</v>
          </cell>
          <cell r="D27">
            <v>8.1785714285714295E-2</v>
          </cell>
          <cell r="E27">
            <v>7.4999999999999997E-2</v>
          </cell>
          <cell r="F27">
            <v>0.10249999999999999</v>
          </cell>
          <cell r="G27">
            <v>8.9285714285714302E-2</v>
          </cell>
          <cell r="H27">
            <v>0.08</v>
          </cell>
          <cell r="I27">
            <v>0.11</v>
          </cell>
          <cell r="J27">
            <v>9.6000000000000002E-2</v>
          </cell>
          <cell r="K27">
            <v>3.2000000000000001E-2</v>
          </cell>
          <cell r="L27">
            <v>2.9166666666666698E-2</v>
          </cell>
          <cell r="M27">
            <v>2.9166666666666698E-2</v>
          </cell>
          <cell r="N27">
            <v>2</v>
          </cell>
          <cell r="O27">
            <v>9</v>
          </cell>
          <cell r="P27">
            <v>5.8</v>
          </cell>
        </row>
        <row r="28">
          <cell r="A28" t="str">
            <v>Urban Office A</v>
          </cell>
          <cell r="B28">
            <v>4.4999999999999998E-2</v>
          </cell>
          <cell r="C28">
            <v>7.4999999999999997E-2</v>
          </cell>
          <cell r="D28">
            <v>5.7847826086956503E-2</v>
          </cell>
          <cell r="E28">
            <v>5.5E-2</v>
          </cell>
          <cell r="F28">
            <v>8.5000000000000006E-2</v>
          </cell>
          <cell r="G28">
            <v>6.75869565217391E-2</v>
          </cell>
          <cell r="H28">
            <v>0.06</v>
          </cell>
          <cell r="I28">
            <v>8.7499999999999994E-2</v>
          </cell>
          <cell r="J28">
            <v>7.5714285714285706E-2</v>
          </cell>
          <cell r="K28">
            <v>3.6181818181818197E-2</v>
          </cell>
          <cell r="L28">
            <v>2.9772727272727301E-2</v>
          </cell>
          <cell r="M28">
            <v>2.9318181818181799E-2</v>
          </cell>
          <cell r="N28">
            <v>1</v>
          </cell>
          <cell r="O28">
            <v>12</v>
          </cell>
          <cell r="P28">
            <v>5.7222222222222223</v>
          </cell>
        </row>
        <row r="29">
          <cell r="A29" t="str">
            <v>Urban Office B</v>
          </cell>
          <cell r="B29">
            <v>5.5E-2</v>
          </cell>
          <cell r="C29">
            <v>0.08</v>
          </cell>
          <cell r="D29">
            <v>6.5566666666666704E-2</v>
          </cell>
          <cell r="E29">
            <v>0.06</v>
          </cell>
          <cell r="F29">
            <v>0.09</v>
          </cell>
          <cell r="G29">
            <v>7.41666666666667E-2</v>
          </cell>
          <cell r="H29">
            <v>7.0000000000000007E-2</v>
          </cell>
          <cell r="I29">
            <v>0.09</v>
          </cell>
          <cell r="J29">
            <v>8.0576923076923102E-2</v>
          </cell>
          <cell r="K29">
            <v>3.3642857142857099E-2</v>
          </cell>
          <cell r="L29">
            <v>2.9642857142857099E-2</v>
          </cell>
          <cell r="M29">
            <v>2.8928571428571401E-2</v>
          </cell>
          <cell r="N29">
            <v>2</v>
          </cell>
          <cell r="O29">
            <v>12</v>
          </cell>
          <cell r="P29">
            <v>5.75</v>
          </cell>
        </row>
        <row r="30">
          <cell r="A30" t="str">
            <v>Urban Office C</v>
          </cell>
          <cell r="B30">
            <v>6.5000000000000002E-2</v>
          </cell>
          <cell r="C30">
            <v>0.1</v>
          </cell>
          <cell r="D30">
            <v>8.20833333333333E-2</v>
          </cell>
          <cell r="E30">
            <v>7.4999999999999997E-2</v>
          </cell>
          <cell r="F30">
            <v>0.105</v>
          </cell>
          <cell r="G30">
            <v>0.09</v>
          </cell>
          <cell r="H30">
            <v>8.5000000000000006E-2</v>
          </cell>
          <cell r="I30">
            <v>0.1075</v>
          </cell>
          <cell r="J30">
            <v>9.5625000000000002E-2</v>
          </cell>
          <cell r="K30">
            <v>3.4000000000000002E-2</v>
          </cell>
          <cell r="L30">
            <v>2.9000000000000001E-2</v>
          </cell>
          <cell r="M30">
            <v>2.9000000000000001E-2</v>
          </cell>
          <cell r="N30">
            <v>2</v>
          </cell>
          <cell r="O30">
            <v>6</v>
          </cell>
          <cell r="P30">
            <v>5</v>
          </cell>
        </row>
        <row r="31">
          <cell r="A31" t="str">
            <v>Regional Malls A</v>
          </cell>
          <cell r="B31">
            <v>0.05</v>
          </cell>
          <cell r="C31">
            <v>8.5000000000000006E-2</v>
          </cell>
          <cell r="D31">
            <v>6.2649999999999997E-2</v>
          </cell>
          <cell r="E31">
            <v>0.06</v>
          </cell>
          <cell r="F31">
            <v>0.09</v>
          </cell>
          <cell r="G31">
            <v>6.9250000000000006E-2</v>
          </cell>
          <cell r="H31">
            <v>6.5000000000000002E-2</v>
          </cell>
          <cell r="I31">
            <v>0.09</v>
          </cell>
          <cell r="J31">
            <v>7.6749999999999999E-2</v>
          </cell>
          <cell r="K31">
            <v>3.3444444444444402E-2</v>
          </cell>
          <cell r="L31">
            <v>2.9444444444444402E-2</v>
          </cell>
          <cell r="M31">
            <v>2.8888888888888901E-2</v>
          </cell>
          <cell r="N31">
            <v>1</v>
          </cell>
          <cell r="O31">
            <v>12</v>
          </cell>
          <cell r="P31">
            <v>6.5</v>
          </cell>
        </row>
        <row r="32">
          <cell r="A32" t="str">
            <v>Regional Malls B</v>
          </cell>
          <cell r="B32">
            <v>0.06</v>
          </cell>
          <cell r="C32">
            <v>8.2500000000000004E-2</v>
          </cell>
          <cell r="D32">
            <v>6.7916666666666695E-2</v>
          </cell>
          <cell r="E32">
            <v>6.7500000000000004E-2</v>
          </cell>
          <cell r="F32">
            <v>8.5000000000000006E-2</v>
          </cell>
          <cell r="G32">
            <v>7.41666666666667E-2</v>
          </cell>
          <cell r="H32">
            <v>7.4999999999999997E-2</v>
          </cell>
          <cell r="I32">
            <v>8.6999999999999994E-2</v>
          </cell>
          <cell r="J32">
            <v>8.1125000000000003E-2</v>
          </cell>
          <cell r="K32">
            <v>3.04E-2</v>
          </cell>
          <cell r="L32">
            <v>2.9000000000000001E-2</v>
          </cell>
          <cell r="M32">
            <v>2.8000000000000001E-2</v>
          </cell>
          <cell r="N32">
            <v>1</v>
          </cell>
          <cell r="O32">
            <v>6</v>
          </cell>
          <cell r="P32">
            <v>4.75</v>
          </cell>
        </row>
        <row r="33">
          <cell r="A33" t="str">
            <v>Regional Malls C</v>
          </cell>
          <cell r="B33">
            <v>7.0000000000000007E-2</v>
          </cell>
          <cell r="C33">
            <v>8.5000000000000006E-2</v>
          </cell>
          <cell r="D33">
            <v>7.6666666666666702E-2</v>
          </cell>
          <cell r="E33">
            <v>7.4999999999999997E-2</v>
          </cell>
          <cell r="F33">
            <v>0.09</v>
          </cell>
          <cell r="G33">
            <v>8.2916666666666694E-2</v>
          </cell>
          <cell r="H33">
            <v>0.08</v>
          </cell>
          <cell r="I33">
            <v>0.09</v>
          </cell>
          <cell r="J33">
            <v>8.7499999999999994E-2</v>
          </cell>
          <cell r="K33">
            <v>2.8199999999999999E-2</v>
          </cell>
          <cell r="L33">
            <v>2.9000000000000001E-2</v>
          </cell>
          <cell r="M33">
            <v>2.8000000000000001E-2</v>
          </cell>
          <cell r="N33">
            <v>2</v>
          </cell>
          <cell r="O33">
            <v>9</v>
          </cell>
          <cell r="P33">
            <v>6.5</v>
          </cell>
        </row>
        <row r="34">
          <cell r="A34" t="str">
            <v>Power Centers A</v>
          </cell>
          <cell r="B34">
            <v>5.5E-2</v>
          </cell>
          <cell r="C34">
            <v>7.7499999999999999E-2</v>
          </cell>
          <cell r="D34">
            <v>6.3899999999999998E-2</v>
          </cell>
          <cell r="E34">
            <v>6.25E-2</v>
          </cell>
          <cell r="F34">
            <v>0.08</v>
          </cell>
          <cell r="G34">
            <v>7.0000000000000007E-2</v>
          </cell>
          <cell r="H34">
            <v>7.0000000000000007E-2</v>
          </cell>
          <cell r="I34">
            <v>8.7499999999999994E-2</v>
          </cell>
          <cell r="J34">
            <v>7.7785714285714305E-2</v>
          </cell>
          <cell r="K34">
            <v>3.2444444444444401E-2</v>
          </cell>
          <cell r="L34">
            <v>2.9444444444444402E-2</v>
          </cell>
          <cell r="M34">
            <v>2.8888888888888901E-2</v>
          </cell>
          <cell r="N34">
            <v>1</v>
          </cell>
          <cell r="O34">
            <v>6</v>
          </cell>
          <cell r="P34">
            <v>4.5714285714285712</v>
          </cell>
        </row>
        <row r="35">
          <cell r="A35" t="str">
            <v>Power Centers B</v>
          </cell>
          <cell r="B35">
            <v>6.25E-2</v>
          </cell>
          <cell r="C35">
            <v>0.08</v>
          </cell>
          <cell r="D35">
            <v>7.0833333333333304E-2</v>
          </cell>
          <cell r="E35">
            <v>6.7500000000000004E-2</v>
          </cell>
          <cell r="F35">
            <v>8.5000000000000006E-2</v>
          </cell>
          <cell r="G35">
            <v>7.5937500000000005E-2</v>
          </cell>
          <cell r="H35">
            <v>0.08</v>
          </cell>
          <cell r="I35">
            <v>9.2499999999999999E-2</v>
          </cell>
          <cell r="J35">
            <v>8.6400000000000005E-2</v>
          </cell>
          <cell r="K35">
            <v>3.0249999999999999E-2</v>
          </cell>
          <cell r="L35">
            <v>2.9374999999999998E-2</v>
          </cell>
          <cell r="M35">
            <v>2.8750000000000001E-2</v>
          </cell>
          <cell r="N35">
            <v>1</v>
          </cell>
          <cell r="O35">
            <v>6</v>
          </cell>
          <cell r="P35">
            <v>4.333333333333333</v>
          </cell>
        </row>
        <row r="36">
          <cell r="A36" t="str">
            <v>Power Centers C</v>
          </cell>
          <cell r="B36">
            <v>7.0000000000000007E-2</v>
          </cell>
          <cell r="C36">
            <v>0.09</v>
          </cell>
          <cell r="D36">
            <v>8.1562499999999996E-2</v>
          </cell>
          <cell r="E36">
            <v>7.4999999999999997E-2</v>
          </cell>
          <cell r="F36">
            <v>9.5000000000000001E-2</v>
          </cell>
          <cell r="G36">
            <v>8.7142857142857105E-2</v>
          </cell>
          <cell r="H36">
            <v>0.08</v>
          </cell>
          <cell r="I36">
            <v>0.1075</v>
          </cell>
          <cell r="J36">
            <v>9.35E-2</v>
          </cell>
          <cell r="K36">
            <v>2.8142857142857101E-2</v>
          </cell>
          <cell r="L36">
            <v>2.92857142857143E-2</v>
          </cell>
          <cell r="M36">
            <v>2.8571428571428598E-2</v>
          </cell>
          <cell r="N36">
            <v>1</v>
          </cell>
          <cell r="O36">
            <v>9</v>
          </cell>
          <cell r="P36">
            <v>5.4</v>
          </cell>
        </row>
        <row r="37">
          <cell r="A37" t="str">
            <v>Community Centers A</v>
          </cell>
          <cell r="B37">
            <v>0.06</v>
          </cell>
          <cell r="C37">
            <v>0.08</v>
          </cell>
          <cell r="D37">
            <v>6.7076923076923103E-2</v>
          </cell>
          <cell r="E37">
            <v>6.5000000000000002E-2</v>
          </cell>
          <cell r="F37">
            <v>8.5000000000000006E-2</v>
          </cell>
          <cell r="G37">
            <v>7.2208333333333305E-2</v>
          </cell>
          <cell r="H37">
            <v>7.0000000000000007E-2</v>
          </cell>
          <cell r="I37">
            <v>0.09</v>
          </cell>
          <cell r="J37">
            <v>7.9450000000000007E-2</v>
          </cell>
          <cell r="K37">
            <v>3.0583333333333299E-2</v>
          </cell>
          <cell r="L37">
            <v>2.9583333333333298E-2</v>
          </cell>
          <cell r="M37">
            <v>2.9166666666666698E-2</v>
          </cell>
          <cell r="N37">
            <v>1</v>
          </cell>
          <cell r="O37">
            <v>12</v>
          </cell>
          <cell r="P37">
            <v>6.4</v>
          </cell>
        </row>
        <row r="38">
          <cell r="A38" t="str">
            <v>Community Centers B</v>
          </cell>
          <cell r="B38">
            <v>6.5000000000000002E-2</v>
          </cell>
          <cell r="C38">
            <v>7.4999999999999997E-2</v>
          </cell>
          <cell r="D38">
            <v>7.0777777777777801E-2</v>
          </cell>
          <cell r="E38">
            <v>7.0000000000000007E-2</v>
          </cell>
          <cell r="F38">
            <v>8.5000000000000006E-2</v>
          </cell>
          <cell r="G38">
            <v>7.6187500000000005E-2</v>
          </cell>
          <cell r="H38">
            <v>7.7499999999999999E-2</v>
          </cell>
          <cell r="I38">
            <v>9.5000000000000001E-2</v>
          </cell>
          <cell r="J38">
            <v>8.5357142857142895E-2</v>
          </cell>
          <cell r="K38">
            <v>3.0222222222222199E-2</v>
          </cell>
          <cell r="L38">
            <v>2.9444444444444402E-2</v>
          </cell>
          <cell r="M38">
            <v>2.8888888888888901E-2</v>
          </cell>
          <cell r="N38">
            <v>1</v>
          </cell>
          <cell r="O38">
            <v>6</v>
          </cell>
          <cell r="P38">
            <v>4.8571428571428568</v>
          </cell>
        </row>
        <row r="39">
          <cell r="A39" t="str">
            <v>Community Centers C</v>
          </cell>
          <cell r="B39">
            <v>7.6999999999999999E-2</v>
          </cell>
          <cell r="C39">
            <v>9.2499999999999999E-2</v>
          </cell>
          <cell r="D39">
            <v>8.5999999999999993E-2</v>
          </cell>
          <cell r="E39">
            <v>8.2000000000000003E-2</v>
          </cell>
          <cell r="F39">
            <v>0.1</v>
          </cell>
          <cell r="G39">
            <v>9.325E-2</v>
          </cell>
          <cell r="H39">
            <v>9.5000000000000001E-2</v>
          </cell>
          <cell r="I39">
            <v>0.11</v>
          </cell>
          <cell r="J39">
            <v>0.1</v>
          </cell>
          <cell r="K39">
            <v>2.75E-2</v>
          </cell>
          <cell r="L39">
            <v>2.9166666666666698E-2</v>
          </cell>
          <cell r="M39">
            <v>2.8333333333333301E-2</v>
          </cell>
          <cell r="N39">
            <v>2</v>
          </cell>
          <cell r="O39">
            <v>9</v>
          </cell>
          <cell r="P39">
            <v>5.25</v>
          </cell>
        </row>
        <row r="40">
          <cell r="A40" t="str">
            <v>Neighborhood Centers A</v>
          </cell>
          <cell r="B40">
            <v>5.2499999999999998E-2</v>
          </cell>
          <cell r="C40">
            <v>7.4999999999999997E-2</v>
          </cell>
          <cell r="D40">
            <v>6.3785714285714307E-2</v>
          </cell>
          <cell r="E40">
            <v>6.5000000000000002E-2</v>
          </cell>
          <cell r="F40">
            <v>7.7499999999999999E-2</v>
          </cell>
          <cell r="G40">
            <v>6.9653846153846205E-2</v>
          </cell>
          <cell r="H40">
            <v>6.7500000000000004E-2</v>
          </cell>
          <cell r="I40">
            <v>9.5000000000000001E-2</v>
          </cell>
          <cell r="J40">
            <v>7.9000000000000001E-2</v>
          </cell>
          <cell r="K40">
            <v>2.9428571428571401E-2</v>
          </cell>
          <cell r="L40">
            <v>2.9642857142857099E-2</v>
          </cell>
          <cell r="M40">
            <v>2.92857142857143E-2</v>
          </cell>
          <cell r="N40">
            <v>1</v>
          </cell>
          <cell r="O40">
            <v>12</v>
          </cell>
          <cell r="P40">
            <v>6.2</v>
          </cell>
        </row>
        <row r="41">
          <cell r="A41" t="str">
            <v>Neighborhood Centers B</v>
          </cell>
          <cell r="B41">
            <v>7.0000000000000007E-2</v>
          </cell>
          <cell r="C41">
            <v>8.2500000000000004E-2</v>
          </cell>
          <cell r="D41">
            <v>7.4749999999999997E-2</v>
          </cell>
          <cell r="E41">
            <v>7.4999999999999997E-2</v>
          </cell>
          <cell r="F41">
            <v>8.7499999999999994E-2</v>
          </cell>
          <cell r="G41">
            <v>8.0277777777777795E-2</v>
          </cell>
          <cell r="H41">
            <v>0.08</v>
          </cell>
          <cell r="I41">
            <v>0.1075</v>
          </cell>
          <cell r="J41">
            <v>9.0999999999999998E-2</v>
          </cell>
          <cell r="K41">
            <v>2.65555555555556E-2</v>
          </cell>
          <cell r="L41">
            <v>2.72222222222222E-2</v>
          </cell>
          <cell r="M41">
            <v>2.7777777777777801E-2</v>
          </cell>
          <cell r="N41">
            <v>1</v>
          </cell>
          <cell r="O41">
            <v>9</v>
          </cell>
          <cell r="P41">
            <v>5.4285714285714288</v>
          </cell>
        </row>
        <row r="42">
          <cell r="A42" t="str">
            <v>Neighborhood Centers C</v>
          </cell>
          <cell r="B42">
            <v>0.08</v>
          </cell>
          <cell r="C42">
            <v>0.1</v>
          </cell>
          <cell r="D42">
            <v>8.8214285714285703E-2</v>
          </cell>
          <cell r="E42">
            <v>8.5000000000000006E-2</v>
          </cell>
          <cell r="F42">
            <v>0.11</v>
          </cell>
          <cell r="G42">
            <v>9.5833333333333298E-2</v>
          </cell>
          <cell r="H42">
            <v>9.5000000000000001E-2</v>
          </cell>
          <cell r="I42">
            <v>0.115</v>
          </cell>
          <cell r="J42">
            <v>0.10249999999999999</v>
          </cell>
          <cell r="K42">
            <v>2.75E-2</v>
          </cell>
          <cell r="L42">
            <v>2.9166666666666698E-2</v>
          </cell>
          <cell r="M42">
            <v>2.8333333333333301E-2</v>
          </cell>
          <cell r="N42">
            <v>2</v>
          </cell>
          <cell r="O42">
            <v>9</v>
          </cell>
          <cell r="P42">
            <v>5</v>
          </cell>
        </row>
        <row r="43">
          <cell r="A43" t="str">
            <v>Strip Centers A</v>
          </cell>
          <cell r="B43">
            <v>0.06</v>
          </cell>
          <cell r="C43">
            <v>7.7499999999999999E-2</v>
          </cell>
          <cell r="D43">
            <v>6.8750000000000006E-2</v>
          </cell>
          <cell r="E43">
            <v>6.5000000000000002E-2</v>
          </cell>
          <cell r="F43">
            <v>8.7499999999999994E-2</v>
          </cell>
          <cell r="G43">
            <v>7.41666666666667E-2</v>
          </cell>
          <cell r="H43">
            <v>7.0000000000000007E-2</v>
          </cell>
          <cell r="I43">
            <v>9.5000000000000001E-2</v>
          </cell>
          <cell r="J43">
            <v>8.1562499999999996E-2</v>
          </cell>
          <cell r="K43">
            <v>2.75E-2</v>
          </cell>
          <cell r="L43">
            <v>2.9000000000000001E-2</v>
          </cell>
          <cell r="M43">
            <v>2.9000000000000001E-2</v>
          </cell>
          <cell r="N43">
            <v>1</v>
          </cell>
          <cell r="O43">
            <v>12</v>
          </cell>
          <cell r="P43">
            <v>6.7222222222222223</v>
          </cell>
        </row>
        <row r="44">
          <cell r="A44" t="str">
            <v>Strip Centers B</v>
          </cell>
          <cell r="B44">
            <v>7.0000000000000007E-2</v>
          </cell>
          <cell r="C44">
            <v>8.2500000000000004E-2</v>
          </cell>
          <cell r="D44">
            <v>7.5416666666666701E-2</v>
          </cell>
          <cell r="E44">
            <v>7.4999999999999997E-2</v>
          </cell>
          <cell r="F44">
            <v>9.2499999999999999E-2</v>
          </cell>
          <cell r="G44">
            <v>8.1500000000000003E-2</v>
          </cell>
          <cell r="H44">
            <v>0.08</v>
          </cell>
          <cell r="I44">
            <v>0.1</v>
          </cell>
          <cell r="J44">
            <v>8.8749999999999996E-2</v>
          </cell>
          <cell r="K44">
            <v>3.0833333333333299E-2</v>
          </cell>
          <cell r="L44">
            <v>2.9166666666666698E-2</v>
          </cell>
          <cell r="M44">
            <v>2.9166666666666698E-2</v>
          </cell>
          <cell r="N44">
            <v>1</v>
          </cell>
          <cell r="O44">
            <v>9</v>
          </cell>
          <cell r="P44">
            <v>5.2</v>
          </cell>
        </row>
        <row r="45">
          <cell r="A45" t="str">
            <v>Strip Centers C</v>
          </cell>
          <cell r="B45">
            <v>0.08</v>
          </cell>
          <cell r="C45">
            <v>0.1</v>
          </cell>
          <cell r="D45">
            <v>8.8214285714285703E-2</v>
          </cell>
          <cell r="E45">
            <v>8.5000000000000006E-2</v>
          </cell>
          <cell r="F45">
            <v>0.11</v>
          </cell>
          <cell r="G45">
            <v>9.5833333333333298E-2</v>
          </cell>
          <cell r="H45">
            <v>8.5000000000000006E-2</v>
          </cell>
          <cell r="I45">
            <v>0.115</v>
          </cell>
          <cell r="J45">
            <v>9.8750000000000004E-2</v>
          </cell>
          <cell r="K45">
            <v>3.0833333333333299E-2</v>
          </cell>
          <cell r="L45">
            <v>2.9166666666666698E-2</v>
          </cell>
          <cell r="M45">
            <v>2.9166666666666698E-2</v>
          </cell>
          <cell r="N45">
            <v>2</v>
          </cell>
          <cell r="O45">
            <v>12</v>
          </cell>
          <cell r="P45">
            <v>7</v>
          </cell>
        </row>
        <row r="46">
          <cell r="A46" t="str">
            <v>Hotels A</v>
          </cell>
          <cell r="B46">
            <v>0.05</v>
          </cell>
          <cell r="C46">
            <v>8.5000000000000006E-2</v>
          </cell>
          <cell r="D46">
            <v>6.6875000000000004E-2</v>
          </cell>
          <cell r="E46">
            <v>5.5E-2</v>
          </cell>
          <cell r="F46">
            <v>0.1</v>
          </cell>
          <cell r="G46">
            <v>7.4749999999999997E-2</v>
          </cell>
          <cell r="H46">
            <v>0.08</v>
          </cell>
          <cell r="I46">
            <v>0.12</v>
          </cell>
          <cell r="J46">
            <v>9.9642857142857102E-2</v>
          </cell>
          <cell r="K46">
            <v>3.4866666666666699E-2</v>
          </cell>
          <cell r="L46">
            <v>2.9333333333333302E-2</v>
          </cell>
          <cell r="M46">
            <v>2.9000000000000001E-2</v>
          </cell>
          <cell r="N46">
            <v>1</v>
          </cell>
          <cell r="O46">
            <v>12</v>
          </cell>
          <cell r="P46">
            <v>6.833333333333333</v>
          </cell>
        </row>
        <row r="47">
          <cell r="A47" t="str">
            <v>Hotels B</v>
          </cell>
          <cell r="B47">
            <v>7.0000000000000007E-2</v>
          </cell>
          <cell r="C47">
            <v>9.7500000000000003E-2</v>
          </cell>
          <cell r="D47">
            <v>8.1684210526315804E-2</v>
          </cell>
          <cell r="E47">
            <v>7.4999999999999997E-2</v>
          </cell>
          <cell r="F47">
            <v>0.105</v>
          </cell>
          <cell r="G47">
            <v>8.9026315789473703E-2</v>
          </cell>
          <cell r="H47">
            <v>0.09</v>
          </cell>
          <cell r="I47">
            <v>0.125</v>
          </cell>
          <cell r="J47">
            <v>0.11</v>
          </cell>
          <cell r="K47">
            <v>3.4333333333333299E-2</v>
          </cell>
          <cell r="L47">
            <v>0.03</v>
          </cell>
          <cell r="M47">
            <v>2.9722222222222199E-2</v>
          </cell>
          <cell r="N47">
            <v>1</v>
          </cell>
          <cell r="O47">
            <v>12</v>
          </cell>
          <cell r="P47">
            <v>7.6470588235294121</v>
          </cell>
        </row>
        <row r="48">
          <cell r="A48" t="str">
            <v>Hotels C</v>
          </cell>
          <cell r="B48">
            <v>0.08</v>
          </cell>
          <cell r="C48">
            <v>0.11</v>
          </cell>
          <cell r="D48">
            <v>9.1249999999999998E-2</v>
          </cell>
          <cell r="E48">
            <v>8.5000000000000006E-2</v>
          </cell>
          <cell r="F48">
            <v>0.12</v>
          </cell>
          <cell r="G48">
            <v>9.8750000000000004E-2</v>
          </cell>
          <cell r="H48">
            <v>0.1</v>
          </cell>
          <cell r="I48">
            <v>0.105</v>
          </cell>
          <cell r="J48">
            <v>0.10249999999999999</v>
          </cell>
          <cell r="K48">
            <v>2.8333333333333301E-2</v>
          </cell>
          <cell r="L48">
            <v>2.8333333333333301E-2</v>
          </cell>
          <cell r="M48">
            <v>2.66666666666667E-2</v>
          </cell>
          <cell r="N48">
            <v>2</v>
          </cell>
          <cell r="O48">
            <v>6</v>
          </cell>
          <cell r="P48">
            <v>4</v>
          </cell>
        </row>
        <row r="49">
          <cell r="A49" t="str">
            <v>All Responses A</v>
          </cell>
          <cell r="B49">
            <v>0.04</v>
          </cell>
          <cell r="C49">
            <v>8.5000000000000006E-2</v>
          </cell>
          <cell r="D49">
            <v>6.3599263700872405E-2</v>
          </cell>
          <cell r="E49">
            <v>0.05</v>
          </cell>
          <cell r="F49">
            <v>0.1</v>
          </cell>
          <cell r="G49">
            <v>7.0445878908531101E-2</v>
          </cell>
          <cell r="H49">
            <v>0.06</v>
          </cell>
          <cell r="I49">
            <v>0.12</v>
          </cell>
          <cell r="J49">
            <v>8.0270364044168402E-2</v>
          </cell>
          <cell r="K49">
            <v>3.2363071558071603E-2</v>
          </cell>
          <cell r="L49">
            <v>2.9335682835682799E-2</v>
          </cell>
          <cell r="M49">
            <v>2.9037838087838101E-2</v>
          </cell>
          <cell r="N49">
            <v>1</v>
          </cell>
          <cell r="O49">
            <v>12</v>
          </cell>
          <cell r="P49">
            <v>5.8998460798460801</v>
          </cell>
        </row>
        <row r="50">
          <cell r="A50" t="str">
            <v>All Responses B</v>
          </cell>
          <cell r="B50">
            <v>0.05</v>
          </cell>
          <cell r="C50">
            <v>9.7500000000000003E-2</v>
          </cell>
          <cell r="D50">
            <v>7.1489978513202199E-2</v>
          </cell>
          <cell r="E50">
            <v>5.5E-2</v>
          </cell>
          <cell r="F50">
            <v>0.105</v>
          </cell>
          <cell r="G50">
            <v>7.7672257031467601E-2</v>
          </cell>
          <cell r="H50">
            <v>6.5000000000000002E-2</v>
          </cell>
          <cell r="I50">
            <v>0.125</v>
          </cell>
          <cell r="J50">
            <v>8.7656265771265798E-2</v>
          </cell>
          <cell r="K50">
            <v>3.0873597883597899E-2</v>
          </cell>
          <cell r="L50">
            <v>2.9053042328042299E-2</v>
          </cell>
          <cell r="M50">
            <v>2.8697089947089902E-2</v>
          </cell>
          <cell r="N50">
            <v>1</v>
          </cell>
          <cell r="O50">
            <v>12</v>
          </cell>
          <cell r="P50">
            <v>5.5345902463549521</v>
          </cell>
        </row>
        <row r="51">
          <cell r="A51" t="str">
            <v>All Responses C</v>
          </cell>
          <cell r="B51">
            <v>0.06</v>
          </cell>
          <cell r="C51">
            <v>0.11</v>
          </cell>
          <cell r="D51">
            <v>8.2844246031746005E-2</v>
          </cell>
          <cell r="E51">
            <v>7.0000000000000007E-2</v>
          </cell>
          <cell r="F51">
            <v>0.12</v>
          </cell>
          <cell r="G51">
            <v>8.94540476190476E-2</v>
          </cell>
          <cell r="H51">
            <v>7.4999999999999997E-2</v>
          </cell>
          <cell r="I51">
            <v>0.12</v>
          </cell>
          <cell r="J51">
            <v>9.6641666666666695E-2</v>
          </cell>
          <cell r="K51">
            <v>2.9977301587301601E-2</v>
          </cell>
          <cell r="L51">
            <v>2.9157936507936501E-2</v>
          </cell>
          <cell r="M51">
            <v>2.86325396825397E-2</v>
          </cell>
          <cell r="N51">
            <v>1</v>
          </cell>
          <cell r="O51">
            <v>12</v>
          </cell>
          <cell r="P51">
            <v>5.9155555555555557</v>
          </cell>
        </row>
        <row r="52">
          <cell r="A52" t="str">
            <v>Korpacz (2nd Qtr. 2008)</v>
          </cell>
          <cell r="B52" t="str">
            <v>---</v>
          </cell>
          <cell r="C52" t="str">
            <v>---</v>
          </cell>
          <cell r="D52" t="str">
            <v>---</v>
          </cell>
          <cell r="E52" t="str">
            <v>---</v>
          </cell>
          <cell r="F52" t="str">
            <v>---</v>
          </cell>
          <cell r="G52" t="str">
            <v>---</v>
          </cell>
          <cell r="H52" t="str">
            <v>---</v>
          </cell>
          <cell r="I52" t="str">
            <v>---</v>
          </cell>
          <cell r="J52" t="str">
            <v>---</v>
          </cell>
          <cell r="K52" t="str">
            <v>---</v>
          </cell>
          <cell r="L52" t="str">
            <v>---</v>
          </cell>
          <cell r="M52" t="str">
            <v>---</v>
          </cell>
          <cell r="N52" t="str">
            <v>---</v>
          </cell>
          <cell r="O52" t="str">
            <v>---</v>
          </cell>
          <cell r="P52" t="str">
            <v>---</v>
          </cell>
        </row>
        <row r="53">
          <cell r="A53" t="str">
            <v>Regional Mall</v>
          </cell>
          <cell r="B53">
            <v>0.05</v>
          </cell>
          <cell r="C53">
            <v>9.5000000000000001E-2</v>
          </cell>
          <cell r="D53">
            <v>6.7100000000000007E-2</v>
          </cell>
          <cell r="E53">
            <v>0.06</v>
          </cell>
          <cell r="F53">
            <v>0.1</v>
          </cell>
          <cell r="G53">
            <v>7.3800000000000004E-2</v>
          </cell>
          <cell r="H53">
            <v>7.0000000000000007E-2</v>
          </cell>
          <cell r="I53">
            <v>0.11</v>
          </cell>
          <cell r="J53">
            <v>8.7300000000000003E-2</v>
          </cell>
          <cell r="K53">
            <v>2.63E-2</v>
          </cell>
          <cell r="L53">
            <v>0.03</v>
          </cell>
          <cell r="M53" t="str">
            <v>---</v>
          </cell>
          <cell r="N53">
            <v>3</v>
          </cell>
          <cell r="O53">
            <v>12</v>
          </cell>
          <cell r="P53">
            <v>6.75</v>
          </cell>
        </row>
        <row r="54">
          <cell r="A54" t="str">
            <v>Power Center</v>
          </cell>
          <cell r="B54">
            <v>5.7500000000000002E-2</v>
          </cell>
          <cell r="C54">
            <v>0.09</v>
          </cell>
          <cell r="D54">
            <v>7.17E-2</v>
          </cell>
          <cell r="E54">
            <v>6.5000000000000002E-2</v>
          </cell>
          <cell r="F54">
            <v>9.5000000000000001E-2</v>
          </cell>
          <cell r="G54">
            <v>7.6700000000000004E-2</v>
          </cell>
          <cell r="H54">
            <v>7.0000000000000007E-2</v>
          </cell>
          <cell r="I54">
            <v>0.115</v>
          </cell>
          <cell r="J54">
            <v>8.3900000000000002E-2</v>
          </cell>
          <cell r="K54">
            <v>2.4400000000000002E-2</v>
          </cell>
          <cell r="L54">
            <v>3.1300000000000001E-2</v>
          </cell>
          <cell r="M54" t="str">
            <v>---</v>
          </cell>
          <cell r="N54">
            <v>3</v>
          </cell>
          <cell r="O54">
            <v>9</v>
          </cell>
          <cell r="P54">
            <v>5.56</v>
          </cell>
        </row>
        <row r="55">
          <cell r="A55" t="str">
            <v>Strip Shopping Center</v>
          </cell>
          <cell r="B55">
            <v>5.8000000000000003E-2</v>
          </cell>
          <cell r="C55">
            <v>0.09</v>
          </cell>
          <cell r="D55">
            <v>7.3200000000000001E-2</v>
          </cell>
          <cell r="E55">
            <v>0.06</v>
          </cell>
          <cell r="F55">
            <v>0.1</v>
          </cell>
          <cell r="G55">
            <v>7.85E-2</v>
          </cell>
          <cell r="H55">
            <v>0.06</v>
          </cell>
          <cell r="I55">
            <v>0.1</v>
          </cell>
          <cell r="J55">
            <v>8.3900000000000002E-2</v>
          </cell>
          <cell r="K55">
            <v>2.81E-2</v>
          </cell>
          <cell r="L55">
            <v>3.1E-2</v>
          </cell>
          <cell r="M55" t="str">
            <v>---</v>
          </cell>
          <cell r="N55">
            <v>2</v>
          </cell>
          <cell r="O55">
            <v>12</v>
          </cell>
          <cell r="P55">
            <v>6.1</v>
          </cell>
        </row>
        <row r="56">
          <cell r="A56" t="str">
            <v>CBD Office</v>
          </cell>
          <cell r="B56">
            <v>4.4999999999999998E-2</v>
          </cell>
          <cell r="C56">
            <v>0.1</v>
          </cell>
          <cell r="D56">
            <v>6.6799999999999998E-2</v>
          </cell>
          <cell r="E56">
            <v>0.06</v>
          </cell>
          <cell r="F56">
            <v>0.1</v>
          </cell>
          <cell r="G56">
            <v>7.5300000000000006E-2</v>
          </cell>
          <cell r="H56">
            <v>0.06</v>
          </cell>
          <cell r="I56">
            <v>0.11</v>
          </cell>
          <cell r="J56">
            <v>8.0399999999999999E-2</v>
          </cell>
          <cell r="K56">
            <v>3.6400000000000002E-2</v>
          </cell>
          <cell r="L56">
            <v>2.8899999999999999E-2</v>
          </cell>
          <cell r="M56" t="str">
            <v>---</v>
          </cell>
          <cell r="N56">
            <v>2</v>
          </cell>
          <cell r="O56">
            <v>12</v>
          </cell>
          <cell r="P56">
            <v>6.13</v>
          </cell>
        </row>
        <row r="57">
          <cell r="A57" t="str">
            <v>Suburban Office</v>
          </cell>
          <cell r="B57">
            <v>0.05</v>
          </cell>
          <cell r="C57">
            <v>0.105</v>
          </cell>
          <cell r="D57">
            <v>7.2800000000000004E-2</v>
          </cell>
          <cell r="E57">
            <v>0.06</v>
          </cell>
          <cell r="F57">
            <v>0.11</v>
          </cell>
          <cell r="G57">
            <v>7.9399999999999998E-2</v>
          </cell>
          <cell r="H57">
            <v>7.0000000000000007E-2</v>
          </cell>
          <cell r="I57">
            <v>0.125</v>
          </cell>
          <cell r="J57">
            <v>8.9300000000000004E-2</v>
          </cell>
          <cell r="K57">
            <v>2.58E-2</v>
          </cell>
          <cell r="L57">
            <v>3.0200000000000001E-2</v>
          </cell>
          <cell r="M57" t="str">
            <v>---</v>
          </cell>
          <cell r="N57">
            <v>2</v>
          </cell>
          <cell r="O57">
            <v>9</v>
          </cell>
          <cell r="P57">
            <v>6.13</v>
          </cell>
        </row>
        <row r="58">
          <cell r="A58" t="str">
            <v>Flex/R&amp;D</v>
          </cell>
          <cell r="B58">
            <v>5.5E-2</v>
          </cell>
          <cell r="C58">
            <v>9.2499999999999999E-2</v>
          </cell>
          <cell r="D58">
            <v>7.6799999999999993E-2</v>
          </cell>
          <cell r="E58">
            <v>7.0000000000000007E-2</v>
          </cell>
          <cell r="F58">
            <v>0.105</v>
          </cell>
          <cell r="G58">
            <v>8.2000000000000003E-2</v>
          </cell>
          <cell r="H58">
            <v>6.7500000000000004E-2</v>
          </cell>
          <cell r="I58">
            <v>0.1</v>
          </cell>
          <cell r="J58">
            <v>8.6099999999999996E-2</v>
          </cell>
          <cell r="K58">
            <v>2.7E-2</v>
          </cell>
          <cell r="L58">
            <v>2.9499999999999998E-2</v>
          </cell>
          <cell r="M58" t="str">
            <v>---</v>
          </cell>
          <cell r="N58">
            <v>3</v>
          </cell>
          <cell r="O58">
            <v>18</v>
          </cell>
          <cell r="P58">
            <v>6.33</v>
          </cell>
        </row>
        <row r="59">
          <cell r="A59" t="str">
            <v>Warehouse</v>
          </cell>
          <cell r="B59">
            <v>0.05</v>
          </cell>
          <cell r="C59">
            <v>8.5000000000000006E-2</v>
          </cell>
          <cell r="D59">
            <v>6.5600000000000006E-2</v>
          </cell>
          <cell r="E59">
            <v>5.5E-2</v>
          </cell>
          <cell r="F59">
            <v>8.5000000000000006E-2</v>
          </cell>
          <cell r="G59">
            <v>7.1800000000000003E-2</v>
          </cell>
          <cell r="H59">
            <v>5.5E-2</v>
          </cell>
          <cell r="I59">
            <v>0.1</v>
          </cell>
          <cell r="J59">
            <v>7.6799999999999993E-2</v>
          </cell>
          <cell r="K59">
            <v>2.9399999999999999E-2</v>
          </cell>
          <cell r="L59">
            <v>0.03</v>
          </cell>
          <cell r="M59" t="str">
            <v>---</v>
          </cell>
          <cell r="N59">
            <v>1</v>
          </cell>
          <cell r="O59">
            <v>12</v>
          </cell>
          <cell r="P59">
            <v>5.75</v>
          </cell>
        </row>
        <row r="60">
          <cell r="A60" t="str">
            <v>Apartment</v>
          </cell>
          <cell r="B60">
            <v>3.5000000000000003E-2</v>
          </cell>
          <cell r="C60">
            <v>0.08</v>
          </cell>
          <cell r="D60">
            <v>5.7500000000000002E-2</v>
          </cell>
          <cell r="E60">
            <v>4.4999999999999998E-2</v>
          </cell>
          <cell r="F60">
            <v>8.5000000000000006E-2</v>
          </cell>
          <cell r="G60">
            <v>6.6900000000000001E-2</v>
          </cell>
          <cell r="H60">
            <v>0.06</v>
          </cell>
          <cell r="I60">
            <v>0.105</v>
          </cell>
          <cell r="J60">
            <v>8.1600000000000006E-2</v>
          </cell>
          <cell r="K60">
            <v>3.1699999999999999E-2</v>
          </cell>
          <cell r="L60">
            <v>2.92E-2</v>
          </cell>
          <cell r="M60" t="str">
            <v>---</v>
          </cell>
          <cell r="N60">
            <v>1</v>
          </cell>
          <cell r="O60">
            <v>12</v>
          </cell>
          <cell r="P60">
            <v>6</v>
          </cell>
        </row>
        <row r="61">
          <cell r="A61" t="str">
            <v>Net Lease</v>
          </cell>
          <cell r="B61">
            <v>0.06</v>
          </cell>
          <cell r="C61">
            <v>0.1</v>
          </cell>
          <cell r="D61">
            <v>7.6300000000000007E-2</v>
          </cell>
          <cell r="E61">
            <v>7.0000000000000007E-2</v>
          </cell>
          <cell r="F61">
            <v>0.1</v>
          </cell>
          <cell r="G61">
            <v>8.2799999999999999E-2</v>
          </cell>
          <cell r="H61">
            <v>0.08</v>
          </cell>
          <cell r="I61">
            <v>0.12</v>
          </cell>
          <cell r="J61">
            <v>9.35E-2</v>
          </cell>
          <cell r="K61">
            <v>2.3300000000000001E-2</v>
          </cell>
          <cell r="L61">
            <v>2.75E-2</v>
          </cell>
          <cell r="M61" t="str">
            <v>---</v>
          </cell>
          <cell r="N61">
            <v>2</v>
          </cell>
          <cell r="O61">
            <v>6</v>
          </cell>
          <cell r="P61">
            <v>4.42</v>
          </cell>
        </row>
        <row r="62">
          <cell r="A62" t="str">
            <v>Domestic Self Storage</v>
          </cell>
          <cell r="B62">
            <v>6.5000000000000002E-2</v>
          </cell>
          <cell r="C62">
            <v>9.7500000000000003E-2</v>
          </cell>
          <cell r="D62">
            <v>0.08</v>
          </cell>
          <cell r="E62">
            <v>7.7499999999999999E-2</v>
          </cell>
          <cell r="F62">
            <v>0.10249999999999999</v>
          </cell>
          <cell r="G62">
            <v>0.09</v>
          </cell>
          <cell r="H62">
            <v>9.2499999999999999E-2</v>
          </cell>
          <cell r="I62">
            <v>0.1125</v>
          </cell>
          <cell r="J62">
            <v>0.10249999999999999</v>
          </cell>
          <cell r="K62">
            <v>3.2500000000000001E-2</v>
          </cell>
          <cell r="L62">
            <v>3.2500000000000001E-2</v>
          </cell>
          <cell r="M62" t="str">
            <v>---</v>
          </cell>
          <cell r="N62">
            <v>1.5</v>
          </cell>
          <cell r="O62">
            <v>3</v>
          </cell>
          <cell r="P62">
            <v>2</v>
          </cell>
        </row>
      </sheetData>
      <sheetData sheetId="14" refreshError="1">
        <row r="1">
          <cell r="C1" t="str">
            <v>General Investment</v>
          </cell>
          <cell r="D1" t="b">
            <v>1</v>
          </cell>
        </row>
        <row r="2">
          <cell r="C2" t="str">
            <v>Net Leased Investments</v>
          </cell>
          <cell r="D2" t="b">
            <v>1</v>
          </cell>
        </row>
        <row r="3">
          <cell r="C3" t="str">
            <v>Net Lease</v>
          </cell>
          <cell r="D3" t="b">
            <v>1</v>
          </cell>
        </row>
        <row r="21">
          <cell r="I21">
            <v>6</v>
          </cell>
        </row>
      </sheetData>
      <sheetData sheetId="15" refreshError="1"/>
      <sheetData sheetId="16" refreshError="1">
        <row r="10">
          <cell r="K10" t="str">
            <v>2008</v>
          </cell>
        </row>
      </sheetData>
      <sheetData sheetId="17" refreshError="1"/>
      <sheetData sheetId="18" refreshError="1"/>
      <sheetData sheetId="19" refreshError="1"/>
      <sheetData sheetId="20" refreshError="1"/>
      <sheetData sheetId="21" refreshError="1"/>
      <sheetData sheetId="22" refreshError="1"/>
      <sheetData sheetId="23" refreshError="1">
        <row r="34">
          <cell r="W34" t="b">
            <v>0</v>
          </cell>
        </row>
        <row r="41">
          <cell r="AB41">
            <v>6.9999999999999993E-2</v>
          </cell>
        </row>
        <row r="51">
          <cell r="AB51">
            <v>6.9999999999999993E-3</v>
          </cell>
        </row>
      </sheetData>
      <sheetData sheetId="24" refreshError="1">
        <row r="37">
          <cell r="F37" t="str">
            <v>Declining</v>
          </cell>
        </row>
        <row r="38">
          <cell r="F38" t="str">
            <v>Stable</v>
          </cell>
        </row>
        <row r="39">
          <cell r="F39" t="str">
            <v>Increasing</v>
          </cell>
        </row>
      </sheetData>
      <sheetData sheetId="25" refreshError="1"/>
      <sheetData sheetId="26" refreshError="1">
        <row r="47">
          <cell r="F47">
            <v>0.11429687881600156</v>
          </cell>
        </row>
        <row r="48">
          <cell r="F48" t="str">
            <v>8.75 : 1</v>
          </cell>
        </row>
      </sheetData>
      <sheetData sheetId="27" refreshError="1">
        <row r="15">
          <cell r="D15">
            <v>0</v>
          </cell>
        </row>
        <row r="26">
          <cell r="I26">
            <v>0.3</v>
          </cell>
        </row>
      </sheetData>
      <sheetData sheetId="28" refreshError="1">
        <row r="4">
          <cell r="D4" t="str">
            <v>C-4</v>
          </cell>
        </row>
      </sheetData>
      <sheetData sheetId="29" refreshError="1">
        <row r="2">
          <cell r="B2">
            <v>2</v>
          </cell>
        </row>
        <row r="3">
          <cell r="B3">
            <v>2</v>
          </cell>
        </row>
        <row r="4">
          <cell r="B4">
            <v>2</v>
          </cell>
        </row>
        <row r="12">
          <cell r="G12">
            <v>222126.94999999998</v>
          </cell>
          <cell r="K12">
            <v>1450000</v>
          </cell>
        </row>
        <row r="21">
          <cell r="G21">
            <v>24182.961046499997</v>
          </cell>
          <cell r="K21">
            <v>157861.5</v>
          </cell>
        </row>
      </sheetData>
      <sheetData sheetId="30" refreshError="1"/>
      <sheetData sheetId="31" refreshError="1"/>
      <sheetData sheetId="32" refreshError="1">
        <row r="38">
          <cell r="L38">
            <v>1403500</v>
          </cell>
        </row>
        <row r="45">
          <cell r="P45">
            <v>397000</v>
          </cell>
        </row>
      </sheetData>
      <sheetData sheetId="33" refreshError="1">
        <row r="2">
          <cell r="E2" t="str">
            <v>$ PSF</v>
          </cell>
        </row>
        <row r="9">
          <cell r="R9">
            <v>1</v>
          </cell>
          <cell r="S9" t="str">
            <v>Hide</v>
          </cell>
          <cell r="T9" t="str">
            <v>Show</v>
          </cell>
          <cell r="U9" t="str">
            <v>Hide</v>
          </cell>
        </row>
        <row r="10">
          <cell r="R10">
            <v>2</v>
          </cell>
          <cell r="S10" t="str">
            <v>Show</v>
          </cell>
          <cell r="T10" t="str">
            <v>Hide</v>
          </cell>
          <cell r="U10" t="str">
            <v>Hide</v>
          </cell>
        </row>
        <row r="11">
          <cell r="R11">
            <v>3</v>
          </cell>
          <cell r="S11" t="str">
            <v>Hide</v>
          </cell>
          <cell r="T11" t="str">
            <v>Hide</v>
          </cell>
          <cell r="U11" t="str">
            <v>Show</v>
          </cell>
        </row>
      </sheetData>
      <sheetData sheetId="34" refreshError="1">
        <row r="5">
          <cell r="C5" t="str">
            <v>$ PSF</v>
          </cell>
        </row>
        <row r="23">
          <cell r="G23">
            <v>4.2500010982879886</v>
          </cell>
          <cell r="H23">
            <v>9</v>
          </cell>
          <cell r="I23">
            <v>4</v>
          </cell>
          <cell r="J23" t="e">
            <v>#REF!</v>
          </cell>
          <cell r="K23" t="e">
            <v>#REF!</v>
          </cell>
          <cell r="L23" t="e">
            <v>#REF!</v>
          </cell>
        </row>
        <row r="25">
          <cell r="E25" t="str">
            <v>...attributable to:</v>
          </cell>
          <cell r="G25" t="str">
            <v>the additional business interest purchase</v>
          </cell>
        </row>
        <row r="27">
          <cell r="E27" t="str">
            <v>…due to:</v>
          </cell>
          <cell r="G27" t="str">
            <v>favorable owner financing</v>
          </cell>
        </row>
        <row r="29">
          <cell r="E29" t="str">
            <v>…due to:</v>
          </cell>
          <cell r="G29" t="str">
            <v>the buyer being an adjacent property owner</v>
          </cell>
        </row>
        <row r="31">
          <cell r="E31" t="str">
            <v>...reflects:</v>
          </cell>
          <cell r="G31" t="str">
            <v>the improved market conditions since the date of sale</v>
          </cell>
        </row>
        <row r="32">
          <cell r="G32">
            <v>4.2500010982879886</v>
          </cell>
          <cell r="H32">
            <v>9</v>
          </cell>
          <cell r="I32">
            <v>4</v>
          </cell>
          <cell r="J32" t="e">
            <v>#REF!</v>
          </cell>
          <cell r="K32" t="e">
            <v>#REF!</v>
          </cell>
          <cell r="L32" t="e">
            <v>#REF!</v>
          </cell>
        </row>
        <row r="34">
          <cell r="E34" t="str">
            <v>…with respect to:</v>
          </cell>
          <cell r="G34" t="str">
            <v>economies of scale regarding parcel size</v>
          </cell>
        </row>
        <row r="36">
          <cell r="E36" t="str">
            <v>…due to:</v>
          </cell>
          <cell r="G36" t="str">
            <v>an irregular shape</v>
          </cell>
        </row>
        <row r="38">
          <cell r="E38" t="str">
            <v>…due to:</v>
          </cell>
          <cell r="G38" t="str">
            <v>its interior location</v>
          </cell>
        </row>
        <row r="40">
          <cell r="E40" t="str">
            <v>…based upon:</v>
          </cell>
          <cell r="G40" t="str">
            <v>a superior front to depth ratio</v>
          </cell>
        </row>
        <row r="42">
          <cell r="E42" t="str">
            <v>…given:</v>
          </cell>
          <cell r="G42" t="str">
            <v>its rolling terrain</v>
          </cell>
        </row>
        <row r="44">
          <cell r="E44" t="str">
            <v>…due to:</v>
          </cell>
          <cell r="G44" t="str">
            <v>its proximity to employment &amp; other support facilities</v>
          </cell>
        </row>
        <row r="46">
          <cell r="E46" t="str">
            <v>…because of:</v>
          </cell>
          <cell r="G46" t="str">
            <v>a more restrictive zoning classification</v>
          </cell>
        </row>
        <row r="48">
          <cell r="E48" t="str">
            <v>…given:</v>
          </cell>
          <cell r="G48" t="str">
            <v>the nearest water &amp; sewer connections are 1/4 mile away</v>
          </cell>
        </row>
        <row r="50">
          <cell r="E50" t="str">
            <v>…due to:</v>
          </cell>
          <cell r="G50" t="str">
            <v>its xxx</v>
          </cell>
        </row>
        <row r="52">
          <cell r="G52">
            <v>4.2500010982879886</v>
          </cell>
          <cell r="H52">
            <v>9</v>
          </cell>
          <cell r="I52">
            <v>4</v>
          </cell>
          <cell r="J52" t="e">
            <v>#REF!</v>
          </cell>
          <cell r="K52" t="e">
            <v>#REF!</v>
          </cell>
          <cell r="L52" t="e">
            <v>#REF!</v>
          </cell>
        </row>
        <row r="58">
          <cell r="G58">
            <v>4.2500010982879886</v>
          </cell>
          <cell r="H58">
            <v>9</v>
          </cell>
          <cell r="I58">
            <v>4</v>
          </cell>
          <cell r="J58"/>
          <cell r="K58"/>
          <cell r="L58"/>
        </row>
        <row r="59">
          <cell r="P59">
            <v>4</v>
          </cell>
        </row>
        <row r="60">
          <cell r="P60">
            <v>5</v>
          </cell>
        </row>
        <row r="61">
          <cell r="T61">
            <v>1800000</v>
          </cell>
        </row>
      </sheetData>
      <sheetData sheetId="35" refreshError="1"/>
      <sheetData sheetId="36" refreshError="1"/>
      <sheetData sheetId="37" refreshError="1">
        <row r="24">
          <cell r="E24" t="str">
            <v>...attributable to:</v>
          </cell>
          <cell r="G24" t="str">
            <v>the additional business interest purchase</v>
          </cell>
        </row>
        <row r="26">
          <cell r="E26" t="str">
            <v>…due to:</v>
          </cell>
          <cell r="G26" t="str">
            <v>favorable owner financing</v>
          </cell>
        </row>
        <row r="28">
          <cell r="E28" t="str">
            <v>…due to:</v>
          </cell>
          <cell r="G28" t="str">
            <v>the buyer being an adjacent property owner</v>
          </cell>
        </row>
        <row r="30">
          <cell r="E30" t="str">
            <v>...reflects:</v>
          </cell>
          <cell r="G30" t="str">
            <v>the improved market conditions since the date of sale</v>
          </cell>
        </row>
        <row r="33">
          <cell r="E33" t="str">
            <v>…with respect to:</v>
          </cell>
          <cell r="G33" t="str">
            <v>economies of scale regarding parcel size</v>
          </cell>
        </row>
        <row r="35">
          <cell r="E35" t="str">
            <v>…due to:</v>
          </cell>
          <cell r="G35" t="str">
            <v>an irregular shape</v>
          </cell>
        </row>
        <row r="37">
          <cell r="E37" t="str">
            <v>…due to:</v>
          </cell>
          <cell r="G37" t="str">
            <v>its interior location</v>
          </cell>
        </row>
        <row r="39">
          <cell r="E39" t="str">
            <v>…based upon:</v>
          </cell>
          <cell r="G39" t="str">
            <v>a superior front to depth ratio</v>
          </cell>
        </row>
        <row r="41">
          <cell r="E41" t="str">
            <v>…given:</v>
          </cell>
          <cell r="G41" t="str">
            <v>its rolling terrain</v>
          </cell>
        </row>
        <row r="43">
          <cell r="E43" t="str">
            <v>…due to:</v>
          </cell>
          <cell r="G43" t="str">
            <v>its proximity to employment &amp; other support facilities</v>
          </cell>
        </row>
        <row r="45">
          <cell r="E45" t="str">
            <v>…because of:</v>
          </cell>
          <cell r="G45" t="str">
            <v>a more restrictive zoning classification</v>
          </cell>
        </row>
        <row r="47">
          <cell r="E47" t="str">
            <v>…given:</v>
          </cell>
          <cell r="G47" t="str">
            <v>the nearest water &amp; sewer connections are 1/4 mile away</v>
          </cell>
        </row>
        <row r="49">
          <cell r="E49" t="str">
            <v>…due to:</v>
          </cell>
          <cell r="G49" t="str">
            <v>its xxx</v>
          </cell>
        </row>
        <row r="67">
          <cell r="T67">
            <v>0</v>
          </cell>
        </row>
      </sheetData>
      <sheetData sheetId="38" refreshError="1"/>
      <sheetData sheetId="39" refreshError="1"/>
      <sheetData sheetId="40" refreshError="1">
        <row r="11">
          <cell r="K11">
            <v>1</v>
          </cell>
        </row>
        <row r="12">
          <cell r="K12">
            <v>1</v>
          </cell>
        </row>
        <row r="74">
          <cell r="H74">
            <v>886600</v>
          </cell>
        </row>
        <row r="79">
          <cell r="G79">
            <v>0</v>
          </cell>
        </row>
        <row r="82">
          <cell r="H82">
            <v>-908703.3600000001</v>
          </cell>
        </row>
        <row r="89">
          <cell r="H89">
            <v>890000</v>
          </cell>
        </row>
        <row r="102">
          <cell r="M102">
            <v>-1529323.36</v>
          </cell>
        </row>
      </sheetData>
      <sheetData sheetId="41" refreshError="1"/>
      <sheetData sheetId="42" refreshError="1"/>
      <sheetData sheetId="43" refreshError="1">
        <row r="56">
          <cell r="H56">
            <v>500000</v>
          </cell>
        </row>
      </sheetData>
      <sheetData sheetId="44" refreshError="1">
        <row r="2">
          <cell r="D2">
            <v>0</v>
          </cell>
        </row>
        <row r="3">
          <cell r="D3" t="str">
            <v>Straight Line</v>
          </cell>
          <cell r="BE3">
            <v>1</v>
          </cell>
        </row>
        <row r="4">
          <cell r="C4">
            <v>2</v>
          </cell>
          <cell r="D4" t="str">
            <v>Cash Flow</v>
          </cell>
        </row>
        <row r="5">
          <cell r="D5">
            <v>0.09</v>
          </cell>
          <cell r="BE5">
            <v>900</v>
          </cell>
        </row>
        <row r="6">
          <cell r="D6">
            <v>0</v>
          </cell>
          <cell r="BE6">
            <v>0</v>
          </cell>
        </row>
        <row r="7">
          <cell r="D7">
            <v>0.3</v>
          </cell>
          <cell r="BE7">
            <v>30</v>
          </cell>
        </row>
        <row r="68">
          <cell r="H68">
            <v>0</v>
          </cell>
        </row>
      </sheetData>
      <sheetData sheetId="45" refreshError="1"/>
      <sheetData sheetId="46" refreshError="1"/>
      <sheetData sheetId="47" refreshError="1">
        <row r="2">
          <cell r="B2">
            <v>1</v>
          </cell>
        </row>
        <row r="30">
          <cell r="E30" t="str">
            <v>N/A</v>
          </cell>
          <cell r="F30" t="str">
            <v>N/A</v>
          </cell>
          <cell r="G30" t="str">
            <v>N/A</v>
          </cell>
          <cell r="H30">
            <v>0.08</v>
          </cell>
          <cell r="I30" t="str">
            <v>N/A</v>
          </cell>
          <cell r="J30" t="e">
            <v>#REF!</v>
          </cell>
          <cell r="L30" t="str">
            <v>---</v>
          </cell>
        </row>
        <row r="35">
          <cell r="D35" t="str">
            <v>...attributable to:</v>
          </cell>
          <cell r="E35" t="str">
            <v>the additional business interest purchase</v>
          </cell>
        </row>
        <row r="36">
          <cell r="E36">
            <v>0</v>
          </cell>
          <cell r="F36">
            <v>0</v>
          </cell>
          <cell r="G36">
            <v>0</v>
          </cell>
          <cell r="H36">
            <v>0</v>
          </cell>
          <cell r="I36">
            <v>0</v>
          </cell>
          <cell r="J36">
            <v>0</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5">
          <cell r="E55">
            <v>0</v>
          </cell>
          <cell r="F55">
            <v>0</v>
          </cell>
          <cell r="G55">
            <v>0</v>
          </cell>
          <cell r="H55">
            <v>0</v>
          </cell>
          <cell r="I55">
            <v>0</v>
          </cell>
          <cell r="J55">
            <v>0</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row r="81">
          <cell r="A81">
            <v>8</v>
          </cell>
        </row>
        <row r="90">
          <cell r="E90">
            <v>249.72</v>
          </cell>
          <cell r="F90">
            <v>214.26</v>
          </cell>
          <cell r="G90">
            <v>190.57</v>
          </cell>
          <cell r="H90">
            <v>212.99</v>
          </cell>
          <cell r="I90">
            <v>163</v>
          </cell>
          <cell r="J90"/>
        </row>
        <row r="92">
          <cell r="E92">
            <v>0</v>
          </cell>
          <cell r="F92">
            <v>0</v>
          </cell>
          <cell r="G92">
            <v>0</v>
          </cell>
          <cell r="H92">
            <v>0</v>
          </cell>
          <cell r="I92">
            <v>0</v>
          </cell>
          <cell r="J92"/>
        </row>
      </sheetData>
      <sheetData sheetId="48" refreshError="1"/>
      <sheetData sheetId="49" refreshError="1">
        <row r="12">
          <cell r="M12">
            <v>45</v>
          </cell>
        </row>
        <row r="13">
          <cell r="M13">
            <v>55</v>
          </cell>
        </row>
        <row r="32">
          <cell r="O32">
            <v>1110000</v>
          </cell>
        </row>
        <row r="42">
          <cell r="C42" t="str">
            <v>NOI Per SF</v>
          </cell>
          <cell r="D42" t="str">
            <v>Price Per SF</v>
          </cell>
        </row>
        <row r="43">
          <cell r="C43">
            <v>14.283599999999998</v>
          </cell>
          <cell r="D43">
            <v>155.38142703497275</v>
          </cell>
        </row>
        <row r="44">
          <cell r="C44">
            <v>6.23</v>
          </cell>
          <cell r="D44">
            <v>92.7</v>
          </cell>
        </row>
        <row r="46">
          <cell r="C46">
            <v>7.62</v>
          </cell>
          <cell r="D46">
            <v>95.92</v>
          </cell>
        </row>
        <row r="47">
          <cell r="C47">
            <v>6.89</v>
          </cell>
          <cell r="D47">
            <v>86.64</v>
          </cell>
        </row>
        <row r="48">
          <cell r="C48">
            <v>8.11</v>
          </cell>
          <cell r="D48">
            <v>108.2</v>
          </cell>
        </row>
      </sheetData>
      <sheetData sheetId="50" refreshError="1"/>
      <sheetData sheetId="51" refreshError="1"/>
      <sheetData sheetId="52" refreshError="1"/>
      <sheetData sheetId="53" refreshError="1">
        <row r="2">
          <cell r="B2">
            <v>1</v>
          </cell>
        </row>
        <row r="35">
          <cell r="D35" t="str">
            <v>...attributable to:</v>
          </cell>
          <cell r="E35" t="str">
            <v>the additional business interest purchase</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sheetData>
      <sheetData sheetId="54" refreshError="1"/>
      <sheetData sheetId="55" refreshError="1"/>
      <sheetData sheetId="56" refreshError="1">
        <row r="2">
          <cell r="C2">
            <v>1</v>
          </cell>
        </row>
      </sheetData>
      <sheetData sheetId="57" refreshError="1"/>
      <sheetData sheetId="58" refreshError="1"/>
      <sheetData sheetId="59" refreshError="1"/>
      <sheetData sheetId="60" refreshError="1">
        <row r="2">
          <cell r="C2">
            <v>1</v>
          </cell>
        </row>
      </sheetData>
      <sheetData sheetId="61" refreshError="1"/>
      <sheetData sheetId="62" refreshError="1"/>
      <sheetData sheetId="63" refreshError="1"/>
      <sheetData sheetId="64" refreshError="1"/>
      <sheetData sheetId="65" refreshError="1">
        <row r="70">
          <cell r="BN70">
            <v>74880</v>
          </cell>
        </row>
        <row r="85">
          <cell r="BE85">
            <v>944700</v>
          </cell>
        </row>
      </sheetData>
      <sheetData sheetId="66" refreshError="1">
        <row r="3">
          <cell r="AI3" t="b">
            <v>0</v>
          </cell>
          <cell r="AJ3" t="b">
            <v>0</v>
          </cell>
          <cell r="AK3" t="b">
            <v>0</v>
          </cell>
          <cell r="AL3" t="b">
            <v>0</v>
          </cell>
        </row>
        <row r="5">
          <cell r="G5" t="str">
            <v>Year-Occupancy</v>
          </cell>
          <cell r="H5">
            <v>2004</v>
          </cell>
          <cell r="J5">
            <v>0.61799999999999999</v>
          </cell>
          <cell r="M5">
            <v>2005</v>
          </cell>
          <cell r="O5">
            <v>0.69499999999999995</v>
          </cell>
          <cell r="R5" t="str">
            <v>2006 Annualized</v>
          </cell>
          <cell r="T5">
            <v>0.65800000000000003</v>
          </cell>
          <cell r="W5" t="str">
            <v>2007 Budget</v>
          </cell>
          <cell r="Y5">
            <v>0.68400000000000005</v>
          </cell>
        </row>
        <row r="6">
          <cell r="H6" t="str">
            <v>Total</v>
          </cell>
          <cell r="I6" t="str">
            <v>% EGI</v>
          </cell>
          <cell r="J6" t="str">
            <v>$/Unit</v>
          </cell>
          <cell r="K6" t="str">
            <v>$/SF</v>
          </cell>
          <cell r="M6" t="str">
            <v>Total</v>
          </cell>
          <cell r="N6" t="str">
            <v>% EGI</v>
          </cell>
          <cell r="O6" t="str">
            <v>$/Unit</v>
          </cell>
          <cell r="P6" t="str">
            <v>$/SF</v>
          </cell>
          <cell r="R6" t="str">
            <v>Total</v>
          </cell>
          <cell r="S6" t="str">
            <v>% EGI</v>
          </cell>
          <cell r="T6" t="str">
            <v>$/Unit</v>
          </cell>
          <cell r="U6" t="str">
            <v>$/SF</v>
          </cell>
          <cell r="W6" t="str">
            <v>Total</v>
          </cell>
          <cell r="X6" t="str">
            <v>% EGI</v>
          </cell>
          <cell r="Y6" t="str">
            <v>$/Unit</v>
          </cell>
          <cell r="Z6" t="str">
            <v>$/SF</v>
          </cell>
        </row>
        <row r="7">
          <cell r="G7" t="str">
            <v>Income</v>
          </cell>
        </row>
        <row r="8">
          <cell r="G8" t="str">
            <v>Rental Income</v>
          </cell>
          <cell r="H8">
            <v>358295</v>
          </cell>
          <cell r="I8">
            <v>1</v>
          </cell>
          <cell r="J8">
            <v>358295</v>
          </cell>
          <cell r="K8">
            <v>76.558760683760681</v>
          </cell>
          <cell r="M8">
            <v>367810</v>
          </cell>
          <cell r="N8">
            <v>1</v>
          </cell>
          <cell r="O8">
            <v>367810</v>
          </cell>
          <cell r="P8">
            <v>78.591880341880341</v>
          </cell>
          <cell r="R8">
            <v>385917</v>
          </cell>
          <cell r="S8">
            <v>1</v>
          </cell>
          <cell r="T8">
            <v>385917</v>
          </cell>
          <cell r="U8">
            <v>82.460897435897436</v>
          </cell>
          <cell r="W8">
            <v>416189</v>
          </cell>
          <cell r="X8">
            <v>1</v>
          </cell>
          <cell r="Y8">
            <v>416189</v>
          </cell>
          <cell r="Z8">
            <v>88.92927350427351</v>
          </cell>
        </row>
        <row r="9">
          <cell r="G9"/>
          <cell r="H9">
            <v>0</v>
          </cell>
          <cell r="I9">
            <v>0</v>
          </cell>
          <cell r="J9">
            <v>0</v>
          </cell>
          <cell r="K9">
            <v>0</v>
          </cell>
          <cell r="M9">
            <v>0</v>
          </cell>
          <cell r="N9">
            <v>0</v>
          </cell>
          <cell r="O9">
            <v>0</v>
          </cell>
          <cell r="P9">
            <v>0</v>
          </cell>
          <cell r="R9">
            <v>0</v>
          </cell>
          <cell r="S9">
            <v>0</v>
          </cell>
          <cell r="T9">
            <v>0</v>
          </cell>
          <cell r="U9">
            <v>0</v>
          </cell>
          <cell r="W9">
            <v>0</v>
          </cell>
          <cell r="X9">
            <v>0</v>
          </cell>
          <cell r="Y9">
            <v>0</v>
          </cell>
          <cell r="Z9">
            <v>0</v>
          </cell>
        </row>
        <row r="10">
          <cell r="G10"/>
          <cell r="H10">
            <v>0</v>
          </cell>
          <cell r="I10">
            <v>0</v>
          </cell>
          <cell r="J10">
            <v>0</v>
          </cell>
          <cell r="K10">
            <v>0</v>
          </cell>
          <cell r="M10">
            <v>0</v>
          </cell>
          <cell r="N10">
            <v>0</v>
          </cell>
          <cell r="O10">
            <v>0</v>
          </cell>
          <cell r="P10">
            <v>0</v>
          </cell>
          <cell r="R10">
            <v>0</v>
          </cell>
          <cell r="S10">
            <v>0</v>
          </cell>
          <cell r="T10">
            <v>0</v>
          </cell>
          <cell r="U10">
            <v>0</v>
          </cell>
          <cell r="W10">
            <v>0</v>
          </cell>
          <cell r="X10">
            <v>0</v>
          </cell>
          <cell r="Y10">
            <v>0</v>
          </cell>
          <cell r="Z10">
            <v>0</v>
          </cell>
        </row>
        <row r="11">
          <cell r="G11"/>
          <cell r="H11">
            <v>0</v>
          </cell>
          <cell r="I11">
            <v>0</v>
          </cell>
          <cell r="J11">
            <v>0</v>
          </cell>
          <cell r="K11">
            <v>0</v>
          </cell>
          <cell r="M11">
            <v>0</v>
          </cell>
          <cell r="N11">
            <v>0</v>
          </cell>
          <cell r="O11">
            <v>0</v>
          </cell>
          <cell r="P11">
            <v>0</v>
          </cell>
          <cell r="R11">
            <v>0</v>
          </cell>
          <cell r="S11">
            <v>0</v>
          </cell>
          <cell r="T11">
            <v>0</v>
          </cell>
          <cell r="U11">
            <v>0</v>
          </cell>
          <cell r="W11">
            <v>0</v>
          </cell>
          <cell r="X11">
            <v>0</v>
          </cell>
          <cell r="Y11">
            <v>0</v>
          </cell>
          <cell r="Z11">
            <v>0</v>
          </cell>
        </row>
        <row r="12">
          <cell r="G12"/>
          <cell r="H12">
            <v>0</v>
          </cell>
          <cell r="I12">
            <v>0</v>
          </cell>
          <cell r="J12">
            <v>0</v>
          </cell>
          <cell r="K12">
            <v>0</v>
          </cell>
          <cell r="M12">
            <v>0</v>
          </cell>
          <cell r="N12">
            <v>0</v>
          </cell>
          <cell r="O12">
            <v>0</v>
          </cell>
          <cell r="P12">
            <v>0</v>
          </cell>
          <cell r="R12">
            <v>0</v>
          </cell>
          <cell r="S12">
            <v>0</v>
          </cell>
          <cell r="T12">
            <v>0</v>
          </cell>
          <cell r="U12">
            <v>0</v>
          </cell>
          <cell r="W12">
            <v>0</v>
          </cell>
          <cell r="X12">
            <v>0</v>
          </cell>
          <cell r="Y12">
            <v>0</v>
          </cell>
          <cell r="Z12">
            <v>0</v>
          </cell>
        </row>
        <row r="13">
          <cell r="G13"/>
          <cell r="H13">
            <v>0</v>
          </cell>
          <cell r="I13">
            <v>0</v>
          </cell>
          <cell r="J13">
            <v>0</v>
          </cell>
          <cell r="K13">
            <v>0</v>
          </cell>
          <cell r="M13">
            <v>0</v>
          </cell>
          <cell r="N13">
            <v>0</v>
          </cell>
          <cell r="O13">
            <v>0</v>
          </cell>
          <cell r="P13">
            <v>0</v>
          </cell>
          <cell r="R13">
            <v>0</v>
          </cell>
          <cell r="S13">
            <v>0</v>
          </cell>
          <cell r="T13">
            <v>0</v>
          </cell>
          <cell r="U13">
            <v>0</v>
          </cell>
          <cell r="W13">
            <v>0</v>
          </cell>
          <cell r="X13">
            <v>0</v>
          </cell>
          <cell r="Y13">
            <v>0</v>
          </cell>
          <cell r="Z13">
            <v>0</v>
          </cell>
        </row>
        <row r="14">
          <cell r="G14"/>
          <cell r="H14">
            <v>0</v>
          </cell>
          <cell r="I14">
            <v>0</v>
          </cell>
          <cell r="J14">
            <v>0</v>
          </cell>
          <cell r="K14">
            <v>0</v>
          </cell>
          <cell r="M14">
            <v>0</v>
          </cell>
          <cell r="N14">
            <v>0</v>
          </cell>
          <cell r="O14">
            <v>0</v>
          </cell>
          <cell r="P14">
            <v>0</v>
          </cell>
          <cell r="R14">
            <v>0</v>
          </cell>
          <cell r="S14">
            <v>0</v>
          </cell>
          <cell r="T14">
            <v>0</v>
          </cell>
          <cell r="U14">
            <v>0</v>
          </cell>
          <cell r="W14">
            <v>0</v>
          </cell>
          <cell r="X14">
            <v>0</v>
          </cell>
          <cell r="Y14">
            <v>0</v>
          </cell>
          <cell r="Z14">
            <v>0</v>
          </cell>
        </row>
        <row r="15">
          <cell r="G15"/>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G16" t="str">
            <v>Effective Gross Income</v>
          </cell>
          <cell r="H16">
            <v>358295</v>
          </cell>
          <cell r="I16">
            <v>1</v>
          </cell>
          <cell r="J16">
            <v>358295</v>
          </cell>
          <cell r="K16">
            <v>76.558760683760681</v>
          </cell>
          <cell r="M16">
            <v>367810</v>
          </cell>
          <cell r="N16">
            <v>1</v>
          </cell>
          <cell r="O16">
            <v>367810</v>
          </cell>
          <cell r="P16">
            <v>78.591880341880341</v>
          </cell>
          <cell r="R16">
            <v>385917</v>
          </cell>
          <cell r="S16">
            <v>1</v>
          </cell>
          <cell r="T16">
            <v>385917</v>
          </cell>
          <cell r="U16">
            <v>82.460897435897436</v>
          </cell>
          <cell r="W16">
            <v>416189</v>
          </cell>
          <cell r="X16">
            <v>1</v>
          </cell>
          <cell r="Y16">
            <v>416189</v>
          </cell>
          <cell r="Z16">
            <v>88.92927350427351</v>
          </cell>
        </row>
        <row r="17">
          <cell r="G17" t="str">
            <v>Expenses</v>
          </cell>
        </row>
        <row r="18">
          <cell r="G18"/>
          <cell r="H18">
            <v>0</v>
          </cell>
          <cell r="I18">
            <v>0</v>
          </cell>
          <cell r="J18">
            <v>0</v>
          </cell>
          <cell r="K18">
            <v>0</v>
          </cell>
          <cell r="M18">
            <v>0</v>
          </cell>
          <cell r="N18">
            <v>0</v>
          </cell>
          <cell r="O18">
            <v>0</v>
          </cell>
          <cell r="P18">
            <v>0</v>
          </cell>
          <cell r="R18">
            <v>0</v>
          </cell>
          <cell r="S18">
            <v>0</v>
          </cell>
          <cell r="T18">
            <v>0</v>
          </cell>
          <cell r="U18">
            <v>0</v>
          </cell>
          <cell r="W18">
            <v>0</v>
          </cell>
          <cell r="X18">
            <v>0</v>
          </cell>
          <cell r="Y18">
            <v>0</v>
          </cell>
          <cell r="Z18">
            <v>0</v>
          </cell>
        </row>
        <row r="19">
          <cell r="G19"/>
          <cell r="H19">
            <v>0</v>
          </cell>
          <cell r="I19">
            <v>0</v>
          </cell>
          <cell r="J19">
            <v>0</v>
          </cell>
          <cell r="K19">
            <v>0</v>
          </cell>
          <cell r="M19">
            <v>0</v>
          </cell>
          <cell r="N19">
            <v>0</v>
          </cell>
          <cell r="O19">
            <v>0</v>
          </cell>
          <cell r="P19">
            <v>0</v>
          </cell>
          <cell r="R19">
            <v>0</v>
          </cell>
          <cell r="S19">
            <v>0</v>
          </cell>
          <cell r="T19">
            <v>0</v>
          </cell>
          <cell r="U19">
            <v>0</v>
          </cell>
          <cell r="W19">
            <v>0</v>
          </cell>
          <cell r="X19">
            <v>0</v>
          </cell>
          <cell r="Y19">
            <v>0</v>
          </cell>
          <cell r="Z19">
            <v>0</v>
          </cell>
        </row>
        <row r="20">
          <cell r="G20"/>
          <cell r="H20">
            <v>0</v>
          </cell>
          <cell r="I20">
            <v>0</v>
          </cell>
          <cell r="J20">
            <v>0</v>
          </cell>
          <cell r="K20">
            <v>0</v>
          </cell>
          <cell r="M20">
            <v>0</v>
          </cell>
          <cell r="N20">
            <v>0</v>
          </cell>
          <cell r="O20">
            <v>0</v>
          </cell>
          <cell r="P20">
            <v>0</v>
          </cell>
          <cell r="R20">
            <v>0</v>
          </cell>
          <cell r="S20">
            <v>0</v>
          </cell>
          <cell r="T20">
            <v>0</v>
          </cell>
          <cell r="U20">
            <v>0</v>
          </cell>
          <cell r="W20">
            <v>0</v>
          </cell>
          <cell r="X20">
            <v>0</v>
          </cell>
          <cell r="Y20">
            <v>0</v>
          </cell>
          <cell r="Z20">
            <v>0</v>
          </cell>
        </row>
        <row r="21">
          <cell r="G21"/>
          <cell r="H21">
            <v>0</v>
          </cell>
          <cell r="I21">
            <v>0</v>
          </cell>
          <cell r="J21">
            <v>0</v>
          </cell>
          <cell r="K21">
            <v>0</v>
          </cell>
          <cell r="M21">
            <v>0</v>
          </cell>
          <cell r="N21">
            <v>0</v>
          </cell>
          <cell r="O21">
            <v>0</v>
          </cell>
          <cell r="P21">
            <v>0</v>
          </cell>
          <cell r="R21">
            <v>0</v>
          </cell>
          <cell r="S21">
            <v>0</v>
          </cell>
          <cell r="T21">
            <v>0</v>
          </cell>
          <cell r="U21">
            <v>0</v>
          </cell>
          <cell r="W21">
            <v>0</v>
          </cell>
          <cell r="X21">
            <v>0</v>
          </cell>
          <cell r="Y21">
            <v>0</v>
          </cell>
          <cell r="Z21">
            <v>0</v>
          </cell>
        </row>
        <row r="22">
          <cell r="G22"/>
          <cell r="H22">
            <v>0</v>
          </cell>
          <cell r="I22">
            <v>0</v>
          </cell>
          <cell r="J22">
            <v>0</v>
          </cell>
          <cell r="K22">
            <v>0</v>
          </cell>
          <cell r="M22">
            <v>0</v>
          </cell>
          <cell r="N22">
            <v>0</v>
          </cell>
          <cell r="O22">
            <v>0</v>
          </cell>
          <cell r="P22">
            <v>0</v>
          </cell>
          <cell r="R22">
            <v>0</v>
          </cell>
          <cell r="S22">
            <v>0</v>
          </cell>
          <cell r="T22">
            <v>0</v>
          </cell>
          <cell r="U22">
            <v>0</v>
          </cell>
          <cell r="W22">
            <v>0</v>
          </cell>
          <cell r="X22">
            <v>0</v>
          </cell>
          <cell r="Y22">
            <v>0</v>
          </cell>
          <cell r="Z22">
            <v>0</v>
          </cell>
        </row>
        <row r="23">
          <cell r="G23"/>
          <cell r="H23">
            <v>0</v>
          </cell>
          <cell r="I23">
            <v>0</v>
          </cell>
          <cell r="J23">
            <v>0</v>
          </cell>
          <cell r="K23">
            <v>0</v>
          </cell>
          <cell r="M23">
            <v>0</v>
          </cell>
          <cell r="N23">
            <v>0</v>
          </cell>
          <cell r="O23">
            <v>0</v>
          </cell>
          <cell r="P23">
            <v>0</v>
          </cell>
          <cell r="R23">
            <v>0</v>
          </cell>
          <cell r="S23">
            <v>0</v>
          </cell>
          <cell r="T23">
            <v>0</v>
          </cell>
          <cell r="U23">
            <v>0</v>
          </cell>
          <cell r="W23">
            <v>0</v>
          </cell>
          <cell r="X23">
            <v>0</v>
          </cell>
          <cell r="Y23">
            <v>0</v>
          </cell>
          <cell r="Z23">
            <v>0</v>
          </cell>
        </row>
        <row r="24">
          <cell r="G24"/>
          <cell r="H24">
            <v>0</v>
          </cell>
          <cell r="I24">
            <v>0</v>
          </cell>
          <cell r="J24">
            <v>0</v>
          </cell>
          <cell r="K24">
            <v>0</v>
          </cell>
          <cell r="M24">
            <v>0</v>
          </cell>
          <cell r="N24">
            <v>0</v>
          </cell>
          <cell r="O24">
            <v>0</v>
          </cell>
          <cell r="P24">
            <v>0</v>
          </cell>
          <cell r="R24">
            <v>0</v>
          </cell>
          <cell r="S24">
            <v>0</v>
          </cell>
          <cell r="T24">
            <v>0</v>
          </cell>
          <cell r="U24">
            <v>0</v>
          </cell>
          <cell r="W24">
            <v>0</v>
          </cell>
          <cell r="X24">
            <v>0</v>
          </cell>
          <cell r="Y24">
            <v>0</v>
          </cell>
          <cell r="Z24">
            <v>0</v>
          </cell>
        </row>
        <row r="25">
          <cell r="G25"/>
          <cell r="H25">
            <v>0</v>
          </cell>
          <cell r="I25">
            <v>0</v>
          </cell>
          <cell r="J25">
            <v>0</v>
          </cell>
          <cell r="K25">
            <v>0</v>
          </cell>
          <cell r="M25">
            <v>0</v>
          </cell>
          <cell r="N25">
            <v>0</v>
          </cell>
          <cell r="O25">
            <v>0</v>
          </cell>
          <cell r="P25">
            <v>0</v>
          </cell>
          <cell r="R25">
            <v>0</v>
          </cell>
          <cell r="S25">
            <v>0</v>
          </cell>
          <cell r="T25">
            <v>0</v>
          </cell>
          <cell r="U25">
            <v>0</v>
          </cell>
          <cell r="W25">
            <v>0</v>
          </cell>
          <cell r="X25">
            <v>0</v>
          </cell>
          <cell r="Y25">
            <v>0</v>
          </cell>
          <cell r="Z25">
            <v>0</v>
          </cell>
        </row>
        <row r="26">
          <cell r="G26"/>
          <cell r="H26">
            <v>0</v>
          </cell>
          <cell r="I26">
            <v>0</v>
          </cell>
          <cell r="J26">
            <v>0</v>
          </cell>
          <cell r="K26">
            <v>0</v>
          </cell>
          <cell r="M26">
            <v>0</v>
          </cell>
          <cell r="N26">
            <v>0</v>
          </cell>
          <cell r="O26">
            <v>0</v>
          </cell>
          <cell r="P26">
            <v>0</v>
          </cell>
          <cell r="R26">
            <v>0</v>
          </cell>
          <cell r="S26">
            <v>0</v>
          </cell>
          <cell r="T26">
            <v>0</v>
          </cell>
          <cell r="U26">
            <v>0</v>
          </cell>
          <cell r="W26">
            <v>0</v>
          </cell>
          <cell r="X26">
            <v>0</v>
          </cell>
          <cell r="Y26">
            <v>0</v>
          </cell>
          <cell r="Z26">
            <v>0</v>
          </cell>
        </row>
        <row r="27">
          <cell r="G27"/>
          <cell r="H27">
            <v>0</v>
          </cell>
          <cell r="I27">
            <v>0</v>
          </cell>
          <cell r="J27">
            <v>0</v>
          </cell>
          <cell r="K27">
            <v>0</v>
          </cell>
          <cell r="M27">
            <v>0</v>
          </cell>
          <cell r="N27">
            <v>0</v>
          </cell>
          <cell r="O27">
            <v>0</v>
          </cell>
          <cell r="P27">
            <v>0</v>
          </cell>
          <cell r="R27">
            <v>0</v>
          </cell>
          <cell r="S27">
            <v>0</v>
          </cell>
          <cell r="T27">
            <v>0</v>
          </cell>
          <cell r="U27">
            <v>0</v>
          </cell>
          <cell r="W27">
            <v>0</v>
          </cell>
          <cell r="X27">
            <v>0</v>
          </cell>
          <cell r="Y27">
            <v>0</v>
          </cell>
          <cell r="Z27">
            <v>0</v>
          </cell>
        </row>
        <row r="28">
          <cell r="G28"/>
          <cell r="H28">
            <v>0</v>
          </cell>
          <cell r="I28">
            <v>0</v>
          </cell>
          <cell r="J28">
            <v>0</v>
          </cell>
          <cell r="K28">
            <v>0</v>
          </cell>
          <cell r="M28">
            <v>0</v>
          </cell>
          <cell r="N28">
            <v>0</v>
          </cell>
          <cell r="O28">
            <v>0</v>
          </cell>
          <cell r="P28">
            <v>0</v>
          </cell>
          <cell r="R28">
            <v>0</v>
          </cell>
          <cell r="S28">
            <v>0</v>
          </cell>
          <cell r="T28">
            <v>0</v>
          </cell>
          <cell r="U28">
            <v>0</v>
          </cell>
          <cell r="W28">
            <v>0</v>
          </cell>
          <cell r="X28">
            <v>0</v>
          </cell>
          <cell r="Y28">
            <v>0</v>
          </cell>
          <cell r="Z28">
            <v>0</v>
          </cell>
        </row>
        <row r="29">
          <cell r="G29"/>
          <cell r="H29">
            <v>0</v>
          </cell>
          <cell r="I29">
            <v>0</v>
          </cell>
          <cell r="J29">
            <v>0</v>
          </cell>
          <cell r="K29">
            <v>0</v>
          </cell>
          <cell r="M29">
            <v>0</v>
          </cell>
          <cell r="N29">
            <v>0</v>
          </cell>
          <cell r="O29">
            <v>0</v>
          </cell>
          <cell r="P29">
            <v>0</v>
          </cell>
          <cell r="R29">
            <v>0</v>
          </cell>
          <cell r="S29">
            <v>0</v>
          </cell>
          <cell r="T29">
            <v>0</v>
          </cell>
          <cell r="U29">
            <v>0</v>
          </cell>
          <cell r="W29">
            <v>0</v>
          </cell>
          <cell r="X29">
            <v>0</v>
          </cell>
          <cell r="Y29">
            <v>0</v>
          </cell>
          <cell r="Z29">
            <v>0</v>
          </cell>
        </row>
        <row r="30">
          <cell r="G30" t="str">
            <v>Management Fee</v>
          </cell>
          <cell r="H30">
            <v>0</v>
          </cell>
          <cell r="I30">
            <v>0</v>
          </cell>
          <cell r="J30">
            <v>0</v>
          </cell>
          <cell r="K30">
            <v>0</v>
          </cell>
          <cell r="M30">
            <v>0</v>
          </cell>
          <cell r="N30">
            <v>0</v>
          </cell>
          <cell r="O30">
            <v>0</v>
          </cell>
          <cell r="P30">
            <v>0</v>
          </cell>
          <cell r="R30">
            <v>0</v>
          </cell>
          <cell r="S30">
            <v>0</v>
          </cell>
          <cell r="T30">
            <v>0</v>
          </cell>
          <cell r="U30">
            <v>0</v>
          </cell>
          <cell r="W30">
            <v>0</v>
          </cell>
          <cell r="X30">
            <v>0</v>
          </cell>
          <cell r="Y30">
            <v>0</v>
          </cell>
          <cell r="Z30">
            <v>0</v>
          </cell>
        </row>
        <row r="31">
          <cell r="G31"/>
          <cell r="H31">
            <v>0</v>
          </cell>
          <cell r="I31">
            <v>0</v>
          </cell>
          <cell r="J31">
            <v>0</v>
          </cell>
          <cell r="K31">
            <v>0</v>
          </cell>
          <cell r="M31">
            <v>0</v>
          </cell>
          <cell r="N31">
            <v>0</v>
          </cell>
          <cell r="O31">
            <v>0</v>
          </cell>
          <cell r="P31">
            <v>0</v>
          </cell>
          <cell r="R31">
            <v>0</v>
          </cell>
          <cell r="S31">
            <v>0</v>
          </cell>
          <cell r="T31">
            <v>0</v>
          </cell>
          <cell r="U31">
            <v>0</v>
          </cell>
          <cell r="W31">
            <v>0</v>
          </cell>
          <cell r="X31">
            <v>0</v>
          </cell>
          <cell r="Y31">
            <v>0</v>
          </cell>
          <cell r="Z31">
            <v>0</v>
          </cell>
        </row>
        <row r="32">
          <cell r="G32"/>
          <cell r="H32">
            <v>0</v>
          </cell>
          <cell r="I32">
            <v>0</v>
          </cell>
          <cell r="J32">
            <v>0</v>
          </cell>
          <cell r="K32">
            <v>0</v>
          </cell>
          <cell r="M32">
            <v>0</v>
          </cell>
          <cell r="N32">
            <v>0</v>
          </cell>
          <cell r="O32">
            <v>0</v>
          </cell>
          <cell r="P32">
            <v>0</v>
          </cell>
          <cell r="R32">
            <v>0</v>
          </cell>
          <cell r="S32">
            <v>0</v>
          </cell>
          <cell r="T32">
            <v>0</v>
          </cell>
          <cell r="U32">
            <v>0</v>
          </cell>
          <cell r="W32">
            <v>0</v>
          </cell>
          <cell r="X32">
            <v>0</v>
          </cell>
          <cell r="Y32">
            <v>0</v>
          </cell>
          <cell r="Z32">
            <v>0</v>
          </cell>
        </row>
        <row r="33">
          <cell r="G33"/>
          <cell r="H33">
            <v>0</v>
          </cell>
          <cell r="I33">
            <v>0</v>
          </cell>
          <cell r="J33">
            <v>0</v>
          </cell>
          <cell r="K33">
            <v>0</v>
          </cell>
          <cell r="M33">
            <v>0</v>
          </cell>
          <cell r="N33">
            <v>0</v>
          </cell>
          <cell r="O33">
            <v>0</v>
          </cell>
          <cell r="P33">
            <v>0</v>
          </cell>
          <cell r="R33">
            <v>0</v>
          </cell>
          <cell r="S33">
            <v>0</v>
          </cell>
          <cell r="T33">
            <v>0</v>
          </cell>
          <cell r="U33">
            <v>0</v>
          </cell>
          <cell r="W33">
            <v>0</v>
          </cell>
          <cell r="X33">
            <v>0</v>
          </cell>
          <cell r="Y33">
            <v>0</v>
          </cell>
          <cell r="Z33">
            <v>0</v>
          </cell>
        </row>
        <row r="34">
          <cell r="G34"/>
          <cell r="H34">
            <v>0</v>
          </cell>
          <cell r="I34">
            <v>0</v>
          </cell>
          <cell r="J34">
            <v>0</v>
          </cell>
          <cell r="K34">
            <v>0</v>
          </cell>
          <cell r="M34">
            <v>0</v>
          </cell>
          <cell r="N34">
            <v>0</v>
          </cell>
          <cell r="O34">
            <v>0</v>
          </cell>
          <cell r="P34">
            <v>0</v>
          </cell>
          <cell r="R34">
            <v>0</v>
          </cell>
          <cell r="S34">
            <v>0</v>
          </cell>
          <cell r="T34">
            <v>0</v>
          </cell>
          <cell r="U34">
            <v>0</v>
          </cell>
          <cell r="W34">
            <v>0</v>
          </cell>
          <cell r="X34">
            <v>0</v>
          </cell>
          <cell r="Y34">
            <v>0</v>
          </cell>
          <cell r="Z34">
            <v>0</v>
          </cell>
        </row>
        <row r="35">
          <cell r="G35"/>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G36"/>
          <cell r="H36">
            <v>0</v>
          </cell>
          <cell r="I36">
            <v>0</v>
          </cell>
          <cell r="J36">
            <v>0</v>
          </cell>
          <cell r="K36">
            <v>0</v>
          </cell>
          <cell r="M36">
            <v>0</v>
          </cell>
          <cell r="N36">
            <v>0</v>
          </cell>
          <cell r="O36">
            <v>0</v>
          </cell>
          <cell r="P36">
            <v>0</v>
          </cell>
          <cell r="R36">
            <v>0</v>
          </cell>
          <cell r="S36">
            <v>0</v>
          </cell>
          <cell r="T36">
            <v>0</v>
          </cell>
          <cell r="U36">
            <v>0</v>
          </cell>
          <cell r="W36">
            <v>0</v>
          </cell>
          <cell r="X36">
            <v>0</v>
          </cell>
          <cell r="Y36">
            <v>0</v>
          </cell>
          <cell r="Z36">
            <v>0</v>
          </cell>
        </row>
        <row r="37">
          <cell r="G37" t="str">
            <v>Reserves for Replacement</v>
          </cell>
          <cell r="H37">
            <v>0</v>
          </cell>
          <cell r="I37">
            <v>0</v>
          </cell>
          <cell r="J37">
            <v>0</v>
          </cell>
          <cell r="K37">
            <v>0</v>
          </cell>
          <cell r="M37">
            <v>0</v>
          </cell>
          <cell r="N37">
            <v>0</v>
          </cell>
          <cell r="O37">
            <v>0</v>
          </cell>
          <cell r="P37">
            <v>0</v>
          </cell>
          <cell r="R37">
            <v>0</v>
          </cell>
          <cell r="S37">
            <v>0</v>
          </cell>
          <cell r="T37">
            <v>0</v>
          </cell>
          <cell r="U37">
            <v>0</v>
          </cell>
          <cell r="W37">
            <v>0</v>
          </cell>
          <cell r="X37">
            <v>0</v>
          </cell>
          <cell r="Y37">
            <v>0</v>
          </cell>
          <cell r="Z37">
            <v>0</v>
          </cell>
        </row>
        <row r="38">
          <cell r="G38" t="str">
            <v>Operating Expenses</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G39" t="str">
            <v>Net Operating Income</v>
          </cell>
          <cell r="H39">
            <v>358295</v>
          </cell>
          <cell r="I39">
            <v>1</v>
          </cell>
          <cell r="J39">
            <v>358295</v>
          </cell>
          <cell r="K39">
            <v>76.558760683760681</v>
          </cell>
          <cell r="M39">
            <v>367810</v>
          </cell>
          <cell r="N39">
            <v>1</v>
          </cell>
          <cell r="O39">
            <v>367810</v>
          </cell>
          <cell r="P39">
            <v>78.591880341880341</v>
          </cell>
          <cell r="R39">
            <v>385917</v>
          </cell>
          <cell r="S39">
            <v>1</v>
          </cell>
          <cell r="T39">
            <v>385917</v>
          </cell>
          <cell r="U39">
            <v>82.460897435897436</v>
          </cell>
          <cell r="W39">
            <v>416189</v>
          </cell>
          <cell r="X39">
            <v>1</v>
          </cell>
          <cell r="Y39">
            <v>416189</v>
          </cell>
          <cell r="Z39">
            <v>88.92927350427351</v>
          </cell>
        </row>
      </sheetData>
      <sheetData sheetId="67" refreshError="1"/>
      <sheetData sheetId="68" refreshError="1">
        <row r="5">
          <cell r="C5" t="str">
            <v>Comparable Number</v>
          </cell>
          <cell r="F5">
            <v>1</v>
          </cell>
          <cell r="G5">
            <v>1</v>
          </cell>
          <cell r="J5">
            <v>2</v>
          </cell>
          <cell r="K5">
            <v>2</v>
          </cell>
          <cell r="N5">
            <v>3</v>
          </cell>
          <cell r="O5">
            <v>3</v>
          </cell>
          <cell r="Q5" t="str">
            <v>IREM</v>
          </cell>
          <cell r="R5" t="str">
            <v>IREM</v>
          </cell>
          <cell r="S5" t="str">
            <v>NAIOP</v>
          </cell>
        </row>
        <row r="6">
          <cell r="C6" t="str">
            <v>Location</v>
          </cell>
          <cell r="F6" t="str">
            <v>Sample 1</v>
          </cell>
          <cell r="G6" t="str">
            <v>West Houston</v>
          </cell>
          <cell r="J6" t="str">
            <v>Sample 2</v>
          </cell>
          <cell r="K6" t="str">
            <v>West Houston</v>
          </cell>
          <cell r="N6" t="str">
            <v>Sample 3</v>
          </cell>
          <cell r="O6" t="str">
            <v>West Houston</v>
          </cell>
          <cell r="Q6" t="str">
            <v>Houston</v>
          </cell>
          <cell r="R6" t="str">
            <v>Houston</v>
          </cell>
          <cell r="S6" t="str">
            <v>South</v>
          </cell>
        </row>
        <row r="7">
          <cell r="C7" t="str">
            <v>No. Units</v>
          </cell>
          <cell r="F7">
            <v>10</v>
          </cell>
          <cell r="G7">
            <v>125</v>
          </cell>
          <cell r="J7">
            <v>10</v>
          </cell>
          <cell r="K7">
            <v>125</v>
          </cell>
          <cell r="N7">
            <v>10</v>
          </cell>
          <cell r="O7">
            <v>125</v>
          </cell>
        </row>
        <row r="8">
          <cell r="C8" t="str">
            <v>GLA (SF)</v>
          </cell>
          <cell r="F8">
            <v>1000</v>
          </cell>
          <cell r="G8">
            <v>834081</v>
          </cell>
          <cell r="J8">
            <v>1000</v>
          </cell>
          <cell r="K8">
            <v>834081</v>
          </cell>
          <cell r="N8">
            <v>1000</v>
          </cell>
          <cell r="O8">
            <v>834081</v>
          </cell>
        </row>
        <row r="9">
          <cell r="C9" t="str">
            <v>Expense Year</v>
          </cell>
          <cell r="F9">
            <v>2006</v>
          </cell>
          <cell r="G9">
            <v>1996</v>
          </cell>
          <cell r="J9">
            <v>2006</v>
          </cell>
          <cell r="K9">
            <v>1996</v>
          </cell>
          <cell r="N9">
            <v>2006</v>
          </cell>
          <cell r="O9">
            <v>1996</v>
          </cell>
          <cell r="Q9">
            <v>1997</v>
          </cell>
          <cell r="R9">
            <v>1997</v>
          </cell>
          <cell r="S9" t="str">
            <v>2001/02</v>
          </cell>
        </row>
        <row r="11">
          <cell r="C11" t="str">
            <v>Effective Gross Income</v>
          </cell>
          <cell r="E11">
            <v>20000</v>
          </cell>
          <cell r="F11">
            <v>2000</v>
          </cell>
          <cell r="G11">
            <v>2.3978486501910486E-2</v>
          </cell>
          <cell r="I11">
            <v>20000</v>
          </cell>
          <cell r="J11">
            <v>2000</v>
          </cell>
          <cell r="K11">
            <v>2.3978486501910486E-2</v>
          </cell>
          <cell r="M11">
            <v>20000</v>
          </cell>
          <cell r="N11">
            <v>2000</v>
          </cell>
          <cell r="O11">
            <v>2.3978486501910486E-2</v>
          </cell>
          <cell r="Q11">
            <v>0</v>
          </cell>
          <cell r="R11">
            <v>0</v>
          </cell>
          <cell r="S11">
            <v>0</v>
          </cell>
        </row>
        <row r="12">
          <cell r="C12" t="str">
            <v>Expenses</v>
          </cell>
          <cell r="E12" t="str">
            <v>Total</v>
          </cell>
          <cell r="F12" t="str">
            <v>$/Unit</v>
          </cell>
          <cell r="G12" t="str">
            <v>$/SF</v>
          </cell>
          <cell r="I12" t="str">
            <v>Total</v>
          </cell>
          <cell r="J12" t="str">
            <v>$/Unit</v>
          </cell>
          <cell r="K12" t="str">
            <v>$/SF</v>
          </cell>
          <cell r="M12" t="str">
            <v>Total</v>
          </cell>
          <cell r="N12" t="str">
            <v>$/Unit</v>
          </cell>
          <cell r="O12" t="str">
            <v>$/SF</v>
          </cell>
          <cell r="Q12" t="str">
            <v>$/Unit</v>
          </cell>
          <cell r="R12" t="str">
            <v>$/SF</v>
          </cell>
          <cell r="S12" t="str">
            <v>$/SF</v>
          </cell>
        </row>
        <row r="14">
          <cell r="C14"/>
          <cell r="E14">
            <v>0</v>
          </cell>
          <cell r="F14">
            <v>0</v>
          </cell>
          <cell r="G14">
            <v>0</v>
          </cell>
          <cell r="I14">
            <v>0</v>
          </cell>
          <cell r="J14">
            <v>0</v>
          </cell>
          <cell r="K14">
            <v>0</v>
          </cell>
          <cell r="M14">
            <v>0</v>
          </cell>
          <cell r="N14">
            <v>0</v>
          </cell>
          <cell r="O14">
            <v>0</v>
          </cell>
          <cell r="Q14">
            <v>0</v>
          </cell>
          <cell r="R14">
            <v>0</v>
          </cell>
          <cell r="S14">
            <v>0</v>
          </cell>
        </row>
        <row r="15">
          <cell r="C15"/>
          <cell r="E15">
            <v>0</v>
          </cell>
          <cell r="F15">
            <v>0</v>
          </cell>
          <cell r="G15">
            <v>0</v>
          </cell>
          <cell r="I15">
            <v>0</v>
          </cell>
          <cell r="J15">
            <v>0</v>
          </cell>
          <cell r="K15">
            <v>0</v>
          </cell>
          <cell r="M15">
            <v>0</v>
          </cell>
          <cell r="N15">
            <v>0</v>
          </cell>
          <cell r="O15">
            <v>0</v>
          </cell>
          <cell r="Q15">
            <v>0</v>
          </cell>
          <cell r="R15">
            <v>0</v>
          </cell>
          <cell r="S15">
            <v>0</v>
          </cell>
        </row>
        <row r="16">
          <cell r="C16"/>
          <cell r="E16">
            <v>0</v>
          </cell>
          <cell r="F16">
            <v>0</v>
          </cell>
          <cell r="G16">
            <v>0</v>
          </cell>
          <cell r="I16">
            <v>0</v>
          </cell>
          <cell r="J16">
            <v>0</v>
          </cell>
          <cell r="K16">
            <v>0</v>
          </cell>
          <cell r="M16">
            <v>0</v>
          </cell>
          <cell r="N16">
            <v>0</v>
          </cell>
          <cell r="O16">
            <v>0</v>
          </cell>
          <cell r="Q16">
            <v>0</v>
          </cell>
          <cell r="R16">
            <v>0</v>
          </cell>
          <cell r="S16">
            <v>0</v>
          </cell>
        </row>
        <row r="17">
          <cell r="C17"/>
          <cell r="E17">
            <v>0</v>
          </cell>
          <cell r="F17">
            <v>0</v>
          </cell>
          <cell r="G17">
            <v>0</v>
          </cell>
          <cell r="I17">
            <v>0</v>
          </cell>
          <cell r="J17">
            <v>0</v>
          </cell>
          <cell r="K17">
            <v>0</v>
          </cell>
          <cell r="M17">
            <v>0</v>
          </cell>
          <cell r="N17">
            <v>0</v>
          </cell>
          <cell r="O17">
            <v>0</v>
          </cell>
          <cell r="Q17">
            <v>0</v>
          </cell>
          <cell r="R17">
            <v>0</v>
          </cell>
          <cell r="S17">
            <v>0</v>
          </cell>
        </row>
        <row r="18">
          <cell r="C18"/>
          <cell r="E18">
            <v>0</v>
          </cell>
          <cell r="F18">
            <v>0</v>
          </cell>
          <cell r="G18">
            <v>0</v>
          </cell>
          <cell r="I18">
            <v>0</v>
          </cell>
          <cell r="J18">
            <v>0</v>
          </cell>
          <cell r="K18">
            <v>0</v>
          </cell>
          <cell r="M18">
            <v>0</v>
          </cell>
          <cell r="N18">
            <v>0</v>
          </cell>
          <cell r="O18">
            <v>0</v>
          </cell>
          <cell r="Q18">
            <v>0</v>
          </cell>
          <cell r="R18">
            <v>0</v>
          </cell>
          <cell r="S18">
            <v>0</v>
          </cell>
        </row>
        <row r="19">
          <cell r="C19"/>
          <cell r="E19">
            <v>0</v>
          </cell>
          <cell r="F19">
            <v>0</v>
          </cell>
          <cell r="G19">
            <v>0</v>
          </cell>
          <cell r="I19">
            <v>0</v>
          </cell>
          <cell r="J19">
            <v>0</v>
          </cell>
          <cell r="K19">
            <v>0</v>
          </cell>
          <cell r="M19">
            <v>0</v>
          </cell>
          <cell r="N19">
            <v>0</v>
          </cell>
          <cell r="O19">
            <v>0</v>
          </cell>
          <cell r="Q19">
            <v>0</v>
          </cell>
          <cell r="R19">
            <v>0</v>
          </cell>
          <cell r="S19">
            <v>0</v>
          </cell>
        </row>
        <row r="20">
          <cell r="C20"/>
          <cell r="E20">
            <v>0</v>
          </cell>
          <cell r="F20">
            <v>0</v>
          </cell>
          <cell r="G20">
            <v>0</v>
          </cell>
          <cell r="I20">
            <v>0</v>
          </cell>
          <cell r="J20">
            <v>0</v>
          </cell>
          <cell r="K20">
            <v>0</v>
          </cell>
          <cell r="M20">
            <v>0</v>
          </cell>
          <cell r="N20">
            <v>0</v>
          </cell>
          <cell r="O20">
            <v>0</v>
          </cell>
          <cell r="Q20">
            <v>0</v>
          </cell>
          <cell r="R20">
            <v>0</v>
          </cell>
          <cell r="S20">
            <v>0</v>
          </cell>
        </row>
        <row r="21">
          <cell r="C21"/>
          <cell r="E21">
            <v>0</v>
          </cell>
          <cell r="F21">
            <v>0</v>
          </cell>
          <cell r="G21">
            <v>0</v>
          </cell>
          <cell r="I21">
            <v>0</v>
          </cell>
          <cell r="J21">
            <v>0</v>
          </cell>
          <cell r="K21">
            <v>0</v>
          </cell>
          <cell r="M21">
            <v>0</v>
          </cell>
          <cell r="N21">
            <v>0</v>
          </cell>
          <cell r="O21">
            <v>0</v>
          </cell>
          <cell r="Q21">
            <v>0</v>
          </cell>
          <cell r="R21">
            <v>0</v>
          </cell>
          <cell r="S21">
            <v>0</v>
          </cell>
        </row>
        <row r="22">
          <cell r="C22"/>
          <cell r="E22">
            <v>0</v>
          </cell>
          <cell r="F22">
            <v>0</v>
          </cell>
          <cell r="G22">
            <v>0</v>
          </cell>
          <cell r="I22">
            <v>0</v>
          </cell>
          <cell r="J22">
            <v>0</v>
          </cell>
          <cell r="K22">
            <v>0</v>
          </cell>
          <cell r="M22">
            <v>0</v>
          </cell>
          <cell r="N22">
            <v>0</v>
          </cell>
          <cell r="O22">
            <v>0</v>
          </cell>
          <cell r="Q22">
            <v>0</v>
          </cell>
          <cell r="R22">
            <v>0</v>
          </cell>
          <cell r="S22">
            <v>0</v>
          </cell>
        </row>
        <row r="23">
          <cell r="C23"/>
          <cell r="E23">
            <v>0</v>
          </cell>
          <cell r="F23">
            <v>0</v>
          </cell>
          <cell r="G23">
            <v>0</v>
          </cell>
          <cell r="I23">
            <v>0</v>
          </cell>
          <cell r="J23">
            <v>0</v>
          </cell>
          <cell r="K23">
            <v>0</v>
          </cell>
          <cell r="M23">
            <v>0</v>
          </cell>
          <cell r="N23">
            <v>0</v>
          </cell>
          <cell r="O23">
            <v>0</v>
          </cell>
          <cell r="Q23">
            <v>0</v>
          </cell>
          <cell r="R23">
            <v>0</v>
          </cell>
          <cell r="S23">
            <v>0</v>
          </cell>
        </row>
        <row r="24">
          <cell r="C24"/>
          <cell r="E24">
            <v>0</v>
          </cell>
          <cell r="F24">
            <v>0</v>
          </cell>
          <cell r="G24">
            <v>0</v>
          </cell>
          <cell r="I24">
            <v>0</v>
          </cell>
          <cell r="J24">
            <v>0</v>
          </cell>
          <cell r="K24">
            <v>0</v>
          </cell>
          <cell r="M24">
            <v>0</v>
          </cell>
          <cell r="N24">
            <v>0</v>
          </cell>
          <cell r="O24">
            <v>0</v>
          </cell>
          <cell r="Q24">
            <v>0</v>
          </cell>
          <cell r="R24">
            <v>0</v>
          </cell>
          <cell r="S24">
            <v>0</v>
          </cell>
        </row>
        <row r="25">
          <cell r="C25"/>
          <cell r="E25">
            <v>0</v>
          </cell>
          <cell r="F25">
            <v>0</v>
          </cell>
          <cell r="G25">
            <v>0</v>
          </cell>
          <cell r="I25">
            <v>0</v>
          </cell>
          <cell r="J25">
            <v>0</v>
          </cell>
          <cell r="K25">
            <v>0</v>
          </cell>
          <cell r="M25">
            <v>0</v>
          </cell>
          <cell r="N25">
            <v>0</v>
          </cell>
          <cell r="O25">
            <v>0</v>
          </cell>
          <cell r="Q25">
            <v>0</v>
          </cell>
          <cell r="R25">
            <v>0</v>
          </cell>
          <cell r="S25">
            <v>0</v>
          </cell>
        </row>
        <row r="26">
          <cell r="C26" t="str">
            <v>Management Fee</v>
          </cell>
          <cell r="E26">
            <v>1000</v>
          </cell>
          <cell r="F26">
            <v>100</v>
          </cell>
          <cell r="G26">
            <v>1.1989243250955244E-3</v>
          </cell>
          <cell r="I26">
            <v>1000</v>
          </cell>
          <cell r="J26">
            <v>100</v>
          </cell>
          <cell r="K26">
            <v>1.1989243250955244E-3</v>
          </cell>
          <cell r="M26">
            <v>1000</v>
          </cell>
          <cell r="N26">
            <v>100</v>
          </cell>
          <cell r="O26">
            <v>1.1989243250955244E-3</v>
          </cell>
          <cell r="R26">
            <v>0.25</v>
          </cell>
          <cell r="S26">
            <v>0.18</v>
          </cell>
        </row>
        <row r="27">
          <cell r="D27" t="str">
            <v>(as a % of EGI)</v>
          </cell>
          <cell r="F27">
            <v>0.05</v>
          </cell>
          <cell r="G27">
            <v>0.05</v>
          </cell>
          <cell r="J27">
            <v>0.05</v>
          </cell>
          <cell r="K27">
            <v>0.05</v>
          </cell>
          <cell r="N27">
            <v>0.05</v>
          </cell>
          <cell r="O27">
            <v>0.05</v>
          </cell>
        </row>
        <row r="28">
          <cell r="C28"/>
          <cell r="E28">
            <v>0</v>
          </cell>
          <cell r="F28">
            <v>0</v>
          </cell>
          <cell r="G28">
            <v>0</v>
          </cell>
          <cell r="I28">
            <v>0</v>
          </cell>
          <cell r="J28">
            <v>0</v>
          </cell>
          <cell r="K28">
            <v>0</v>
          </cell>
          <cell r="M28">
            <v>0</v>
          </cell>
          <cell r="N28">
            <v>0</v>
          </cell>
          <cell r="O28">
            <v>0</v>
          </cell>
          <cell r="Q28">
            <v>0</v>
          </cell>
          <cell r="R28">
            <v>0</v>
          </cell>
          <cell r="S28">
            <v>0</v>
          </cell>
        </row>
        <row r="29">
          <cell r="C29"/>
          <cell r="E29">
            <v>0</v>
          </cell>
          <cell r="F29">
            <v>0</v>
          </cell>
          <cell r="G29">
            <v>0</v>
          </cell>
          <cell r="I29">
            <v>0</v>
          </cell>
          <cell r="J29">
            <v>0</v>
          </cell>
          <cell r="K29">
            <v>0</v>
          </cell>
          <cell r="M29">
            <v>0</v>
          </cell>
          <cell r="N29">
            <v>0</v>
          </cell>
          <cell r="O29">
            <v>0</v>
          </cell>
          <cell r="Q29">
            <v>0</v>
          </cell>
          <cell r="R29">
            <v>0</v>
          </cell>
          <cell r="S29">
            <v>0</v>
          </cell>
        </row>
        <row r="30">
          <cell r="C30"/>
          <cell r="E30">
            <v>0</v>
          </cell>
          <cell r="F30">
            <v>0</v>
          </cell>
          <cell r="G30">
            <v>0</v>
          </cell>
          <cell r="I30">
            <v>0</v>
          </cell>
          <cell r="J30">
            <v>0</v>
          </cell>
          <cell r="K30">
            <v>0</v>
          </cell>
          <cell r="M30">
            <v>0</v>
          </cell>
          <cell r="N30">
            <v>0</v>
          </cell>
          <cell r="O30">
            <v>0</v>
          </cell>
          <cell r="Q30">
            <v>0</v>
          </cell>
          <cell r="R30">
            <v>0</v>
          </cell>
          <cell r="S30">
            <v>0</v>
          </cell>
        </row>
        <row r="31">
          <cell r="C31"/>
          <cell r="E31">
            <v>0</v>
          </cell>
          <cell r="F31">
            <v>0</v>
          </cell>
          <cell r="G31">
            <v>0</v>
          </cell>
          <cell r="I31">
            <v>0</v>
          </cell>
          <cell r="J31">
            <v>0</v>
          </cell>
          <cell r="K31">
            <v>0</v>
          </cell>
          <cell r="M31">
            <v>0</v>
          </cell>
          <cell r="N31">
            <v>0</v>
          </cell>
          <cell r="O31">
            <v>0</v>
          </cell>
          <cell r="Q31">
            <v>0</v>
          </cell>
          <cell r="R31">
            <v>0</v>
          </cell>
          <cell r="S31">
            <v>0</v>
          </cell>
        </row>
        <row r="32">
          <cell r="C32"/>
          <cell r="E32">
            <v>0</v>
          </cell>
          <cell r="F32">
            <v>0</v>
          </cell>
          <cell r="G32">
            <v>0</v>
          </cell>
          <cell r="I32">
            <v>0</v>
          </cell>
          <cell r="J32">
            <v>0</v>
          </cell>
          <cell r="K32">
            <v>0</v>
          </cell>
          <cell r="M32">
            <v>0</v>
          </cell>
          <cell r="N32">
            <v>0</v>
          </cell>
          <cell r="O32">
            <v>0</v>
          </cell>
          <cell r="Q32">
            <v>0</v>
          </cell>
          <cell r="R32">
            <v>0</v>
          </cell>
          <cell r="S32">
            <v>0</v>
          </cell>
        </row>
        <row r="33">
          <cell r="C33"/>
          <cell r="E33">
            <v>0</v>
          </cell>
          <cell r="F33">
            <v>0</v>
          </cell>
          <cell r="G33">
            <v>0</v>
          </cell>
          <cell r="I33">
            <v>0</v>
          </cell>
          <cell r="J33">
            <v>0</v>
          </cell>
          <cell r="K33">
            <v>0</v>
          </cell>
          <cell r="M33">
            <v>0</v>
          </cell>
          <cell r="N33">
            <v>0</v>
          </cell>
          <cell r="O33">
            <v>0</v>
          </cell>
          <cell r="Q33">
            <v>0</v>
          </cell>
          <cell r="R33">
            <v>0</v>
          </cell>
          <cell r="S33">
            <v>0</v>
          </cell>
        </row>
        <row r="34">
          <cell r="C34" t="str">
            <v>Reserves for Replacement</v>
          </cell>
          <cell r="E34">
            <v>1000</v>
          </cell>
          <cell r="F34">
            <v>100</v>
          </cell>
          <cell r="G34">
            <v>1.1989243250955244E-3</v>
          </cell>
          <cell r="I34">
            <v>1000</v>
          </cell>
          <cell r="J34">
            <v>100</v>
          </cell>
          <cell r="K34">
            <v>1.1989243250955244E-3</v>
          </cell>
          <cell r="M34">
            <v>1000</v>
          </cell>
          <cell r="N34">
            <v>100</v>
          </cell>
          <cell r="O34">
            <v>1.1989243250955244E-3</v>
          </cell>
          <cell r="Q34">
            <v>219</v>
          </cell>
          <cell r="R34">
            <v>0.27</v>
          </cell>
          <cell r="S34">
            <v>0</v>
          </cell>
        </row>
        <row r="35">
          <cell r="C35" t="str">
            <v>Operating Expenses</v>
          </cell>
          <cell r="E35">
            <v>2000</v>
          </cell>
          <cell r="F35">
            <v>200</v>
          </cell>
          <cell r="G35">
            <v>2.3978486501910487E-3</v>
          </cell>
          <cell r="I35">
            <v>2000</v>
          </cell>
          <cell r="J35">
            <v>200</v>
          </cell>
          <cell r="K35">
            <v>2.3978486501910487E-3</v>
          </cell>
          <cell r="M35">
            <v>2000</v>
          </cell>
          <cell r="N35">
            <v>200</v>
          </cell>
          <cell r="O35">
            <v>2.3978486501910487E-3</v>
          </cell>
          <cell r="Q35">
            <v>2874</v>
          </cell>
          <cell r="R35">
            <v>4.5</v>
          </cell>
          <cell r="S35">
            <v>1.3</v>
          </cell>
        </row>
      </sheetData>
      <sheetData sheetId="69" refreshError="1">
        <row r="1">
          <cell r="F1"/>
          <cell r="K1"/>
        </row>
        <row r="4">
          <cell r="F4" t="str">
            <v xml:space="preserve">% PGI   </v>
          </cell>
          <cell r="I4" t="str">
            <v xml:space="preserve">Total      </v>
          </cell>
          <cell r="K4" t="str">
            <v xml:space="preserve">$/SF   </v>
          </cell>
        </row>
        <row r="5">
          <cell r="F5">
            <v>0.61799999999999999</v>
          </cell>
          <cell r="I5">
            <v>0</v>
          </cell>
          <cell r="K5">
            <v>0</v>
          </cell>
          <cell r="M5" t="str">
            <v>Hide</v>
          </cell>
        </row>
        <row r="6">
          <cell r="C6">
            <v>2005</v>
          </cell>
          <cell r="E6">
            <v>0.69499999999999995</v>
          </cell>
          <cell r="F6">
            <v>0.69499999999999995</v>
          </cell>
          <cell r="H6">
            <v>2005</v>
          </cell>
          <cell r="I6">
            <v>0</v>
          </cell>
          <cell r="J6">
            <v>0</v>
          </cell>
          <cell r="K6">
            <v>0</v>
          </cell>
          <cell r="M6" t="str">
            <v>Hide</v>
          </cell>
        </row>
        <row r="7">
          <cell r="C7" t="str">
            <v>2006 Annualized</v>
          </cell>
          <cell r="E7">
            <v>0.65800000000000003</v>
          </cell>
          <cell r="F7">
            <v>0.65800000000000003</v>
          </cell>
          <cell r="H7" t="str">
            <v>2006 Annualized</v>
          </cell>
          <cell r="I7">
            <v>0</v>
          </cell>
          <cell r="J7">
            <v>0</v>
          </cell>
          <cell r="K7">
            <v>0</v>
          </cell>
          <cell r="M7" t="str">
            <v>Hide</v>
          </cell>
        </row>
        <row r="8">
          <cell r="C8" t="str">
            <v>2007 Budget</v>
          </cell>
          <cell r="E8">
            <v>0.68400000000000005</v>
          </cell>
          <cell r="F8">
            <v>0.68400000000000005</v>
          </cell>
          <cell r="H8" t="str">
            <v>2007 Budget</v>
          </cell>
          <cell r="I8">
            <v>0</v>
          </cell>
          <cell r="J8">
            <v>0</v>
          </cell>
          <cell r="K8">
            <v>0</v>
          </cell>
          <cell r="M8" t="str">
            <v>Hide</v>
          </cell>
        </row>
        <row r="9">
          <cell r="F9">
            <v>0.92999999999999994</v>
          </cell>
          <cell r="I9">
            <v>0</v>
          </cell>
          <cell r="K9">
            <v>0</v>
          </cell>
        </row>
        <row r="13">
          <cell r="D13" t="str">
            <v xml:space="preserve">Total      </v>
          </cell>
          <cell r="F13" t="str">
            <v xml:space="preserve">$/SF   </v>
          </cell>
          <cell r="I13" t="str">
            <v xml:space="preserve">Total      </v>
          </cell>
          <cell r="K13" t="str">
            <v xml:space="preserve">$/SF   </v>
          </cell>
        </row>
        <row r="14">
          <cell r="D14">
            <v>0</v>
          </cell>
          <cell r="F14">
            <v>0</v>
          </cell>
          <cell r="I14">
            <v>0</v>
          </cell>
          <cell r="K14">
            <v>0</v>
          </cell>
          <cell r="M14" t="str">
            <v>Hide</v>
          </cell>
        </row>
        <row r="15">
          <cell r="C15">
            <v>2005</v>
          </cell>
          <cell r="D15">
            <v>0</v>
          </cell>
          <cell r="E15">
            <v>0</v>
          </cell>
          <cell r="F15">
            <v>0</v>
          </cell>
          <cell r="H15">
            <v>2005</v>
          </cell>
          <cell r="I15">
            <v>0</v>
          </cell>
          <cell r="J15">
            <v>0</v>
          </cell>
          <cell r="K15">
            <v>0</v>
          </cell>
          <cell r="M15" t="str">
            <v>Hide</v>
          </cell>
        </row>
        <row r="16">
          <cell r="C16" t="str">
            <v>2006 Annualized</v>
          </cell>
          <cell r="D16">
            <v>0</v>
          </cell>
          <cell r="E16">
            <v>0</v>
          </cell>
          <cell r="F16">
            <v>0</v>
          </cell>
          <cell r="H16" t="str">
            <v>2006 Annualized</v>
          </cell>
          <cell r="I16">
            <v>0</v>
          </cell>
          <cell r="J16">
            <v>0</v>
          </cell>
          <cell r="K16">
            <v>0</v>
          </cell>
          <cell r="M16" t="str">
            <v>Hide</v>
          </cell>
        </row>
        <row r="17">
          <cell r="C17" t="str">
            <v>2007 Budget</v>
          </cell>
          <cell r="D17">
            <v>0</v>
          </cell>
          <cell r="E17">
            <v>0</v>
          </cell>
          <cell r="F17">
            <v>0</v>
          </cell>
          <cell r="H17" t="str">
            <v>2007 Budget</v>
          </cell>
          <cell r="I17">
            <v>0</v>
          </cell>
          <cell r="J17">
            <v>0</v>
          </cell>
          <cell r="K17">
            <v>0</v>
          </cell>
          <cell r="M17" t="str">
            <v>Hide</v>
          </cell>
        </row>
        <row r="18">
          <cell r="D18">
            <v>0</v>
          </cell>
          <cell r="F18">
            <v>0</v>
          </cell>
          <cell r="I18">
            <v>0</v>
          </cell>
          <cell r="K18">
            <v>0</v>
          </cell>
        </row>
        <row r="22">
          <cell r="D22" t="str">
            <v xml:space="preserve">Total      </v>
          </cell>
          <cell r="F22" t="str">
            <v xml:space="preserve">$/SF   </v>
          </cell>
          <cell r="I22" t="str">
            <v xml:space="preserve">Total      </v>
          </cell>
          <cell r="K22" t="str">
            <v xml:space="preserve">$/SF   </v>
          </cell>
        </row>
        <row r="23">
          <cell r="D23">
            <v>0</v>
          </cell>
          <cell r="F23">
            <v>0</v>
          </cell>
          <cell r="I23">
            <v>0</v>
          </cell>
          <cell r="K23">
            <v>0</v>
          </cell>
          <cell r="M23" t="str">
            <v>Hide</v>
          </cell>
        </row>
        <row r="24">
          <cell r="C24">
            <v>2005</v>
          </cell>
          <cell r="D24">
            <v>0</v>
          </cell>
          <cell r="E24">
            <v>0</v>
          </cell>
          <cell r="F24">
            <v>0</v>
          </cell>
          <cell r="H24">
            <v>2005</v>
          </cell>
          <cell r="I24">
            <v>0</v>
          </cell>
          <cell r="J24">
            <v>0</v>
          </cell>
          <cell r="K24">
            <v>0</v>
          </cell>
          <cell r="M24" t="str">
            <v>Hide</v>
          </cell>
        </row>
        <row r="25">
          <cell r="C25" t="str">
            <v>2006 Annualized</v>
          </cell>
          <cell r="D25">
            <v>0</v>
          </cell>
          <cell r="E25">
            <v>0</v>
          </cell>
          <cell r="F25">
            <v>0</v>
          </cell>
          <cell r="H25" t="str">
            <v>2006 Annualized</v>
          </cell>
          <cell r="I25">
            <v>0</v>
          </cell>
          <cell r="J25">
            <v>0</v>
          </cell>
          <cell r="K25">
            <v>0</v>
          </cell>
          <cell r="M25" t="str">
            <v>Hide</v>
          </cell>
        </row>
        <row r="26">
          <cell r="C26" t="str">
            <v>2007 Budget</v>
          </cell>
          <cell r="D26">
            <v>0</v>
          </cell>
          <cell r="E26">
            <v>0</v>
          </cell>
          <cell r="F26">
            <v>0</v>
          </cell>
          <cell r="H26" t="str">
            <v>2007 Budget</v>
          </cell>
          <cell r="I26">
            <v>0</v>
          </cell>
          <cell r="J26">
            <v>0</v>
          </cell>
          <cell r="K26">
            <v>0</v>
          </cell>
          <cell r="M26" t="str">
            <v>Hide</v>
          </cell>
        </row>
        <row r="27">
          <cell r="D27">
            <v>0</v>
          </cell>
          <cell r="F27">
            <v>0</v>
          </cell>
          <cell r="I27">
            <v>0</v>
          </cell>
          <cell r="K27">
            <v>0</v>
          </cell>
        </row>
        <row r="31">
          <cell r="D31" t="str">
            <v xml:space="preserve">Total      </v>
          </cell>
          <cell r="F31" t="str">
            <v xml:space="preserve">$/SF   </v>
          </cell>
          <cell r="I31" t="str">
            <v xml:space="preserve">Total      </v>
          </cell>
          <cell r="K31" t="str">
            <v xml:space="preserve">% EGI   </v>
          </cell>
        </row>
        <row r="32">
          <cell r="D32">
            <v>0</v>
          </cell>
          <cell r="F32">
            <v>0</v>
          </cell>
          <cell r="I32">
            <v>0</v>
          </cell>
          <cell r="K32">
            <v>0</v>
          </cell>
          <cell r="M32" t="str">
            <v>Hide</v>
          </cell>
        </row>
        <row r="33">
          <cell r="C33">
            <v>2005</v>
          </cell>
          <cell r="D33">
            <v>0</v>
          </cell>
          <cell r="E33">
            <v>0</v>
          </cell>
          <cell r="F33">
            <v>0</v>
          </cell>
          <cell r="H33">
            <v>2005</v>
          </cell>
          <cell r="I33">
            <v>0</v>
          </cell>
          <cell r="J33">
            <v>0</v>
          </cell>
          <cell r="K33">
            <v>0</v>
          </cell>
          <cell r="M33" t="str">
            <v>Hide</v>
          </cell>
        </row>
        <row r="34">
          <cell r="C34" t="str">
            <v>2006 Annualized</v>
          </cell>
          <cell r="D34">
            <v>0</v>
          </cell>
          <cell r="E34">
            <v>0</v>
          </cell>
          <cell r="F34">
            <v>0</v>
          </cell>
          <cell r="H34" t="str">
            <v>2006 Annualized</v>
          </cell>
          <cell r="I34">
            <v>0</v>
          </cell>
          <cell r="J34">
            <v>0</v>
          </cell>
          <cell r="K34">
            <v>0</v>
          </cell>
          <cell r="M34" t="str">
            <v>Hide</v>
          </cell>
        </row>
        <row r="35">
          <cell r="C35" t="str">
            <v>2007 Budget</v>
          </cell>
          <cell r="D35">
            <v>0</v>
          </cell>
          <cell r="E35">
            <v>0</v>
          </cell>
          <cell r="F35">
            <v>0</v>
          </cell>
          <cell r="H35" t="str">
            <v>2007 Budget</v>
          </cell>
          <cell r="I35">
            <v>0</v>
          </cell>
          <cell r="J35">
            <v>0</v>
          </cell>
          <cell r="K35">
            <v>0</v>
          </cell>
          <cell r="M35" t="str">
            <v>Hide</v>
          </cell>
        </row>
        <row r="36">
          <cell r="D36">
            <v>0</v>
          </cell>
          <cell r="F36">
            <v>0</v>
          </cell>
          <cell r="I36">
            <v>2089.1519999999996</v>
          </cell>
          <cell r="K36">
            <v>2.9999999999999995E-2</v>
          </cell>
        </row>
        <row r="40">
          <cell r="D40" t="str">
            <v xml:space="preserve">Total      </v>
          </cell>
          <cell r="F40" t="str">
            <v xml:space="preserve">$/SF   </v>
          </cell>
          <cell r="I40" t="str">
            <v xml:space="preserve">Total      </v>
          </cell>
          <cell r="K40" t="str">
            <v xml:space="preserve">$/SF   </v>
          </cell>
          <cell r="N40">
            <v>1</v>
          </cell>
        </row>
        <row r="41">
          <cell r="D41">
            <v>0</v>
          </cell>
          <cell r="F41">
            <v>0</v>
          </cell>
          <cell r="I41">
            <v>0</v>
          </cell>
          <cell r="K41">
            <v>0</v>
          </cell>
          <cell r="M41" t="str">
            <v>Hide</v>
          </cell>
        </row>
        <row r="42">
          <cell r="C42">
            <v>2005</v>
          </cell>
          <cell r="D42">
            <v>0</v>
          </cell>
          <cell r="E42">
            <v>0</v>
          </cell>
          <cell r="F42">
            <v>0</v>
          </cell>
          <cell r="H42">
            <v>2005</v>
          </cell>
          <cell r="I42">
            <v>0</v>
          </cell>
          <cell r="J42">
            <v>0</v>
          </cell>
          <cell r="K42">
            <v>0</v>
          </cell>
          <cell r="M42" t="str">
            <v>Hide</v>
          </cell>
          <cell r="N42" t="b">
            <v>0</v>
          </cell>
        </row>
        <row r="43">
          <cell r="C43" t="str">
            <v>2006 Annualized</v>
          </cell>
          <cell r="D43">
            <v>0</v>
          </cell>
          <cell r="E43">
            <v>0</v>
          </cell>
          <cell r="F43">
            <v>0</v>
          </cell>
          <cell r="H43" t="str">
            <v>2006 Annualized</v>
          </cell>
          <cell r="I43">
            <v>0</v>
          </cell>
          <cell r="J43">
            <v>0</v>
          </cell>
          <cell r="K43">
            <v>0</v>
          </cell>
          <cell r="M43" t="str">
            <v>Hide</v>
          </cell>
          <cell r="N43" t="b">
            <v>0</v>
          </cell>
        </row>
        <row r="44">
          <cell r="C44" t="str">
            <v>2007 Budget</v>
          </cell>
          <cell r="D44">
            <v>0</v>
          </cell>
          <cell r="E44">
            <v>0</v>
          </cell>
          <cell r="F44">
            <v>0</v>
          </cell>
          <cell r="H44" t="str">
            <v>2007 Budget</v>
          </cell>
          <cell r="I44">
            <v>0</v>
          </cell>
          <cell r="J44">
            <v>0</v>
          </cell>
          <cell r="K44">
            <v>0</v>
          </cell>
          <cell r="M44" t="str">
            <v>Hide</v>
          </cell>
          <cell r="N44" t="b">
            <v>0</v>
          </cell>
        </row>
        <row r="45">
          <cell r="D45" t="str">
            <v xml:space="preserve">N/A      </v>
          </cell>
          <cell r="F45">
            <v>0</v>
          </cell>
          <cell r="I45" t="str">
            <v xml:space="preserve">N/A      </v>
          </cell>
          <cell r="K45">
            <v>0</v>
          </cell>
          <cell r="M45" t="str">
            <v>Hide</v>
          </cell>
        </row>
        <row r="46">
          <cell r="D46" t="str">
            <v xml:space="preserve">N/A      </v>
          </cell>
          <cell r="F46">
            <v>0</v>
          </cell>
          <cell r="I46" t="str">
            <v xml:space="preserve">N/A      </v>
          </cell>
          <cell r="K46">
            <v>0</v>
          </cell>
          <cell r="M46" t="str">
            <v>Hide</v>
          </cell>
        </row>
        <row r="47">
          <cell r="D47" t="str">
            <v xml:space="preserve">N/A      </v>
          </cell>
          <cell r="F47">
            <v>0</v>
          </cell>
          <cell r="I47" t="str">
            <v xml:space="preserve">N/A      </v>
          </cell>
          <cell r="K47">
            <v>0</v>
          </cell>
          <cell r="M47" t="str">
            <v>Hide</v>
          </cell>
        </row>
        <row r="48">
          <cell r="D48" t="str">
            <v xml:space="preserve">N/A      </v>
          </cell>
          <cell r="F48" t="str">
            <v xml:space="preserve">N/A  </v>
          </cell>
          <cell r="I48" t="str">
            <v xml:space="preserve">N/A      </v>
          </cell>
          <cell r="K48" t="str">
            <v xml:space="preserve">N/A  </v>
          </cell>
          <cell r="M48" t="str">
            <v>Hide</v>
          </cell>
          <cell r="N48" t="b">
            <v>0</v>
          </cell>
        </row>
        <row r="49">
          <cell r="D49" t="str">
            <v xml:space="preserve">N/A      </v>
          </cell>
          <cell r="F49">
            <v>0</v>
          </cell>
          <cell r="I49" t="str">
            <v xml:space="preserve">N/A      </v>
          </cell>
          <cell r="K49">
            <v>0</v>
          </cell>
          <cell r="M49" t="str">
            <v>Hide</v>
          </cell>
        </row>
        <row r="50">
          <cell r="D50" t="str">
            <v xml:space="preserve">N/A      </v>
          </cell>
          <cell r="F50">
            <v>0</v>
          </cell>
          <cell r="I50" t="str">
            <v xml:space="preserve">N/A      </v>
          </cell>
          <cell r="K50">
            <v>0</v>
          </cell>
          <cell r="M50" t="str">
            <v>Hide</v>
          </cell>
        </row>
        <row r="51">
          <cell r="D51">
            <v>0</v>
          </cell>
          <cell r="F51">
            <v>0</v>
          </cell>
          <cell r="I51">
            <v>0</v>
          </cell>
          <cell r="K51">
            <v>0</v>
          </cell>
        </row>
        <row r="55">
          <cell r="D55" t="str">
            <v xml:space="preserve">Total      </v>
          </cell>
          <cell r="F55" t="str">
            <v xml:space="preserve">$/SF   </v>
          </cell>
          <cell r="I55" t="str">
            <v xml:space="preserve">Total      </v>
          </cell>
          <cell r="K55" t="str">
            <v xml:space="preserve">$/SF   </v>
          </cell>
        </row>
        <row r="56">
          <cell r="C56">
            <v>2004</v>
          </cell>
          <cell r="D56">
            <v>0</v>
          </cell>
          <cell r="E56">
            <v>0</v>
          </cell>
          <cell r="F56">
            <v>0</v>
          </cell>
          <cell r="H56">
            <v>2004</v>
          </cell>
          <cell r="I56">
            <v>0</v>
          </cell>
          <cell r="J56">
            <v>0</v>
          </cell>
          <cell r="K56">
            <v>0</v>
          </cell>
          <cell r="M56" t="str">
            <v>Hide</v>
          </cell>
        </row>
        <row r="57">
          <cell r="C57">
            <v>2005</v>
          </cell>
          <cell r="D57">
            <v>0</v>
          </cell>
          <cell r="E57">
            <v>0</v>
          </cell>
          <cell r="F57">
            <v>0</v>
          </cell>
          <cell r="H57">
            <v>2005</v>
          </cell>
          <cell r="I57">
            <v>0</v>
          </cell>
          <cell r="J57">
            <v>0</v>
          </cell>
          <cell r="K57">
            <v>0</v>
          </cell>
          <cell r="M57" t="str">
            <v>Hide</v>
          </cell>
        </row>
        <row r="58">
          <cell r="C58" t="str">
            <v>2006 Annualized</v>
          </cell>
          <cell r="D58">
            <v>0</v>
          </cell>
          <cell r="E58">
            <v>0</v>
          </cell>
          <cell r="F58">
            <v>0</v>
          </cell>
          <cell r="H58" t="str">
            <v>2006 Annualized</v>
          </cell>
          <cell r="I58">
            <v>0</v>
          </cell>
          <cell r="J58">
            <v>0</v>
          </cell>
          <cell r="K58">
            <v>0</v>
          </cell>
          <cell r="M58" t="str">
            <v>Hide</v>
          </cell>
        </row>
        <row r="59">
          <cell r="D59">
            <v>0</v>
          </cell>
          <cell r="F59">
            <v>0</v>
          </cell>
          <cell r="I59">
            <v>0</v>
          </cell>
          <cell r="K59">
            <v>0</v>
          </cell>
          <cell r="M59" t="str">
            <v>Hide</v>
          </cell>
        </row>
        <row r="60">
          <cell r="D60" t="str">
            <v xml:space="preserve">N/A      </v>
          </cell>
          <cell r="F60">
            <v>0</v>
          </cell>
          <cell r="I60" t="str">
            <v xml:space="preserve">N/A      </v>
          </cell>
          <cell r="K60">
            <v>0</v>
          </cell>
          <cell r="M60" t="str">
            <v>Hide</v>
          </cell>
        </row>
        <row r="61">
          <cell r="D61" t="str">
            <v xml:space="preserve">N/A      </v>
          </cell>
          <cell r="F61">
            <v>0</v>
          </cell>
          <cell r="I61" t="str">
            <v xml:space="preserve">N/A      </v>
          </cell>
          <cell r="K61">
            <v>0</v>
          </cell>
          <cell r="M61" t="str">
            <v>Hide</v>
          </cell>
        </row>
        <row r="62">
          <cell r="D62" t="str">
            <v xml:space="preserve">N/A      </v>
          </cell>
          <cell r="F62">
            <v>0</v>
          </cell>
          <cell r="I62" t="str">
            <v xml:space="preserve">N/A      </v>
          </cell>
          <cell r="K62">
            <v>0</v>
          </cell>
          <cell r="M62" t="str">
            <v>Hide</v>
          </cell>
        </row>
        <row r="63">
          <cell r="D63" t="str">
            <v xml:space="preserve">N/A      </v>
          </cell>
          <cell r="F63" t="str">
            <v xml:space="preserve">N/A  </v>
          </cell>
          <cell r="I63" t="str">
            <v xml:space="preserve">N/A      </v>
          </cell>
          <cell r="K63" t="str">
            <v xml:space="preserve">N/A  </v>
          </cell>
          <cell r="M63" t="str">
            <v>Hide</v>
          </cell>
        </row>
        <row r="64">
          <cell r="D64" t="str">
            <v xml:space="preserve">N/A      </v>
          </cell>
          <cell r="F64">
            <v>0</v>
          </cell>
          <cell r="I64" t="str">
            <v xml:space="preserve">N/A      </v>
          </cell>
          <cell r="K64">
            <v>0</v>
          </cell>
          <cell r="M64" t="str">
            <v>Hide</v>
          </cell>
        </row>
        <row r="65">
          <cell r="D65" t="str">
            <v xml:space="preserve">N/A      </v>
          </cell>
          <cell r="F65">
            <v>0</v>
          </cell>
          <cell r="I65" t="str">
            <v xml:space="preserve">N/A      </v>
          </cell>
          <cell r="K65">
            <v>0</v>
          </cell>
          <cell r="M65" t="str">
            <v>Hide</v>
          </cell>
        </row>
        <row r="66">
          <cell r="D66">
            <v>0</v>
          </cell>
          <cell r="F66">
            <v>0</v>
          </cell>
          <cell r="I66">
            <v>0</v>
          </cell>
          <cell r="K66">
            <v>0</v>
          </cell>
        </row>
        <row r="70">
          <cell r="D70" t="str">
            <v xml:space="preserve">Total      </v>
          </cell>
          <cell r="F70" t="str">
            <v xml:space="preserve">$/SF   </v>
          </cell>
          <cell r="I70" t="str">
            <v xml:space="preserve">Total      </v>
          </cell>
          <cell r="K70" t="str">
            <v xml:space="preserve">$/SF   </v>
          </cell>
        </row>
        <row r="71">
          <cell r="D71">
            <v>0</v>
          </cell>
          <cell r="F71">
            <v>0</v>
          </cell>
          <cell r="I71">
            <v>0</v>
          </cell>
          <cell r="K71">
            <v>0</v>
          </cell>
          <cell r="M71" t="str">
            <v>Hide</v>
          </cell>
        </row>
        <row r="72">
          <cell r="D72">
            <v>0</v>
          </cell>
          <cell r="F72">
            <v>0</v>
          </cell>
          <cell r="I72">
            <v>0</v>
          </cell>
          <cell r="K72">
            <v>0</v>
          </cell>
          <cell r="M72" t="str">
            <v>Hide</v>
          </cell>
        </row>
        <row r="73">
          <cell r="D73">
            <v>0</v>
          </cell>
          <cell r="F73">
            <v>0</v>
          </cell>
          <cell r="I73">
            <v>0</v>
          </cell>
          <cell r="K73">
            <v>0</v>
          </cell>
          <cell r="M73" t="str">
            <v>Hide</v>
          </cell>
        </row>
        <row r="74">
          <cell r="D74">
            <v>0</v>
          </cell>
          <cell r="F74">
            <v>0</v>
          </cell>
          <cell r="I74">
            <v>0</v>
          </cell>
          <cell r="K74">
            <v>0</v>
          </cell>
          <cell r="M74" t="str">
            <v>Hide</v>
          </cell>
        </row>
        <row r="75">
          <cell r="D75" t="str">
            <v xml:space="preserve">N/A      </v>
          </cell>
          <cell r="F75">
            <v>0</v>
          </cell>
          <cell r="I75" t="str">
            <v xml:space="preserve">N/A      </v>
          </cell>
          <cell r="K75">
            <v>0</v>
          </cell>
          <cell r="M75" t="str">
            <v>Hide</v>
          </cell>
        </row>
        <row r="76">
          <cell r="D76" t="str">
            <v xml:space="preserve">N/A      </v>
          </cell>
          <cell r="F76">
            <v>0</v>
          </cell>
          <cell r="I76" t="str">
            <v xml:space="preserve">N/A      </v>
          </cell>
          <cell r="K76">
            <v>0</v>
          </cell>
          <cell r="M76" t="str">
            <v>Hide</v>
          </cell>
        </row>
        <row r="77">
          <cell r="D77" t="str">
            <v xml:space="preserve">N/A      </v>
          </cell>
          <cell r="F77">
            <v>0</v>
          </cell>
          <cell r="I77" t="str">
            <v xml:space="preserve">N/A      </v>
          </cell>
          <cell r="K77">
            <v>0</v>
          </cell>
          <cell r="M77" t="str">
            <v>Hide</v>
          </cell>
        </row>
        <row r="78">
          <cell r="D78" t="str">
            <v xml:space="preserve">N/A      </v>
          </cell>
          <cell r="F78" t="str">
            <v xml:space="preserve">N/A  </v>
          </cell>
          <cell r="I78" t="str">
            <v xml:space="preserve">N/A      </v>
          </cell>
          <cell r="K78" t="str">
            <v xml:space="preserve">N/A  </v>
          </cell>
          <cell r="M78" t="str">
            <v>Hide</v>
          </cell>
        </row>
        <row r="79">
          <cell r="D79" t="str">
            <v xml:space="preserve">N/A      </v>
          </cell>
          <cell r="F79">
            <v>0</v>
          </cell>
          <cell r="I79" t="str">
            <v xml:space="preserve">N/A      </v>
          </cell>
          <cell r="K79">
            <v>0</v>
          </cell>
          <cell r="M79" t="str">
            <v>Hide</v>
          </cell>
        </row>
        <row r="80">
          <cell r="D80" t="str">
            <v xml:space="preserve">N/A      </v>
          </cell>
          <cell r="F80">
            <v>0</v>
          </cell>
          <cell r="I80" t="str">
            <v xml:space="preserve">N/A      </v>
          </cell>
          <cell r="K80">
            <v>0</v>
          </cell>
          <cell r="M80" t="str">
            <v>Hide</v>
          </cell>
        </row>
        <row r="81">
          <cell r="D81">
            <v>0</v>
          </cell>
          <cell r="F81">
            <v>0</v>
          </cell>
          <cell r="I81">
            <v>0</v>
          </cell>
          <cell r="K81">
            <v>0</v>
          </cell>
        </row>
        <row r="85">
          <cell r="D85" t="str">
            <v xml:space="preserve">Total      </v>
          </cell>
          <cell r="F85" t="str">
            <v xml:space="preserve">$/SF   </v>
          </cell>
          <cell r="I85" t="str">
            <v xml:space="preserve">Total      </v>
          </cell>
          <cell r="K85" t="str">
            <v xml:space="preserve">$/SF   </v>
          </cell>
        </row>
        <row r="86">
          <cell r="D86">
            <v>0</v>
          </cell>
          <cell r="F86">
            <v>0</v>
          </cell>
          <cell r="I86">
            <v>0</v>
          </cell>
          <cell r="K86">
            <v>0</v>
          </cell>
          <cell r="M86" t="str">
            <v>Hide</v>
          </cell>
        </row>
        <row r="87">
          <cell r="D87">
            <v>0</v>
          </cell>
          <cell r="F87">
            <v>0</v>
          </cell>
          <cell r="I87">
            <v>0</v>
          </cell>
          <cell r="K87">
            <v>0</v>
          </cell>
          <cell r="M87" t="str">
            <v>Hide</v>
          </cell>
        </row>
        <row r="88">
          <cell r="D88">
            <v>0</v>
          </cell>
          <cell r="F88">
            <v>0</v>
          </cell>
          <cell r="I88">
            <v>0</v>
          </cell>
          <cell r="K88">
            <v>0</v>
          </cell>
          <cell r="M88" t="str">
            <v>Hide</v>
          </cell>
        </row>
        <row r="89">
          <cell r="D89">
            <v>0</v>
          </cell>
          <cell r="F89">
            <v>0</v>
          </cell>
          <cell r="I89">
            <v>0</v>
          </cell>
          <cell r="K89">
            <v>0</v>
          </cell>
          <cell r="M89" t="str">
            <v>Hide</v>
          </cell>
        </row>
        <row r="90">
          <cell r="D90" t="str">
            <v xml:space="preserve">N/A      </v>
          </cell>
          <cell r="F90">
            <v>0</v>
          </cell>
          <cell r="I90" t="str">
            <v xml:space="preserve">N/A      </v>
          </cell>
          <cell r="K90">
            <v>0</v>
          </cell>
          <cell r="M90" t="str">
            <v>Hide</v>
          </cell>
        </row>
        <row r="91">
          <cell r="D91" t="str">
            <v xml:space="preserve">N/A      </v>
          </cell>
          <cell r="F91">
            <v>0</v>
          </cell>
          <cell r="I91" t="str">
            <v xml:space="preserve">N/A      </v>
          </cell>
          <cell r="K91">
            <v>0</v>
          </cell>
          <cell r="M91" t="str">
            <v>Hide</v>
          </cell>
        </row>
        <row r="92">
          <cell r="D92" t="str">
            <v xml:space="preserve">N/A      </v>
          </cell>
          <cell r="F92">
            <v>0</v>
          </cell>
          <cell r="I92" t="str">
            <v xml:space="preserve">N/A      </v>
          </cell>
          <cell r="K92">
            <v>0</v>
          </cell>
          <cell r="M92" t="str">
            <v>Hide</v>
          </cell>
        </row>
        <row r="93">
          <cell r="D93" t="str">
            <v xml:space="preserve">N/A      </v>
          </cell>
          <cell r="F93" t="str">
            <v xml:space="preserve">N/A  </v>
          </cell>
          <cell r="I93" t="str">
            <v xml:space="preserve">N/A      </v>
          </cell>
          <cell r="K93" t="str">
            <v xml:space="preserve">N/A  </v>
          </cell>
          <cell r="M93" t="str">
            <v>Hide</v>
          </cell>
        </row>
        <row r="94">
          <cell r="D94" t="str">
            <v xml:space="preserve">N/A      </v>
          </cell>
          <cell r="F94">
            <v>0</v>
          </cell>
          <cell r="I94" t="str">
            <v xml:space="preserve">N/A      </v>
          </cell>
          <cell r="K94">
            <v>0</v>
          </cell>
          <cell r="M94" t="str">
            <v>Hide</v>
          </cell>
        </row>
        <row r="95">
          <cell r="D95" t="str">
            <v xml:space="preserve">N/A      </v>
          </cell>
          <cell r="F95">
            <v>0</v>
          </cell>
          <cell r="I95" t="str">
            <v xml:space="preserve">N/A      </v>
          </cell>
          <cell r="K95">
            <v>0</v>
          </cell>
          <cell r="M95" t="str">
            <v>Hide</v>
          </cell>
        </row>
        <row r="96">
          <cell r="D96">
            <v>0</v>
          </cell>
          <cell r="F96">
            <v>0</v>
          </cell>
          <cell r="I96">
            <v>0</v>
          </cell>
          <cell r="K96">
            <v>0</v>
          </cell>
        </row>
        <row r="100">
          <cell r="D100" t="str">
            <v xml:space="preserve">Total      </v>
          </cell>
          <cell r="F100" t="str">
            <v xml:space="preserve">$/SF   </v>
          </cell>
          <cell r="I100" t="str">
            <v xml:space="preserve">Total      </v>
          </cell>
          <cell r="K100" t="str">
            <v xml:space="preserve">$/SF   </v>
          </cell>
        </row>
        <row r="101">
          <cell r="D101">
            <v>0</v>
          </cell>
          <cell r="F101">
            <v>0</v>
          </cell>
          <cell r="I101">
            <v>0</v>
          </cell>
          <cell r="K101">
            <v>0</v>
          </cell>
          <cell r="M101" t="str">
            <v>Hide</v>
          </cell>
        </row>
        <row r="102">
          <cell r="D102">
            <v>0</v>
          </cell>
          <cell r="F102">
            <v>0</v>
          </cell>
          <cell r="I102">
            <v>0</v>
          </cell>
          <cell r="K102">
            <v>0</v>
          </cell>
          <cell r="M102" t="str">
            <v>Hide</v>
          </cell>
        </row>
        <row r="103">
          <cell r="D103">
            <v>0</v>
          </cell>
          <cell r="F103">
            <v>0</v>
          </cell>
          <cell r="I103">
            <v>0</v>
          </cell>
          <cell r="K103">
            <v>0</v>
          </cell>
          <cell r="M103" t="str">
            <v>Hide</v>
          </cell>
        </row>
        <row r="104">
          <cell r="D104">
            <v>0</v>
          </cell>
          <cell r="F104">
            <v>0</v>
          </cell>
          <cell r="I104">
            <v>0</v>
          </cell>
          <cell r="K104">
            <v>0</v>
          </cell>
          <cell r="M104" t="str">
            <v>Hide</v>
          </cell>
        </row>
        <row r="105">
          <cell r="D105" t="str">
            <v xml:space="preserve">N/A      </v>
          </cell>
          <cell r="F105">
            <v>0</v>
          </cell>
          <cell r="I105" t="str">
            <v xml:space="preserve">N/A      </v>
          </cell>
          <cell r="K105">
            <v>0</v>
          </cell>
          <cell r="M105" t="str">
            <v>Hide</v>
          </cell>
        </row>
        <row r="106">
          <cell r="D106" t="str">
            <v xml:space="preserve">N/A      </v>
          </cell>
          <cell r="F106">
            <v>0</v>
          </cell>
          <cell r="I106" t="str">
            <v xml:space="preserve">N/A      </v>
          </cell>
          <cell r="K106">
            <v>0</v>
          </cell>
          <cell r="M106" t="str">
            <v>Hide</v>
          </cell>
        </row>
        <row r="107">
          <cell r="D107" t="str">
            <v xml:space="preserve">N/A      </v>
          </cell>
          <cell r="F107">
            <v>0</v>
          </cell>
          <cell r="I107" t="str">
            <v xml:space="preserve">N/A      </v>
          </cell>
          <cell r="K107">
            <v>0</v>
          </cell>
          <cell r="M107" t="str">
            <v>Hide</v>
          </cell>
        </row>
        <row r="108">
          <cell r="D108" t="str">
            <v xml:space="preserve">N/A      </v>
          </cell>
          <cell r="F108" t="str">
            <v xml:space="preserve">N/A  </v>
          </cell>
          <cell r="I108" t="str">
            <v xml:space="preserve">N/A      </v>
          </cell>
          <cell r="K108" t="str">
            <v xml:space="preserve">N/A  </v>
          </cell>
          <cell r="M108" t="str">
            <v>Hide</v>
          </cell>
        </row>
        <row r="109">
          <cell r="D109" t="str">
            <v xml:space="preserve">N/A      </v>
          </cell>
          <cell r="F109">
            <v>0</v>
          </cell>
          <cell r="I109" t="str">
            <v xml:space="preserve">N/A      </v>
          </cell>
          <cell r="K109">
            <v>0</v>
          </cell>
          <cell r="M109" t="str">
            <v>Hide</v>
          </cell>
        </row>
        <row r="110">
          <cell r="D110" t="str">
            <v xml:space="preserve">N/A      </v>
          </cell>
          <cell r="F110">
            <v>0</v>
          </cell>
          <cell r="I110" t="str">
            <v xml:space="preserve">N/A      </v>
          </cell>
          <cell r="K110">
            <v>0</v>
          </cell>
          <cell r="M110" t="str">
            <v>Hide</v>
          </cell>
        </row>
        <row r="111">
          <cell r="D111">
            <v>0</v>
          </cell>
          <cell r="F111">
            <v>0</v>
          </cell>
          <cell r="I111">
            <v>0</v>
          </cell>
          <cell r="K111">
            <v>0</v>
          </cell>
        </row>
        <row r="115">
          <cell r="D115" t="str">
            <v xml:space="preserve">Total      </v>
          </cell>
          <cell r="F115" t="str">
            <v xml:space="preserve">$/SF   </v>
          </cell>
          <cell r="I115" t="str">
            <v xml:space="preserve">Total      </v>
          </cell>
          <cell r="K115" t="str">
            <v xml:space="preserve">$/SF   </v>
          </cell>
        </row>
        <row r="116">
          <cell r="D116">
            <v>0</v>
          </cell>
          <cell r="F116">
            <v>0</v>
          </cell>
          <cell r="I116">
            <v>0</v>
          </cell>
          <cell r="K116">
            <v>0</v>
          </cell>
          <cell r="M116" t="str">
            <v>Hide</v>
          </cell>
        </row>
        <row r="117">
          <cell r="D117">
            <v>0</v>
          </cell>
          <cell r="F117">
            <v>0</v>
          </cell>
          <cell r="I117">
            <v>0</v>
          </cell>
          <cell r="K117">
            <v>0</v>
          </cell>
          <cell r="M117" t="str">
            <v>Hide</v>
          </cell>
        </row>
        <row r="118">
          <cell r="D118">
            <v>0</v>
          </cell>
          <cell r="F118">
            <v>0</v>
          </cell>
          <cell r="I118">
            <v>0</v>
          </cell>
          <cell r="K118">
            <v>0</v>
          </cell>
          <cell r="M118" t="str">
            <v>Hide</v>
          </cell>
        </row>
        <row r="119">
          <cell r="D119">
            <v>0</v>
          </cell>
          <cell r="F119">
            <v>0</v>
          </cell>
          <cell r="I119">
            <v>0</v>
          </cell>
          <cell r="K119">
            <v>0</v>
          </cell>
          <cell r="M119" t="str">
            <v>Hide</v>
          </cell>
        </row>
        <row r="120">
          <cell r="D120" t="str">
            <v xml:space="preserve">N/A      </v>
          </cell>
          <cell r="F120">
            <v>0</v>
          </cell>
          <cell r="I120" t="str">
            <v xml:space="preserve">N/A      </v>
          </cell>
          <cell r="K120">
            <v>0</v>
          </cell>
          <cell r="M120" t="str">
            <v>Hide</v>
          </cell>
        </row>
        <row r="121">
          <cell r="D121" t="str">
            <v xml:space="preserve">N/A      </v>
          </cell>
          <cell r="F121">
            <v>0</v>
          </cell>
          <cell r="I121" t="str">
            <v xml:space="preserve">N/A      </v>
          </cell>
          <cell r="K121">
            <v>0</v>
          </cell>
          <cell r="M121" t="str">
            <v>Hide</v>
          </cell>
        </row>
        <row r="122">
          <cell r="D122" t="str">
            <v xml:space="preserve">N/A      </v>
          </cell>
          <cell r="F122">
            <v>0</v>
          </cell>
          <cell r="I122" t="str">
            <v xml:space="preserve">N/A      </v>
          </cell>
          <cell r="K122">
            <v>0</v>
          </cell>
          <cell r="M122" t="str">
            <v>Hide</v>
          </cell>
        </row>
        <row r="123">
          <cell r="D123" t="str">
            <v xml:space="preserve">N/A      </v>
          </cell>
          <cell r="F123" t="str">
            <v xml:space="preserve">N/A  </v>
          </cell>
          <cell r="I123" t="str">
            <v xml:space="preserve">N/A      </v>
          </cell>
          <cell r="K123" t="str">
            <v xml:space="preserve">N/A  </v>
          </cell>
          <cell r="M123" t="str">
            <v>Hide</v>
          </cell>
        </row>
        <row r="124">
          <cell r="D124" t="str">
            <v xml:space="preserve">N/A      </v>
          </cell>
          <cell r="F124">
            <v>0</v>
          </cell>
          <cell r="I124" t="str">
            <v xml:space="preserve">N/A      </v>
          </cell>
          <cell r="K124">
            <v>0</v>
          </cell>
          <cell r="M124" t="str">
            <v>Hide</v>
          </cell>
        </row>
        <row r="125">
          <cell r="D125" t="str">
            <v xml:space="preserve">N/A      </v>
          </cell>
          <cell r="F125">
            <v>0</v>
          </cell>
          <cell r="I125" t="str">
            <v xml:space="preserve">N/A      </v>
          </cell>
          <cell r="K125">
            <v>0</v>
          </cell>
          <cell r="M125" t="str">
            <v>Hide</v>
          </cell>
        </row>
        <row r="126">
          <cell r="D126">
            <v>0</v>
          </cell>
          <cell r="F126">
            <v>0</v>
          </cell>
          <cell r="I126">
            <v>0</v>
          </cell>
          <cell r="K126">
            <v>0</v>
          </cell>
        </row>
        <row r="130">
          <cell r="D130" t="str">
            <v xml:space="preserve">Total      </v>
          </cell>
          <cell r="F130" t="str">
            <v xml:space="preserve">$/SF   </v>
          </cell>
          <cell r="I130" t="str">
            <v xml:space="preserve">Total      </v>
          </cell>
          <cell r="K130" t="str">
            <v xml:space="preserve">$/SF   </v>
          </cell>
        </row>
        <row r="131">
          <cell r="D131">
            <v>0</v>
          </cell>
          <cell r="F131">
            <v>0</v>
          </cell>
          <cell r="I131">
            <v>0</v>
          </cell>
          <cell r="K131">
            <v>0</v>
          </cell>
          <cell r="M131" t="str">
            <v>Hide</v>
          </cell>
        </row>
        <row r="132">
          <cell r="D132">
            <v>0</v>
          </cell>
          <cell r="F132">
            <v>0</v>
          </cell>
          <cell r="I132">
            <v>0</v>
          </cell>
          <cell r="K132">
            <v>0</v>
          </cell>
          <cell r="M132" t="str">
            <v>Hide</v>
          </cell>
        </row>
        <row r="133">
          <cell r="D133">
            <v>0</v>
          </cell>
          <cell r="F133">
            <v>0</v>
          </cell>
          <cell r="I133">
            <v>0</v>
          </cell>
          <cell r="K133">
            <v>0</v>
          </cell>
          <cell r="M133" t="str">
            <v>Hide</v>
          </cell>
        </row>
        <row r="134">
          <cell r="D134">
            <v>0</v>
          </cell>
          <cell r="F134">
            <v>0</v>
          </cell>
          <cell r="I134">
            <v>0</v>
          </cell>
          <cell r="K134">
            <v>0</v>
          </cell>
          <cell r="M134" t="str">
            <v>Hide</v>
          </cell>
        </row>
        <row r="135">
          <cell r="D135" t="str">
            <v xml:space="preserve">N/A      </v>
          </cell>
          <cell r="F135">
            <v>0</v>
          </cell>
          <cell r="I135" t="str">
            <v xml:space="preserve">N/A      </v>
          </cell>
          <cell r="K135">
            <v>0</v>
          </cell>
          <cell r="M135" t="str">
            <v>Hide</v>
          </cell>
        </row>
        <row r="136">
          <cell r="D136" t="str">
            <v xml:space="preserve">N/A      </v>
          </cell>
          <cell r="F136">
            <v>0</v>
          </cell>
          <cell r="I136" t="str">
            <v xml:space="preserve">N/A      </v>
          </cell>
          <cell r="K136">
            <v>0</v>
          </cell>
          <cell r="M136" t="str">
            <v>Hide</v>
          </cell>
        </row>
        <row r="137">
          <cell r="D137" t="str">
            <v xml:space="preserve">N/A      </v>
          </cell>
          <cell r="F137">
            <v>0</v>
          </cell>
          <cell r="I137" t="str">
            <v xml:space="preserve">N/A      </v>
          </cell>
          <cell r="K137">
            <v>0</v>
          </cell>
          <cell r="M137" t="str">
            <v>Hide</v>
          </cell>
        </row>
        <row r="138">
          <cell r="D138" t="str">
            <v xml:space="preserve">N/A      </v>
          </cell>
          <cell r="F138" t="str">
            <v xml:space="preserve">N/A  </v>
          </cell>
          <cell r="I138" t="str">
            <v xml:space="preserve">N/A      </v>
          </cell>
          <cell r="K138" t="str">
            <v xml:space="preserve">N/A  </v>
          </cell>
          <cell r="M138" t="str">
            <v>Hide</v>
          </cell>
        </row>
        <row r="139">
          <cell r="D139" t="str">
            <v xml:space="preserve">N/A      </v>
          </cell>
          <cell r="F139">
            <v>0</v>
          </cell>
          <cell r="I139" t="str">
            <v xml:space="preserve">N/A      </v>
          </cell>
          <cell r="K139">
            <v>0</v>
          </cell>
          <cell r="M139" t="str">
            <v>Hide</v>
          </cell>
        </row>
        <row r="140">
          <cell r="D140" t="str">
            <v xml:space="preserve">N/A      </v>
          </cell>
          <cell r="F140">
            <v>0</v>
          </cell>
          <cell r="I140" t="str">
            <v xml:space="preserve">N/A      </v>
          </cell>
          <cell r="K140">
            <v>0</v>
          </cell>
          <cell r="M140" t="str">
            <v>Hide</v>
          </cell>
        </row>
        <row r="141">
          <cell r="D141">
            <v>0</v>
          </cell>
          <cell r="F141">
            <v>0</v>
          </cell>
          <cell r="I141">
            <v>0</v>
          </cell>
          <cell r="K141">
            <v>0</v>
          </cell>
        </row>
        <row r="145">
          <cell r="D145" t="str">
            <v xml:space="preserve">Total      </v>
          </cell>
          <cell r="F145" t="str">
            <v xml:space="preserve">$/SF   </v>
          </cell>
          <cell r="I145" t="str">
            <v xml:space="preserve">Total      </v>
          </cell>
          <cell r="K145" t="str">
            <v xml:space="preserve">$/SF   </v>
          </cell>
        </row>
        <row r="146">
          <cell r="D146">
            <v>0</v>
          </cell>
          <cell r="F146">
            <v>0</v>
          </cell>
          <cell r="I146">
            <v>0</v>
          </cell>
          <cell r="K146">
            <v>0</v>
          </cell>
          <cell r="M146" t="str">
            <v>Hide</v>
          </cell>
        </row>
        <row r="147">
          <cell r="D147">
            <v>0</v>
          </cell>
          <cell r="F147">
            <v>0</v>
          </cell>
          <cell r="I147">
            <v>0</v>
          </cell>
          <cell r="K147">
            <v>0</v>
          </cell>
          <cell r="M147" t="str">
            <v>Hide</v>
          </cell>
        </row>
        <row r="148">
          <cell r="D148">
            <v>0</v>
          </cell>
          <cell r="F148">
            <v>0</v>
          </cell>
          <cell r="I148">
            <v>0</v>
          </cell>
          <cell r="K148">
            <v>0</v>
          </cell>
          <cell r="M148" t="str">
            <v>Hide</v>
          </cell>
        </row>
        <row r="149">
          <cell r="D149">
            <v>0</v>
          </cell>
          <cell r="F149">
            <v>0</v>
          </cell>
          <cell r="I149">
            <v>0</v>
          </cell>
          <cell r="K149">
            <v>0</v>
          </cell>
          <cell r="M149" t="str">
            <v>Hide</v>
          </cell>
        </row>
        <row r="150">
          <cell r="D150" t="str">
            <v xml:space="preserve">N/A      </v>
          </cell>
          <cell r="F150">
            <v>0</v>
          </cell>
          <cell r="I150" t="str">
            <v xml:space="preserve">N/A      </v>
          </cell>
          <cell r="K150">
            <v>0</v>
          </cell>
          <cell r="M150" t="str">
            <v>Hide</v>
          </cell>
        </row>
        <row r="151">
          <cell r="D151" t="str">
            <v xml:space="preserve">N/A      </v>
          </cell>
          <cell r="F151">
            <v>0</v>
          </cell>
          <cell r="I151" t="str">
            <v xml:space="preserve">N/A      </v>
          </cell>
          <cell r="K151">
            <v>0</v>
          </cell>
          <cell r="M151" t="str">
            <v>Hide</v>
          </cell>
        </row>
        <row r="152">
          <cell r="D152" t="str">
            <v xml:space="preserve">N/A      </v>
          </cell>
          <cell r="F152">
            <v>0</v>
          </cell>
          <cell r="I152" t="str">
            <v xml:space="preserve">N/A      </v>
          </cell>
          <cell r="K152">
            <v>0</v>
          </cell>
          <cell r="M152" t="str">
            <v>Hide</v>
          </cell>
        </row>
        <row r="153">
          <cell r="D153" t="str">
            <v xml:space="preserve">N/A      </v>
          </cell>
          <cell r="F153" t="str">
            <v xml:space="preserve">N/A  </v>
          </cell>
          <cell r="I153" t="str">
            <v xml:space="preserve">N/A      </v>
          </cell>
          <cell r="K153" t="str">
            <v xml:space="preserve">N/A  </v>
          </cell>
          <cell r="M153" t="str">
            <v>Hide</v>
          </cell>
        </row>
        <row r="154">
          <cell r="D154" t="str">
            <v xml:space="preserve">N/A      </v>
          </cell>
          <cell r="F154">
            <v>0</v>
          </cell>
          <cell r="I154" t="str">
            <v xml:space="preserve">N/A      </v>
          </cell>
          <cell r="K154">
            <v>0</v>
          </cell>
          <cell r="M154" t="str">
            <v>Hide</v>
          </cell>
        </row>
        <row r="155">
          <cell r="D155" t="str">
            <v xml:space="preserve">N/A      </v>
          </cell>
          <cell r="F155">
            <v>0</v>
          </cell>
          <cell r="I155" t="str">
            <v xml:space="preserve">N/A      </v>
          </cell>
          <cell r="K155">
            <v>0</v>
          </cell>
          <cell r="M155" t="str">
            <v>Hide</v>
          </cell>
        </row>
        <row r="156">
          <cell r="D156">
            <v>0</v>
          </cell>
          <cell r="F156">
            <v>0</v>
          </cell>
          <cell r="I156">
            <v>0</v>
          </cell>
          <cell r="K156">
            <v>0</v>
          </cell>
        </row>
        <row r="160">
          <cell r="D160" t="str">
            <v xml:space="preserve">Total      </v>
          </cell>
          <cell r="F160" t="str">
            <v xml:space="preserve">$/SF   </v>
          </cell>
          <cell r="I160" t="str">
            <v xml:space="preserve">Total      </v>
          </cell>
          <cell r="K160" t="str">
            <v xml:space="preserve">$/SF   </v>
          </cell>
        </row>
        <row r="161">
          <cell r="D161">
            <v>0</v>
          </cell>
          <cell r="F161">
            <v>0</v>
          </cell>
          <cell r="I161">
            <v>0</v>
          </cell>
          <cell r="K161">
            <v>0</v>
          </cell>
          <cell r="M161" t="str">
            <v>Hide</v>
          </cell>
        </row>
        <row r="162">
          <cell r="D162">
            <v>0</v>
          </cell>
          <cell r="F162">
            <v>0</v>
          </cell>
          <cell r="I162">
            <v>0</v>
          </cell>
          <cell r="K162">
            <v>0</v>
          </cell>
          <cell r="M162" t="str">
            <v>Hide</v>
          </cell>
        </row>
        <row r="163">
          <cell r="D163">
            <v>0</v>
          </cell>
          <cell r="F163">
            <v>0</v>
          </cell>
          <cell r="I163">
            <v>0</v>
          </cell>
          <cell r="K163">
            <v>0</v>
          </cell>
          <cell r="M163" t="str">
            <v>Hide</v>
          </cell>
        </row>
        <row r="164">
          <cell r="D164">
            <v>0</v>
          </cell>
          <cell r="F164">
            <v>0</v>
          </cell>
          <cell r="I164">
            <v>0</v>
          </cell>
          <cell r="K164">
            <v>0</v>
          </cell>
          <cell r="M164" t="str">
            <v>Hide</v>
          </cell>
        </row>
        <row r="165">
          <cell r="D165" t="str">
            <v xml:space="preserve">N/A      </v>
          </cell>
          <cell r="F165">
            <v>0</v>
          </cell>
          <cell r="I165" t="str">
            <v xml:space="preserve">N/A      </v>
          </cell>
          <cell r="K165">
            <v>0</v>
          </cell>
          <cell r="M165" t="str">
            <v>Hide</v>
          </cell>
        </row>
        <row r="166">
          <cell r="D166" t="str">
            <v xml:space="preserve">N/A      </v>
          </cell>
          <cell r="F166">
            <v>0</v>
          </cell>
          <cell r="I166" t="str">
            <v xml:space="preserve">N/A      </v>
          </cell>
          <cell r="K166">
            <v>0</v>
          </cell>
          <cell r="M166" t="str">
            <v>Hide</v>
          </cell>
        </row>
        <row r="167">
          <cell r="D167" t="str">
            <v xml:space="preserve">N/A      </v>
          </cell>
          <cell r="F167">
            <v>0</v>
          </cell>
          <cell r="I167" t="str">
            <v xml:space="preserve">N/A      </v>
          </cell>
          <cell r="K167">
            <v>0</v>
          </cell>
          <cell r="M167" t="str">
            <v>Hide</v>
          </cell>
        </row>
        <row r="168">
          <cell r="D168" t="str">
            <v xml:space="preserve">N/A      </v>
          </cell>
          <cell r="F168" t="str">
            <v xml:space="preserve">N/A  </v>
          </cell>
          <cell r="I168" t="str">
            <v xml:space="preserve">N/A      </v>
          </cell>
          <cell r="K168" t="str">
            <v xml:space="preserve">N/A  </v>
          </cell>
          <cell r="M168" t="str">
            <v>Hide</v>
          </cell>
        </row>
        <row r="169">
          <cell r="D169" t="str">
            <v xml:space="preserve">N/A      </v>
          </cell>
          <cell r="F169">
            <v>0</v>
          </cell>
          <cell r="I169" t="str">
            <v xml:space="preserve">N/A      </v>
          </cell>
          <cell r="K169">
            <v>0</v>
          </cell>
          <cell r="M169" t="str">
            <v>Hide</v>
          </cell>
        </row>
        <row r="170">
          <cell r="D170" t="str">
            <v xml:space="preserve">N/A      </v>
          </cell>
          <cell r="F170">
            <v>0</v>
          </cell>
          <cell r="I170" t="str">
            <v xml:space="preserve">N/A      </v>
          </cell>
          <cell r="K170">
            <v>0</v>
          </cell>
          <cell r="M170" t="str">
            <v>Hide</v>
          </cell>
        </row>
        <row r="171">
          <cell r="D171">
            <v>0</v>
          </cell>
          <cell r="F171">
            <v>0</v>
          </cell>
          <cell r="I171">
            <v>0</v>
          </cell>
          <cell r="K171">
            <v>0</v>
          </cell>
        </row>
        <row r="175">
          <cell r="D175" t="str">
            <v xml:space="preserve">Total      </v>
          </cell>
          <cell r="F175" t="str">
            <v xml:space="preserve">$/SF   </v>
          </cell>
          <cell r="I175" t="str">
            <v xml:space="preserve">Total      </v>
          </cell>
          <cell r="K175" t="str">
            <v xml:space="preserve">$/SF   </v>
          </cell>
        </row>
        <row r="176">
          <cell r="D176">
            <v>0</v>
          </cell>
          <cell r="F176">
            <v>0</v>
          </cell>
          <cell r="I176">
            <v>0</v>
          </cell>
          <cell r="K176">
            <v>0</v>
          </cell>
          <cell r="M176" t="str">
            <v>Hide</v>
          </cell>
        </row>
        <row r="177">
          <cell r="D177">
            <v>0</v>
          </cell>
          <cell r="F177">
            <v>0</v>
          </cell>
          <cell r="I177">
            <v>0</v>
          </cell>
          <cell r="K177">
            <v>0</v>
          </cell>
          <cell r="M177" t="str">
            <v>Hide</v>
          </cell>
        </row>
        <row r="178">
          <cell r="D178">
            <v>0</v>
          </cell>
          <cell r="F178">
            <v>0</v>
          </cell>
          <cell r="I178">
            <v>0</v>
          </cell>
          <cell r="K178">
            <v>0</v>
          </cell>
          <cell r="M178" t="str">
            <v>Hide</v>
          </cell>
        </row>
        <row r="179">
          <cell r="D179">
            <v>0</v>
          </cell>
          <cell r="F179">
            <v>0</v>
          </cell>
          <cell r="I179">
            <v>0</v>
          </cell>
          <cell r="K179">
            <v>0</v>
          </cell>
          <cell r="M179" t="str">
            <v>Hide</v>
          </cell>
        </row>
        <row r="180">
          <cell r="D180" t="str">
            <v xml:space="preserve">N/A      </v>
          </cell>
          <cell r="F180">
            <v>1.1989243250955244E-3</v>
          </cell>
          <cell r="I180" t="str">
            <v xml:space="preserve">N/A      </v>
          </cell>
          <cell r="K180">
            <v>2.3978486501910487E-3</v>
          </cell>
          <cell r="M180" t="str">
            <v>Hide</v>
          </cell>
        </row>
        <row r="181">
          <cell r="D181" t="str">
            <v xml:space="preserve">N/A      </v>
          </cell>
          <cell r="F181">
            <v>1.1989243250955244E-3</v>
          </cell>
          <cell r="I181" t="str">
            <v xml:space="preserve">N/A      </v>
          </cell>
          <cell r="K181">
            <v>2.3978486501910487E-3</v>
          </cell>
          <cell r="M181" t="str">
            <v>Hide</v>
          </cell>
        </row>
        <row r="182">
          <cell r="D182" t="str">
            <v xml:space="preserve">N/A      </v>
          </cell>
          <cell r="F182">
            <v>1.1989243250955244E-3</v>
          </cell>
          <cell r="I182" t="str">
            <v xml:space="preserve">N/A      </v>
          </cell>
          <cell r="K182">
            <v>2.3978486501910487E-3</v>
          </cell>
          <cell r="M182" t="str">
            <v>Hide</v>
          </cell>
        </row>
        <row r="183">
          <cell r="D183" t="str">
            <v xml:space="preserve">N/A      </v>
          </cell>
          <cell r="F183" t="str">
            <v xml:space="preserve">N/A  </v>
          </cell>
          <cell r="I183" t="str">
            <v xml:space="preserve">N/A      </v>
          </cell>
          <cell r="K183" t="str">
            <v xml:space="preserve">N/A  </v>
          </cell>
          <cell r="M183" t="str">
            <v>Hide</v>
          </cell>
        </row>
        <row r="184">
          <cell r="D184" t="str">
            <v xml:space="preserve">N/A      </v>
          </cell>
          <cell r="F184">
            <v>0.27</v>
          </cell>
          <cell r="I184" t="str">
            <v xml:space="preserve">N/A      </v>
          </cell>
          <cell r="K184">
            <v>4.5</v>
          </cell>
          <cell r="M184" t="str">
            <v>Hide</v>
          </cell>
        </row>
        <row r="185">
          <cell r="D185" t="str">
            <v xml:space="preserve">N/A      </v>
          </cell>
          <cell r="F185">
            <v>0</v>
          </cell>
          <cell r="I185" t="str">
            <v xml:space="preserve">N/A      </v>
          </cell>
          <cell r="K185">
            <v>1.3</v>
          </cell>
          <cell r="M185" t="str">
            <v>Hide</v>
          </cell>
        </row>
        <row r="186">
          <cell r="D186">
            <v>702</v>
          </cell>
          <cell r="F186">
            <v>0.15</v>
          </cell>
          <cell r="I186">
            <v>2791.1519999999996</v>
          </cell>
          <cell r="K186">
            <v>0.59639999999999993</v>
          </cell>
        </row>
        <row r="190">
          <cell r="D190" t="str">
            <v xml:space="preserve">Total      </v>
          </cell>
          <cell r="F190" t="str">
            <v xml:space="preserve">$/SF   </v>
          </cell>
          <cell r="I190" t="str">
            <v xml:space="preserve">Total      </v>
          </cell>
          <cell r="K190" t="str">
            <v>% Change</v>
          </cell>
        </row>
        <row r="191">
          <cell r="D191">
            <v>358295</v>
          </cell>
          <cell r="F191">
            <v>76.558760683760681</v>
          </cell>
          <cell r="I191">
            <v>358295</v>
          </cell>
          <cell r="K191" t="str">
            <v xml:space="preserve">---   </v>
          </cell>
          <cell r="M191" t="str">
            <v>Hide</v>
          </cell>
        </row>
        <row r="192">
          <cell r="D192">
            <v>367810</v>
          </cell>
          <cell r="F192">
            <v>78.591880341880341</v>
          </cell>
          <cell r="I192">
            <v>367810</v>
          </cell>
          <cell r="K192" t="str">
            <v xml:space="preserve">---   </v>
          </cell>
          <cell r="M192" t="str">
            <v>Hide</v>
          </cell>
        </row>
        <row r="193">
          <cell r="D193">
            <v>385917</v>
          </cell>
          <cell r="F193">
            <v>82.460897435897436</v>
          </cell>
          <cell r="I193">
            <v>385917</v>
          </cell>
          <cell r="K193" t="str">
            <v xml:space="preserve">---   </v>
          </cell>
          <cell r="M193" t="str">
            <v>Hide</v>
          </cell>
        </row>
        <row r="194">
          <cell r="D194">
            <v>416189</v>
          </cell>
          <cell r="F194">
            <v>88.92927350427351</v>
          </cell>
          <cell r="I194">
            <v>416189</v>
          </cell>
          <cell r="K194" t="str">
            <v xml:space="preserve">---   </v>
          </cell>
          <cell r="M194" t="str">
            <v>Hide</v>
          </cell>
        </row>
        <row r="195">
          <cell r="D195">
            <v>66847.247999999992</v>
          </cell>
          <cell r="F195">
            <v>14.283599999999998</v>
          </cell>
          <cell r="I195">
            <v>69638.399999999994</v>
          </cell>
          <cell r="K195">
            <v>-0.83267601978908612</v>
          </cell>
        </row>
        <row r="199">
          <cell r="F199" t="str">
            <v xml:space="preserve">% PGI   </v>
          </cell>
          <cell r="I199" t="str">
            <v xml:space="preserve">Total      </v>
          </cell>
          <cell r="K199" t="str">
            <v>% Change</v>
          </cell>
        </row>
        <row r="200">
          <cell r="F200">
            <v>1.4999999999999999E-2</v>
          </cell>
          <cell r="I200">
            <v>579765.37216828484</v>
          </cell>
          <cell r="K200" t="str">
            <v xml:space="preserve">---   </v>
          </cell>
          <cell r="M200" t="str">
            <v>Hide</v>
          </cell>
        </row>
        <row r="201">
          <cell r="F201">
            <v>1.4E-2</v>
          </cell>
          <cell r="I201">
            <v>529223.02158273384</v>
          </cell>
          <cell r="K201" t="str">
            <v xml:space="preserve">---   </v>
          </cell>
          <cell r="M201" t="str">
            <v>Hide</v>
          </cell>
        </row>
        <row r="202">
          <cell r="F202">
            <v>1.2999999999999999E-2</v>
          </cell>
          <cell r="I202">
            <v>586500</v>
          </cell>
          <cell r="K202" t="str">
            <v xml:space="preserve">---   </v>
          </cell>
          <cell r="M202" t="str">
            <v>Hide</v>
          </cell>
        </row>
        <row r="203">
          <cell r="F203">
            <v>1.2E-2</v>
          </cell>
          <cell r="I203">
            <v>608463.45029239764</v>
          </cell>
          <cell r="K203" t="str">
            <v xml:space="preserve">---   </v>
          </cell>
          <cell r="M203" t="str">
            <v>Hide</v>
          </cell>
        </row>
        <row r="204">
          <cell r="F204">
            <v>0</v>
          </cell>
          <cell r="I204">
            <v>74880</v>
          </cell>
          <cell r="K204">
            <v>-0.87693591132874726</v>
          </cell>
        </row>
        <row r="208">
          <cell r="F208" t="str">
            <v xml:space="preserve">% PGI   </v>
          </cell>
          <cell r="I208" t="str">
            <v xml:space="preserve">Total      </v>
          </cell>
          <cell r="K208" t="str">
            <v>% Change</v>
          </cell>
        </row>
        <row r="209">
          <cell r="F209">
            <v>0.38200000000000001</v>
          </cell>
          <cell r="I209">
            <v>0</v>
          </cell>
          <cell r="K209" t="str">
            <v xml:space="preserve">---   </v>
          </cell>
          <cell r="M209" t="str">
            <v>Hide</v>
          </cell>
        </row>
        <row r="210">
          <cell r="F210">
            <v>0.30500000000000005</v>
          </cell>
          <cell r="I210">
            <v>0</v>
          </cell>
          <cell r="K210" t="str">
            <v xml:space="preserve">---   </v>
          </cell>
          <cell r="M210" t="str">
            <v>Hide</v>
          </cell>
        </row>
        <row r="211">
          <cell r="F211">
            <v>0.34199999999999997</v>
          </cell>
          <cell r="I211">
            <v>0</v>
          </cell>
          <cell r="K211" t="str">
            <v xml:space="preserve">---   </v>
          </cell>
          <cell r="M211" t="str">
            <v>Hide</v>
          </cell>
        </row>
        <row r="212">
          <cell r="F212">
            <v>0.31599999999999995</v>
          </cell>
          <cell r="I212">
            <v>0</v>
          </cell>
          <cell r="K212" t="str">
            <v xml:space="preserve">---   </v>
          </cell>
          <cell r="M212" t="str">
            <v>Hide</v>
          </cell>
        </row>
        <row r="213">
          <cell r="F213">
            <v>0</v>
          </cell>
          <cell r="K213" t="str">
            <v xml:space="preserve">---   </v>
          </cell>
        </row>
        <row r="214">
          <cell r="F214">
            <v>7.0000000000000007E-2</v>
          </cell>
          <cell r="I214">
            <v>0</v>
          </cell>
          <cell r="K214" t="e">
            <v>#DIV/0!</v>
          </cell>
        </row>
        <row r="216">
          <cell r="M216" t="str">
            <v>Stop</v>
          </cell>
        </row>
      </sheetData>
      <sheetData sheetId="70" refreshError="1"/>
      <sheetData sheetId="71" refreshError="1">
        <row r="2">
          <cell r="K2">
            <v>1</v>
          </cell>
          <cell r="L2" t="str">
            <v>$/SF/Mo</v>
          </cell>
          <cell r="M2">
            <v>56160</v>
          </cell>
        </row>
        <row r="3">
          <cell r="K3">
            <v>2</v>
          </cell>
          <cell r="L3" t="str">
            <v>$/SF/Yr</v>
          </cell>
          <cell r="M3">
            <v>4680</v>
          </cell>
        </row>
        <row r="4">
          <cell r="K4">
            <v>3</v>
          </cell>
          <cell r="L4" t="str">
            <v>$/Unit/Mo</v>
          </cell>
          <cell r="M4">
            <v>12</v>
          </cell>
        </row>
        <row r="5">
          <cell r="K5">
            <v>4</v>
          </cell>
          <cell r="L5" t="str">
            <v>$/Unit/Yr</v>
          </cell>
          <cell r="M5" t="str">
            <v>1</v>
          </cell>
        </row>
        <row r="6">
          <cell r="D6" t="str">
            <v>Potential Rental Income</v>
          </cell>
          <cell r="F6">
            <v>62.4</v>
          </cell>
          <cell r="G6">
            <v>16</v>
          </cell>
          <cell r="H6">
            <v>74880</v>
          </cell>
          <cell r="K6">
            <v>2</v>
          </cell>
        </row>
        <row r="7">
          <cell r="D7" t="str">
            <v>Loss to Lease</v>
          </cell>
          <cell r="E7">
            <v>1.4999999999999999E-2</v>
          </cell>
          <cell r="F7">
            <v>0</v>
          </cell>
          <cell r="G7">
            <v>0</v>
          </cell>
          <cell r="H7">
            <v>0</v>
          </cell>
        </row>
        <row r="8">
          <cell r="D8" t="str">
            <v>Concessions</v>
          </cell>
          <cell r="E8">
            <v>0.02</v>
          </cell>
          <cell r="F8">
            <v>0</v>
          </cell>
          <cell r="G8">
            <v>0</v>
          </cell>
          <cell r="H8">
            <v>0</v>
          </cell>
        </row>
        <row r="9">
          <cell r="D9" t="str">
            <v>Adjusted Rental Income</v>
          </cell>
          <cell r="F9">
            <v>0</v>
          </cell>
          <cell r="G9">
            <v>0</v>
          </cell>
          <cell r="H9">
            <v>0</v>
          </cell>
        </row>
        <row r="10">
          <cell r="D10"/>
          <cell r="F10">
            <v>0</v>
          </cell>
          <cell r="G10">
            <v>0</v>
          </cell>
          <cell r="H10">
            <v>0</v>
          </cell>
        </row>
        <row r="11">
          <cell r="D11"/>
          <cell r="F11">
            <v>0</v>
          </cell>
          <cell r="G11">
            <v>0</v>
          </cell>
          <cell r="H11">
            <v>0</v>
          </cell>
        </row>
        <row r="12">
          <cell r="D12" t="str">
            <v>Credit Loss</v>
          </cell>
          <cell r="E12">
            <v>0</v>
          </cell>
          <cell r="F12">
            <v>0</v>
          </cell>
          <cell r="G12">
            <v>0</v>
          </cell>
          <cell r="H12">
            <v>0</v>
          </cell>
        </row>
        <row r="13">
          <cell r="D13" t="str">
            <v>Vacancy</v>
          </cell>
          <cell r="E13">
            <v>7.0000000000000007E-2</v>
          </cell>
          <cell r="F13">
            <v>-4.3680000000000003</v>
          </cell>
          <cell r="G13">
            <v>-1.1200000000000001</v>
          </cell>
          <cell r="H13">
            <v>-5241.6000000000004</v>
          </cell>
        </row>
        <row r="14">
          <cell r="D14" t="str">
            <v>Net Rental Income</v>
          </cell>
          <cell r="F14">
            <v>58.031999999999989</v>
          </cell>
          <cell r="G14">
            <v>14.879999999999999</v>
          </cell>
          <cell r="H14">
            <v>69638.399999999994</v>
          </cell>
        </row>
        <row r="16">
          <cell r="D16"/>
          <cell r="F16">
            <v>0</v>
          </cell>
          <cell r="G16">
            <v>0</v>
          </cell>
          <cell r="H16">
            <v>0</v>
          </cell>
        </row>
        <row r="17">
          <cell r="D17"/>
          <cell r="F17">
            <v>0</v>
          </cell>
          <cell r="G17">
            <v>0</v>
          </cell>
          <cell r="H17">
            <v>0</v>
          </cell>
        </row>
        <row r="18">
          <cell r="D18"/>
          <cell r="F18">
            <v>0</v>
          </cell>
          <cell r="G18">
            <v>0</v>
          </cell>
          <cell r="H18">
            <v>0</v>
          </cell>
        </row>
        <row r="19">
          <cell r="D19"/>
          <cell r="E19">
            <v>0</v>
          </cell>
          <cell r="F19">
            <v>0</v>
          </cell>
          <cell r="G19">
            <v>0</v>
          </cell>
          <cell r="H19">
            <v>0</v>
          </cell>
        </row>
        <row r="20">
          <cell r="D20"/>
          <cell r="F20">
            <v>0</v>
          </cell>
          <cell r="G20">
            <v>0</v>
          </cell>
          <cell r="H20">
            <v>0</v>
          </cell>
        </row>
        <row r="21">
          <cell r="D21" t="str">
            <v>Vacancy &amp; Credit Loss</v>
          </cell>
          <cell r="E21">
            <v>0</v>
          </cell>
          <cell r="F21">
            <v>0</v>
          </cell>
          <cell r="G21">
            <v>0</v>
          </cell>
          <cell r="H21">
            <v>0</v>
          </cell>
        </row>
        <row r="22">
          <cell r="D22" t="str">
            <v>Effective Gross Income</v>
          </cell>
          <cell r="F22">
            <v>58.031999999999989</v>
          </cell>
          <cell r="G22">
            <v>14.879999999999999</v>
          </cell>
          <cell r="H22">
            <v>69638.399999999994</v>
          </cell>
        </row>
        <row r="24">
          <cell r="D24" t="str">
            <v>Expenses</v>
          </cell>
        </row>
        <row r="25">
          <cell r="D25"/>
          <cell r="G25">
            <v>33.731089743589742</v>
          </cell>
          <cell r="H25">
            <v>0</v>
          </cell>
        </row>
        <row r="26">
          <cell r="D26"/>
          <cell r="G26">
            <v>0.05</v>
          </cell>
          <cell r="H26">
            <v>0</v>
          </cell>
        </row>
        <row r="27">
          <cell r="D27"/>
          <cell r="G27">
            <v>0.1</v>
          </cell>
          <cell r="H27">
            <v>0</v>
          </cell>
        </row>
        <row r="28">
          <cell r="D28"/>
          <cell r="G28">
            <v>0.8</v>
          </cell>
          <cell r="H28">
            <v>0</v>
          </cell>
        </row>
        <row r="29">
          <cell r="D29"/>
          <cell r="G29">
            <v>0.3</v>
          </cell>
          <cell r="H29">
            <v>0</v>
          </cell>
        </row>
        <row r="30">
          <cell r="D30"/>
          <cell r="G30">
            <v>0.35</v>
          </cell>
          <cell r="H30">
            <v>0</v>
          </cell>
        </row>
        <row r="31">
          <cell r="D31"/>
          <cell r="G31">
            <v>1</v>
          </cell>
          <cell r="H31">
            <v>0</v>
          </cell>
        </row>
        <row r="32">
          <cell r="D32"/>
          <cell r="G32">
            <v>0</v>
          </cell>
          <cell r="H32">
            <v>0</v>
          </cell>
        </row>
        <row r="33">
          <cell r="D33"/>
          <cell r="G33">
            <v>0</v>
          </cell>
          <cell r="H33">
            <v>0</v>
          </cell>
        </row>
        <row r="34">
          <cell r="D34"/>
          <cell r="G34">
            <v>0.2</v>
          </cell>
          <cell r="H34">
            <v>0</v>
          </cell>
        </row>
        <row r="35">
          <cell r="D35"/>
          <cell r="G35">
            <v>0.1</v>
          </cell>
          <cell r="H35">
            <v>0</v>
          </cell>
        </row>
        <row r="36">
          <cell r="D36"/>
          <cell r="G36">
            <v>0</v>
          </cell>
          <cell r="H36">
            <v>0</v>
          </cell>
        </row>
        <row r="37">
          <cell r="D37" t="str">
            <v>Management Fee</v>
          </cell>
          <cell r="E37">
            <v>0.03</v>
          </cell>
          <cell r="G37">
            <v>0.44639999999999991</v>
          </cell>
          <cell r="H37">
            <v>2089.1519999999996</v>
          </cell>
        </row>
        <row r="38">
          <cell r="D38"/>
          <cell r="G38">
            <v>0</v>
          </cell>
          <cell r="H38">
            <v>0</v>
          </cell>
        </row>
        <row r="39">
          <cell r="D39"/>
          <cell r="G39">
            <v>0</v>
          </cell>
          <cell r="H39">
            <v>0</v>
          </cell>
        </row>
        <row r="40">
          <cell r="D40"/>
          <cell r="G40">
            <v>0</v>
          </cell>
          <cell r="H40">
            <v>0</v>
          </cell>
        </row>
        <row r="41">
          <cell r="D41"/>
          <cell r="G41">
            <v>0</v>
          </cell>
          <cell r="H41">
            <v>0</v>
          </cell>
        </row>
        <row r="42">
          <cell r="D42"/>
          <cell r="G42">
            <v>0</v>
          </cell>
          <cell r="H42">
            <v>0</v>
          </cell>
        </row>
        <row r="43">
          <cell r="D43"/>
          <cell r="G43">
            <v>0</v>
          </cell>
          <cell r="H43">
            <v>0</v>
          </cell>
        </row>
        <row r="44">
          <cell r="D44" t="str">
            <v>Reserves for Replacement</v>
          </cell>
          <cell r="G44">
            <v>0.15</v>
          </cell>
          <cell r="H44">
            <v>702</v>
          </cell>
        </row>
        <row r="45">
          <cell r="D45" t="str">
            <v>Operating Expenses</v>
          </cell>
          <cell r="G45">
            <v>0.59639999999999993</v>
          </cell>
          <cell r="H45">
            <v>2791.1519999999996</v>
          </cell>
        </row>
        <row r="46">
          <cell r="D46" t="str">
            <v>Operating Expense Ratio</v>
          </cell>
          <cell r="H46">
            <v>4.0080645161290319E-2</v>
          </cell>
        </row>
        <row r="47">
          <cell r="D47" t="str">
            <v>Net Operating Income</v>
          </cell>
          <cell r="G47">
            <v>14.283599999999998</v>
          </cell>
          <cell r="H47">
            <v>66847.247999999992</v>
          </cell>
        </row>
        <row r="48">
          <cell r="H48">
            <v>7.4999999999999997E-2</v>
          </cell>
        </row>
        <row r="54">
          <cell r="H54">
            <v>1080000</v>
          </cell>
        </row>
      </sheetData>
      <sheetData sheetId="72" refreshError="1"/>
      <sheetData sheetId="73" refreshError="1"/>
      <sheetData sheetId="74" refreshError="1">
        <row r="46">
          <cell r="D46">
            <v>0.125</v>
          </cell>
        </row>
        <row r="47">
          <cell r="D47">
            <v>8.4999999999999992E-2</v>
          </cell>
        </row>
      </sheetData>
      <sheetData sheetId="75" refreshError="1">
        <row r="99">
          <cell r="AB99">
            <v>7710000</v>
          </cell>
        </row>
      </sheetData>
      <sheetData sheetId="76" refreshError="1"/>
      <sheetData sheetId="77"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
      <sheetName val="ISaleAdj_Macro"/>
      <sheetName val="ISaleTbls"/>
      <sheetName val="AdjustmentDetail"/>
      <sheetName val="ISaleNarr"/>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Sheet1"/>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refreshError="1"/>
      <sheetData sheetId="1" refreshError="1"/>
      <sheetData sheetId="2" refreshError="1">
        <row r="29">
          <cell r="A29" t="str">
            <v>N/A</v>
          </cell>
        </row>
        <row r="30">
          <cell r="A30" t="str">
            <v>A</v>
          </cell>
        </row>
        <row r="31">
          <cell r="A31" t="str">
            <v>AE</v>
          </cell>
        </row>
        <row r="32">
          <cell r="A32" t="str">
            <v>AH</v>
          </cell>
        </row>
        <row r="33">
          <cell r="A33" t="str">
            <v>AO</v>
          </cell>
        </row>
        <row r="34">
          <cell r="A34" t="str">
            <v>A99</v>
          </cell>
        </row>
        <row r="35">
          <cell r="A35" t="str">
            <v>B</v>
          </cell>
        </row>
        <row r="36">
          <cell r="A36" t="str">
            <v>C</v>
          </cell>
        </row>
        <row r="37">
          <cell r="A37" t="str">
            <v>D</v>
          </cell>
        </row>
        <row r="38">
          <cell r="A38" t="str">
            <v>V</v>
          </cell>
        </row>
        <row r="39">
          <cell r="A39" t="str">
            <v>VE</v>
          </cell>
        </row>
        <row r="40">
          <cell r="A40" t="str">
            <v>X</v>
          </cell>
        </row>
      </sheetData>
      <sheetData sheetId="3" refreshError="1"/>
      <sheetData sheetId="4" refreshError="1"/>
      <sheetData sheetId="5" refreshError="1"/>
      <sheetData sheetId="6" refreshError="1">
        <row r="30">
          <cell r="B30" t="str">
            <v>4900 Florence Street</v>
          </cell>
        </row>
        <row r="32">
          <cell r="B32" t="str">
            <v>4900 Florence Street</v>
          </cell>
        </row>
        <row r="33">
          <cell r="B33" t="str">
            <v>Denver</v>
          </cell>
        </row>
        <row r="35">
          <cell r="B35" t="str">
            <v>Colorado</v>
          </cell>
        </row>
      </sheetData>
      <sheetData sheetId="7" refreshError="1"/>
      <sheetData sheetId="8" refreshError="1"/>
      <sheetData sheetId="9" refreshError="1"/>
      <sheetData sheetId="10" refreshError="1">
        <row r="34">
          <cell r="G34" t="str">
            <v>Inferior</v>
          </cell>
        </row>
        <row r="35">
          <cell r="G35" t="str">
            <v>Similar</v>
          </cell>
        </row>
        <row r="36">
          <cell r="G36" t="str">
            <v>Superior</v>
          </cell>
        </row>
        <row r="37">
          <cell r="G37" t="str">
            <v>Excellent</v>
          </cell>
        </row>
        <row r="38">
          <cell r="G38" t="str">
            <v>Good/Excellent</v>
          </cell>
        </row>
        <row r="39">
          <cell r="G39" t="str">
            <v>Good</v>
          </cell>
        </row>
        <row r="40">
          <cell r="G40" t="str">
            <v>Average/Good</v>
          </cell>
        </row>
        <row r="41">
          <cell r="G41" t="str">
            <v>Average</v>
          </cell>
        </row>
        <row r="42">
          <cell r="G42" t="str">
            <v>Average/Fair</v>
          </cell>
        </row>
        <row r="43">
          <cell r="G43" t="str">
            <v>Fair</v>
          </cell>
        </row>
        <row r="44">
          <cell r="G44" t="str">
            <v>Fair/Poor</v>
          </cell>
        </row>
        <row r="45">
          <cell r="G45" t="str">
            <v>Poor</v>
          </cell>
        </row>
        <row r="46">
          <cell r="G46" t="str">
            <v>See Narrative</v>
          </cell>
        </row>
      </sheetData>
      <sheetData sheetId="11" refreshError="1">
        <row r="4">
          <cell r="B4" t="str">
            <v>As Is</v>
          </cell>
        </row>
        <row r="5">
          <cell r="B5">
            <v>43118</v>
          </cell>
        </row>
        <row r="7">
          <cell r="B7" t="str">
            <v>Leased Fee</v>
          </cell>
        </row>
        <row r="8">
          <cell r="B8" t="str">
            <v>As Is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5">
          <cell r="B5">
            <v>152896</v>
          </cell>
        </row>
        <row r="6">
          <cell r="B6">
            <v>3.5100091827364555</v>
          </cell>
        </row>
      </sheetData>
      <sheetData sheetId="21" refreshError="1">
        <row r="5">
          <cell r="B5">
            <v>2000</v>
          </cell>
        </row>
        <row r="11">
          <cell r="B11" t="str">
            <v>28,147</v>
          </cell>
        </row>
        <row r="12">
          <cell r="B12">
            <v>28147</v>
          </cell>
        </row>
        <row r="16">
          <cell r="B16">
            <v>1</v>
          </cell>
        </row>
        <row r="26">
          <cell r="B26">
            <v>5.43</v>
          </cell>
        </row>
        <row r="27">
          <cell r="B27">
            <v>0.12</v>
          </cell>
        </row>
        <row r="28">
          <cell r="B28" t="str">
            <v>30'</v>
          </cell>
        </row>
        <row r="39">
          <cell r="B39">
            <v>33</v>
          </cell>
        </row>
      </sheetData>
      <sheetData sheetId="22" refreshError="1"/>
      <sheetData sheetId="23" refreshError="1"/>
      <sheetData sheetId="24" refreshError="1"/>
      <sheetData sheetId="25" refreshError="1"/>
      <sheetData sheetId="26" refreshError="1"/>
      <sheetData sheetId="27" refreshError="1"/>
      <sheetData sheetId="28" refreshError="1">
        <row r="48">
          <cell r="E48">
            <v>750000</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row r="44">
          <cell r="F44">
            <v>0</v>
          </cell>
        </row>
      </sheetData>
      <sheetData sheetId="37" refreshError="1"/>
      <sheetData sheetId="38" refreshError="1">
        <row r="2">
          <cell r="A2">
            <v>1</v>
          </cell>
          <cell r="B2">
            <v>0</v>
          </cell>
          <cell r="C2">
            <v>0</v>
          </cell>
          <cell r="D2">
            <v>0</v>
          </cell>
          <cell r="E2">
            <v>0</v>
          </cell>
          <cell r="F2">
            <v>0</v>
          </cell>
          <cell r="G2">
            <v>0</v>
          </cell>
          <cell r="H2">
            <v>0</v>
          </cell>
          <cell r="I2">
            <v>0</v>
          </cell>
          <cell r="J2">
            <v>0</v>
          </cell>
          <cell r="K2">
            <v>0</v>
          </cell>
          <cell r="L2">
            <v>0</v>
          </cell>
          <cell r="M2">
            <v>1987</v>
          </cell>
          <cell r="N2">
            <v>0.1</v>
          </cell>
          <cell r="O2">
            <v>0.1</v>
          </cell>
          <cell r="P2" t="str">
            <v>15</v>
          </cell>
          <cell r="Q2" t="str">
            <v>Yes</v>
          </cell>
          <cell r="R2">
            <v>0</v>
          </cell>
          <cell r="S2">
            <v>0</v>
          </cell>
          <cell r="T2">
            <v>0</v>
          </cell>
          <cell r="U2">
            <v>0</v>
          </cell>
          <cell r="V2">
            <v>0</v>
          </cell>
          <cell r="W2">
            <v>0</v>
          </cell>
          <cell r="X2">
            <v>0</v>
          </cell>
          <cell r="Y2">
            <v>0</v>
          </cell>
          <cell r="Z2"/>
          <cell r="AA2"/>
          <cell r="AB2"/>
          <cell r="AC2" t="str">
            <v>—</v>
          </cell>
          <cell r="AD2" t="str">
            <v>—</v>
          </cell>
          <cell r="AE2">
            <v>0</v>
          </cell>
          <cell r="AF2" t="e">
            <v>#VALUE!</v>
          </cell>
          <cell r="AG2" t="e">
            <v>#DIV/0!</v>
          </cell>
          <cell r="AH2" t="str">
            <v>—</v>
          </cell>
        </row>
        <row r="3">
          <cell r="A3">
            <v>2</v>
          </cell>
          <cell r="B3" t="e">
            <v>#REF!</v>
          </cell>
          <cell r="C3" t="e">
            <v>#REF!</v>
          </cell>
          <cell r="D3" t="e">
            <v>#REF!</v>
          </cell>
          <cell r="E3" t="e">
            <v>#REF!</v>
          </cell>
          <cell r="F3" t="e">
            <v>#REF!</v>
          </cell>
          <cell r="G3" t="e">
            <v>#REF!</v>
          </cell>
          <cell r="H3" t="e">
            <v>#REF!</v>
          </cell>
          <cell r="I3" t="e">
            <v>#REF!</v>
          </cell>
          <cell r="J3" t="e">
            <v>#REF!</v>
          </cell>
          <cell r="K3" t="e">
            <v>#REF!</v>
          </cell>
          <cell r="L3" t="e">
            <v>#REF!</v>
          </cell>
          <cell r="M3" t="e">
            <v>#REF!</v>
          </cell>
          <cell r="N3">
            <v>0.1</v>
          </cell>
          <cell r="O3">
            <v>0.1</v>
          </cell>
          <cell r="P3" t="str">
            <v>15</v>
          </cell>
          <cell r="Q3" t="str">
            <v>Yes</v>
          </cell>
          <cell r="R3" t="e">
            <v>#REF!</v>
          </cell>
          <cell r="S3" t="e">
            <v>#REF!</v>
          </cell>
          <cell r="T3" t="e">
            <v>#REF!</v>
          </cell>
          <cell r="U3" t="e">
            <v>#REF!</v>
          </cell>
          <cell r="V3" t="e">
            <v>#REF!</v>
          </cell>
          <cell r="W3" t="e">
            <v>#REF!</v>
          </cell>
          <cell r="X3" t="e">
            <v>#REF!</v>
          </cell>
          <cell r="Y3"/>
          <cell r="Z3"/>
          <cell r="AA3"/>
          <cell r="AB3"/>
          <cell r="AC3" t="str">
            <v>—</v>
          </cell>
          <cell r="AD3" t="str">
            <v>—</v>
          </cell>
          <cell r="AE3" t="e">
            <v>#REF!</v>
          </cell>
          <cell r="AF3" t="e">
            <v>#VALUE!</v>
          </cell>
          <cell r="AG3" t="e">
            <v>#REF!</v>
          </cell>
          <cell r="AH3" t="str">
            <v>—</v>
          </cell>
        </row>
        <row r="4">
          <cell r="A4">
            <v>3</v>
          </cell>
          <cell r="B4" t="e">
            <v>#REF!</v>
          </cell>
          <cell r="C4" t="e">
            <v>#REF!</v>
          </cell>
          <cell r="D4" t="e">
            <v>#REF!</v>
          </cell>
          <cell r="E4" t="e">
            <v>#REF!</v>
          </cell>
          <cell r="F4" t="e">
            <v>#REF!</v>
          </cell>
          <cell r="G4" t="e">
            <v>#REF!</v>
          </cell>
          <cell r="H4" t="e">
            <v>#REF!</v>
          </cell>
          <cell r="I4" t="e">
            <v>#REF!</v>
          </cell>
          <cell r="J4" t="e">
            <v>#REF!</v>
          </cell>
          <cell r="K4" t="e">
            <v>#REF!</v>
          </cell>
          <cell r="L4" t="e">
            <v>#REF!</v>
          </cell>
          <cell r="M4" t="e">
            <v>#REF!</v>
          </cell>
          <cell r="N4">
            <v>0.1</v>
          </cell>
          <cell r="O4">
            <v>0.1</v>
          </cell>
          <cell r="P4" t="str">
            <v>15</v>
          </cell>
          <cell r="Q4" t="str">
            <v>Yes</v>
          </cell>
          <cell r="R4" t="e">
            <v>#REF!</v>
          </cell>
          <cell r="S4" t="e">
            <v>#REF!</v>
          </cell>
          <cell r="T4">
            <v>0.92</v>
          </cell>
          <cell r="U4" t="e">
            <v>#REF!</v>
          </cell>
          <cell r="V4" t="e">
            <v>#REF!</v>
          </cell>
          <cell r="W4" t="e">
            <v>#REF!</v>
          </cell>
          <cell r="X4" t="e">
            <v>#REF!</v>
          </cell>
          <cell r="Y4"/>
          <cell r="Z4"/>
          <cell r="AA4"/>
          <cell r="AB4"/>
          <cell r="AC4" t="str">
            <v>—</v>
          </cell>
          <cell r="AD4" t="str">
            <v>—</v>
          </cell>
          <cell r="AE4" t="e">
            <v>#REF!</v>
          </cell>
          <cell r="AF4" t="e">
            <v>#VALUE!</v>
          </cell>
          <cell r="AG4" t="e">
            <v>#REF!</v>
          </cell>
          <cell r="AH4" t="str">
            <v>—</v>
          </cell>
        </row>
        <row r="5">
          <cell r="A5">
            <v>4</v>
          </cell>
          <cell r="B5" t="e">
            <v>#REF!</v>
          </cell>
          <cell r="C5" t="e">
            <v>#REF!</v>
          </cell>
          <cell r="D5" t="e">
            <v>#REF!</v>
          </cell>
          <cell r="E5" t="e">
            <v>#REF!</v>
          </cell>
          <cell r="F5" t="e">
            <v>#REF!</v>
          </cell>
          <cell r="G5" t="e">
            <v>#REF!</v>
          </cell>
          <cell r="H5" t="e">
            <v>#REF!</v>
          </cell>
          <cell r="I5" t="e">
            <v>#REF!</v>
          </cell>
          <cell r="J5" t="e">
            <v>#REF!</v>
          </cell>
          <cell r="K5" t="e">
            <v>#REF!</v>
          </cell>
          <cell r="L5" t="e">
            <v>#REF!</v>
          </cell>
          <cell r="M5" t="e">
            <v>#REF!</v>
          </cell>
          <cell r="N5">
            <v>0.1</v>
          </cell>
          <cell r="O5">
            <v>0.1</v>
          </cell>
          <cell r="P5" t="str">
            <v>15</v>
          </cell>
          <cell r="Q5" t="str">
            <v>Yes</v>
          </cell>
          <cell r="R5" t="e">
            <v>#REF!</v>
          </cell>
          <cell r="S5" t="e">
            <v>#REF!</v>
          </cell>
          <cell r="T5" t="e">
            <v>#REF!</v>
          </cell>
          <cell r="U5" t="e">
            <v>#REF!</v>
          </cell>
          <cell r="V5" t="e">
            <v>#REF!</v>
          </cell>
          <cell r="W5" t="e">
            <v>#REF!</v>
          </cell>
          <cell r="X5" t="e">
            <v>#REF!</v>
          </cell>
          <cell r="Y5"/>
          <cell r="Z5"/>
          <cell r="AA5"/>
          <cell r="AB5"/>
          <cell r="AC5" t="str">
            <v>—</v>
          </cell>
          <cell r="AD5" t="str">
            <v>—</v>
          </cell>
          <cell r="AE5" t="e">
            <v>#REF!</v>
          </cell>
          <cell r="AF5" t="e">
            <v>#VALUE!</v>
          </cell>
          <cell r="AG5" t="e">
            <v>#REF!</v>
          </cell>
          <cell r="AH5" t="str">
            <v>—</v>
          </cell>
        </row>
        <row r="6">
          <cell r="A6">
            <v>5</v>
          </cell>
          <cell r="B6" t="e">
            <v>#REF!</v>
          </cell>
          <cell r="C6" t="e">
            <v>#REF!</v>
          </cell>
          <cell r="D6" t="e">
            <v>#REF!</v>
          </cell>
          <cell r="E6" t="e">
            <v>#REF!</v>
          </cell>
          <cell r="F6" t="e">
            <v>#REF!</v>
          </cell>
          <cell r="G6" t="e">
            <v>#REF!</v>
          </cell>
          <cell r="H6" t="e">
            <v>#REF!</v>
          </cell>
          <cell r="I6" t="e">
            <v>#REF!</v>
          </cell>
          <cell r="J6" t="e">
            <v>#REF!</v>
          </cell>
          <cell r="K6" t="e">
            <v>#REF!</v>
          </cell>
          <cell r="L6" t="e">
            <v>#REF!</v>
          </cell>
          <cell r="M6" t="e">
            <v>#REF!</v>
          </cell>
          <cell r="N6">
            <v>0.1</v>
          </cell>
          <cell r="O6">
            <v>0.1</v>
          </cell>
          <cell r="P6" t="str">
            <v>15</v>
          </cell>
          <cell r="Q6" t="str">
            <v>Yes</v>
          </cell>
          <cell r="R6" t="e">
            <v>#REF!</v>
          </cell>
          <cell r="S6" t="e">
            <v>#REF!</v>
          </cell>
          <cell r="T6" t="e">
            <v>#REF!</v>
          </cell>
          <cell r="U6" t="e">
            <v>#REF!</v>
          </cell>
          <cell r="V6" t="e">
            <v>#REF!</v>
          </cell>
          <cell r="W6" t="e">
            <v>#REF!</v>
          </cell>
          <cell r="X6" t="e">
            <v>#REF!</v>
          </cell>
          <cell r="Y6"/>
          <cell r="Z6"/>
          <cell r="AA6"/>
          <cell r="AB6"/>
          <cell r="AC6" t="str">
            <v>—</v>
          </cell>
          <cell r="AD6" t="str">
            <v>—</v>
          </cell>
          <cell r="AE6" t="e">
            <v>#REF!</v>
          </cell>
          <cell r="AF6" t="e">
            <v>#VALUE!</v>
          </cell>
          <cell r="AG6" t="e">
            <v>#REF!</v>
          </cell>
          <cell r="AH6" t="str">
            <v>—</v>
          </cell>
        </row>
        <row r="7">
          <cell r="A7">
            <v>6</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v>0.1</v>
          </cell>
          <cell r="O7">
            <v>0.1</v>
          </cell>
          <cell r="P7" t="str">
            <v>15</v>
          </cell>
          <cell r="Q7" t="str">
            <v>Yes</v>
          </cell>
          <cell r="R7" t="e">
            <v>#REF!</v>
          </cell>
          <cell r="S7" t="e">
            <v>#REF!</v>
          </cell>
          <cell r="T7" t="e">
            <v>#REF!</v>
          </cell>
          <cell r="U7" t="e">
            <v>#REF!</v>
          </cell>
          <cell r="V7" t="e">
            <v>#REF!</v>
          </cell>
          <cell r="W7" t="e">
            <v>#REF!</v>
          </cell>
          <cell r="X7" t="e">
            <v>#REF!</v>
          </cell>
          <cell r="Y7"/>
          <cell r="Z7"/>
          <cell r="AA7"/>
          <cell r="AB7"/>
          <cell r="AC7" t="str">
            <v>—</v>
          </cell>
          <cell r="AD7" t="str">
            <v>—</v>
          </cell>
          <cell r="AE7" t="e">
            <v>#REF!</v>
          </cell>
          <cell r="AF7" t="e">
            <v>#VALUE!</v>
          </cell>
          <cell r="AG7" t="e">
            <v>#REF!</v>
          </cell>
          <cell r="AH7" t="str">
            <v>—</v>
          </cell>
        </row>
        <row r="8">
          <cell r="A8">
            <v>7</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v>0.1</v>
          </cell>
          <cell r="O8">
            <v>0.1</v>
          </cell>
          <cell r="P8" t="str">
            <v>15</v>
          </cell>
          <cell r="Q8" t="str">
            <v>Yes</v>
          </cell>
          <cell r="R8" t="e">
            <v>#REF!</v>
          </cell>
          <cell r="S8" t="e">
            <v>#REF!</v>
          </cell>
          <cell r="T8" t="e">
            <v>#REF!</v>
          </cell>
          <cell r="U8" t="e">
            <v>#REF!</v>
          </cell>
          <cell r="V8" t="e">
            <v>#REF!</v>
          </cell>
          <cell r="W8" t="e">
            <v>#REF!</v>
          </cell>
          <cell r="X8" t="e">
            <v>#REF!</v>
          </cell>
          <cell r="Y8"/>
          <cell r="Z8"/>
          <cell r="AA8"/>
          <cell r="AB8"/>
          <cell r="AC8" t="str">
            <v>—</v>
          </cell>
          <cell r="AD8" t="str">
            <v>—</v>
          </cell>
          <cell r="AE8" t="e">
            <v>#REF!</v>
          </cell>
          <cell r="AF8" t="e">
            <v>#VALUE!</v>
          </cell>
          <cell r="AG8" t="e">
            <v>#REF!</v>
          </cell>
          <cell r="AH8" t="str">
            <v>—</v>
          </cell>
        </row>
        <row r="9">
          <cell r="A9">
            <v>8</v>
          </cell>
          <cell r="B9" t="e">
            <v>#REF!</v>
          </cell>
          <cell r="C9" t="e">
            <v>#REF!</v>
          </cell>
          <cell r="D9" t="e">
            <v>#REF!</v>
          </cell>
          <cell r="E9" t="e">
            <v>#REF!</v>
          </cell>
          <cell r="F9" t="e">
            <v>#REF!</v>
          </cell>
          <cell r="G9" t="e">
            <v>#REF!</v>
          </cell>
          <cell r="H9" t="e">
            <v>#REF!</v>
          </cell>
          <cell r="I9" t="e">
            <v>#REF!</v>
          </cell>
          <cell r="J9" t="e">
            <v>#REF!</v>
          </cell>
          <cell r="K9" t="e">
            <v>#REF!</v>
          </cell>
          <cell r="L9" t="e">
            <v>#REF!</v>
          </cell>
          <cell r="M9" t="e">
            <v>#REF!</v>
          </cell>
          <cell r="N9">
            <v>0.1</v>
          </cell>
          <cell r="O9">
            <v>0.1</v>
          </cell>
          <cell r="P9" t="str">
            <v>15</v>
          </cell>
          <cell r="Q9" t="str">
            <v>Yes</v>
          </cell>
          <cell r="R9" t="e">
            <v>#REF!</v>
          </cell>
          <cell r="S9" t="e">
            <v>#REF!</v>
          </cell>
          <cell r="T9" t="e">
            <v>#REF!</v>
          </cell>
          <cell r="U9" t="e">
            <v>#REF!</v>
          </cell>
          <cell r="V9" t="e">
            <v>#REF!</v>
          </cell>
          <cell r="W9" t="e">
            <v>#REF!</v>
          </cell>
          <cell r="X9" t="e">
            <v>#REF!</v>
          </cell>
          <cell r="Y9"/>
          <cell r="Z9"/>
          <cell r="AA9"/>
          <cell r="AB9"/>
          <cell r="AC9" t="str">
            <v>—</v>
          </cell>
          <cell r="AD9" t="str">
            <v>—</v>
          </cell>
          <cell r="AE9" t="e">
            <v>#REF!</v>
          </cell>
          <cell r="AF9" t="e">
            <v>#VALUE!</v>
          </cell>
          <cell r="AG9" t="e">
            <v>#REF!</v>
          </cell>
          <cell r="AH9" t="str">
            <v>—</v>
          </cell>
        </row>
        <row r="10">
          <cell r="A10">
            <v>9</v>
          </cell>
          <cell r="B10" t="e">
            <v>#REF!</v>
          </cell>
          <cell r="C10" t="e">
            <v>#REF!</v>
          </cell>
          <cell r="D10" t="e">
            <v>#REF!</v>
          </cell>
          <cell r="E10" t="e">
            <v>#REF!</v>
          </cell>
          <cell r="F10" t="e">
            <v>#REF!</v>
          </cell>
          <cell r="G10" t="e">
            <v>#REF!</v>
          </cell>
          <cell r="H10" t="e">
            <v>#REF!</v>
          </cell>
          <cell r="I10" t="e">
            <v>#REF!</v>
          </cell>
          <cell r="J10" t="e">
            <v>#REF!</v>
          </cell>
          <cell r="K10" t="e">
            <v>#REF!</v>
          </cell>
          <cell r="L10" t="e">
            <v>#REF!</v>
          </cell>
          <cell r="M10" t="e">
            <v>#REF!</v>
          </cell>
          <cell r="N10">
            <v>0.1</v>
          </cell>
          <cell r="O10">
            <v>0.1</v>
          </cell>
          <cell r="P10" t="str">
            <v>15</v>
          </cell>
          <cell r="Q10" t="str">
            <v>Yes</v>
          </cell>
          <cell r="R10" t="e">
            <v>#REF!</v>
          </cell>
          <cell r="S10" t="e">
            <v>#REF!</v>
          </cell>
          <cell r="T10" t="e">
            <v>#REF!</v>
          </cell>
          <cell r="U10" t="e">
            <v>#REF!</v>
          </cell>
          <cell r="V10" t="e">
            <v>#REF!</v>
          </cell>
          <cell r="W10" t="e">
            <v>#REF!</v>
          </cell>
          <cell r="X10" t="e">
            <v>#REF!</v>
          </cell>
          <cell r="Y10"/>
          <cell r="Z10"/>
          <cell r="AA10"/>
          <cell r="AB10"/>
          <cell r="AC10" t="str">
            <v>—</v>
          </cell>
          <cell r="AD10" t="str">
            <v>—</v>
          </cell>
          <cell r="AE10" t="e">
            <v>#REF!</v>
          </cell>
          <cell r="AF10" t="e">
            <v>#VALUE!</v>
          </cell>
          <cell r="AG10" t="e">
            <v>#REF!</v>
          </cell>
          <cell r="AH10" t="str">
            <v>—</v>
          </cell>
        </row>
        <row r="11">
          <cell r="A11">
            <v>10</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v>0.1</v>
          </cell>
          <cell r="O11">
            <v>0.1</v>
          </cell>
          <cell r="P11" t="str">
            <v>15</v>
          </cell>
          <cell r="Q11" t="str">
            <v>Yes</v>
          </cell>
          <cell r="R11" t="e">
            <v>#REF!</v>
          </cell>
          <cell r="S11" t="e">
            <v>#REF!</v>
          </cell>
          <cell r="T11" t="e">
            <v>#REF!</v>
          </cell>
          <cell r="U11" t="e">
            <v>#REF!</v>
          </cell>
          <cell r="V11" t="e">
            <v>#REF!</v>
          </cell>
          <cell r="W11" t="e">
            <v>#REF!</v>
          </cell>
          <cell r="X11" t="e">
            <v>#REF!</v>
          </cell>
          <cell r="Y11"/>
          <cell r="Z11"/>
          <cell r="AA11"/>
          <cell r="AB11"/>
          <cell r="AC11" t="str">
            <v>—</v>
          </cell>
          <cell r="AD11" t="str">
            <v>—</v>
          </cell>
          <cell r="AE11" t="e">
            <v>#REF!</v>
          </cell>
          <cell r="AF11" t="e">
            <v>#VALUE!</v>
          </cell>
          <cell r="AG11" t="e">
            <v>#REF!</v>
          </cell>
          <cell r="AH11" t="str">
            <v>—</v>
          </cell>
        </row>
      </sheetData>
      <sheetData sheetId="39" refreshError="1"/>
      <sheetData sheetId="40" refreshError="1"/>
      <sheetData sheetId="41" refreshError="1">
        <row r="188">
          <cell r="D188">
            <v>1400000</v>
          </cell>
        </row>
      </sheetData>
      <sheetData sheetId="42" refreshError="1"/>
      <sheetData sheetId="43" refreshError="1"/>
      <sheetData sheetId="44" refreshError="1"/>
      <sheetData sheetId="45" refreshError="1"/>
      <sheetData sheetId="46" refreshError="1">
        <row r="9">
          <cell r="C9">
            <v>1</v>
          </cell>
        </row>
      </sheetData>
      <sheetData sheetId="47" refreshError="1"/>
      <sheetData sheetId="48" refreshError="1"/>
      <sheetData sheetId="49" refreshError="1"/>
      <sheetData sheetId="50" refreshError="1">
        <row r="7">
          <cell r="C7">
            <v>28147</v>
          </cell>
        </row>
      </sheetData>
      <sheetData sheetId="51" refreshError="1">
        <row r="32">
          <cell r="S32">
            <v>5.0000000000000044E-2</v>
          </cell>
        </row>
      </sheetData>
      <sheetData sheetId="52" refreshError="1"/>
      <sheetData sheetId="53" refreshError="1"/>
      <sheetData sheetId="54" refreshError="1"/>
      <sheetData sheetId="55" refreshError="1"/>
      <sheetData sheetId="56" refreshError="1">
        <row r="1">
          <cell r="A1" t="str">
            <v>ACTUAL OPERATING HISTORY DATA ENTRY WORKSHEET</v>
          </cell>
        </row>
        <row r="2">
          <cell r="H2" t="str">
            <v>Annualized</v>
          </cell>
        </row>
        <row r="3">
          <cell r="A3" t="str">
            <v>Category</v>
          </cell>
          <cell r="C3">
            <v>2013</v>
          </cell>
          <cell r="D3">
            <v>2014</v>
          </cell>
          <cell r="E3">
            <v>2015</v>
          </cell>
          <cell r="F3">
            <v>2016</v>
          </cell>
          <cell r="H3">
            <v>2017</v>
          </cell>
          <cell r="I3" t="str">
            <v>Budget</v>
          </cell>
        </row>
        <row r="5">
          <cell r="A5">
            <v>1020</v>
          </cell>
          <cell r="C5">
            <v>0</v>
          </cell>
          <cell r="D5">
            <v>0</v>
          </cell>
          <cell r="E5">
            <v>0</v>
          </cell>
          <cell r="F5">
            <v>0</v>
          </cell>
          <cell r="H5">
            <v>0</v>
          </cell>
          <cell r="I5">
            <v>0</v>
          </cell>
        </row>
        <row r="6">
          <cell r="A6">
            <v>1030</v>
          </cell>
          <cell r="C6">
            <v>0</v>
          </cell>
          <cell r="D6">
            <v>0</v>
          </cell>
          <cell r="E6">
            <v>0</v>
          </cell>
          <cell r="F6">
            <v>0</v>
          </cell>
          <cell r="H6">
            <v>0</v>
          </cell>
          <cell r="I6">
            <v>0</v>
          </cell>
        </row>
        <row r="7">
          <cell r="A7">
            <v>1040</v>
          </cell>
          <cell r="C7">
            <v>0</v>
          </cell>
          <cell r="D7">
            <v>0</v>
          </cell>
          <cell r="E7">
            <v>0</v>
          </cell>
          <cell r="F7">
            <v>0</v>
          </cell>
          <cell r="H7">
            <v>0</v>
          </cell>
          <cell r="I7">
            <v>0</v>
          </cell>
        </row>
        <row r="8">
          <cell r="A8">
            <v>1050</v>
          </cell>
          <cell r="C8">
            <v>0</v>
          </cell>
          <cell r="D8">
            <v>0</v>
          </cell>
          <cell r="E8">
            <v>0</v>
          </cell>
          <cell r="F8">
            <v>0</v>
          </cell>
          <cell r="H8">
            <v>0</v>
          </cell>
          <cell r="I8">
            <v>0</v>
          </cell>
        </row>
        <row r="9">
          <cell r="A9">
            <v>1060</v>
          </cell>
          <cell r="C9">
            <v>0</v>
          </cell>
          <cell r="D9">
            <v>0</v>
          </cell>
          <cell r="E9">
            <v>0</v>
          </cell>
          <cell r="F9">
            <v>0</v>
          </cell>
          <cell r="H9">
            <v>0</v>
          </cell>
          <cell r="I9">
            <v>0</v>
          </cell>
        </row>
        <row r="10">
          <cell r="A10">
            <v>1070</v>
          </cell>
          <cell r="C10">
            <v>0</v>
          </cell>
          <cell r="D10">
            <v>0</v>
          </cell>
          <cell r="E10">
            <v>0</v>
          </cell>
          <cell r="F10">
            <v>0</v>
          </cell>
          <cell r="H10">
            <v>0</v>
          </cell>
          <cell r="I10">
            <v>0</v>
          </cell>
        </row>
        <row r="11">
          <cell r="A11">
            <v>1080</v>
          </cell>
          <cell r="C11">
            <v>0</v>
          </cell>
          <cell r="D11">
            <v>0</v>
          </cell>
          <cell r="E11">
            <v>0</v>
          </cell>
          <cell r="F11">
            <v>0</v>
          </cell>
          <cell r="H11">
            <v>0</v>
          </cell>
          <cell r="I11">
            <v>0</v>
          </cell>
        </row>
        <row r="12">
          <cell r="A12">
            <v>1090</v>
          </cell>
          <cell r="C12">
            <v>0</v>
          </cell>
          <cell r="D12">
            <v>0</v>
          </cell>
          <cell r="E12">
            <v>0</v>
          </cell>
          <cell r="F12">
            <v>0</v>
          </cell>
          <cell r="H12">
            <v>0</v>
          </cell>
          <cell r="I12">
            <v>0</v>
          </cell>
        </row>
        <row r="13">
          <cell r="A13">
            <v>1100</v>
          </cell>
          <cell r="B13" t="str">
            <v>Storage Space Rental</v>
          </cell>
          <cell r="C13">
            <v>0</v>
          </cell>
          <cell r="D13">
            <v>0</v>
          </cell>
          <cell r="E13">
            <v>0</v>
          </cell>
          <cell r="F13">
            <v>0</v>
          </cell>
          <cell r="G13">
            <v>0</v>
          </cell>
          <cell r="H13">
            <v>0</v>
          </cell>
          <cell r="I13">
            <v>0</v>
          </cell>
        </row>
        <row r="14">
          <cell r="A14">
            <v>1110</v>
          </cell>
          <cell r="C14">
            <v>0</v>
          </cell>
          <cell r="D14">
            <v>0</v>
          </cell>
          <cell r="E14">
            <v>0</v>
          </cell>
          <cell r="F14">
            <v>0</v>
          </cell>
          <cell r="H14">
            <v>0</v>
          </cell>
          <cell r="I14">
            <v>0</v>
          </cell>
        </row>
        <row r="15">
          <cell r="A15">
            <v>1000</v>
          </cell>
          <cell r="C15">
            <v>0</v>
          </cell>
          <cell r="D15">
            <v>0</v>
          </cell>
          <cell r="E15">
            <v>0</v>
          </cell>
          <cell r="F15">
            <v>0</v>
          </cell>
          <cell r="H15">
            <v>0</v>
          </cell>
          <cell r="I15">
            <v>0</v>
          </cell>
        </row>
        <row r="18">
          <cell r="A18">
            <v>1510</v>
          </cell>
          <cell r="C18">
            <v>0</v>
          </cell>
          <cell r="D18">
            <v>0</v>
          </cell>
          <cell r="E18">
            <v>0</v>
          </cell>
          <cell r="F18">
            <v>0</v>
          </cell>
          <cell r="H18">
            <v>0</v>
          </cell>
          <cell r="I18">
            <v>0</v>
          </cell>
        </row>
        <row r="19">
          <cell r="A19">
            <v>1520</v>
          </cell>
          <cell r="C19">
            <v>0</v>
          </cell>
          <cell r="D19">
            <v>0</v>
          </cell>
          <cell r="E19">
            <v>0</v>
          </cell>
          <cell r="F19">
            <v>0</v>
          </cell>
          <cell r="H19">
            <v>0</v>
          </cell>
          <cell r="I19">
            <v>0</v>
          </cell>
        </row>
        <row r="20">
          <cell r="A20">
            <v>1530</v>
          </cell>
          <cell r="C20">
            <v>0</v>
          </cell>
          <cell r="D20">
            <v>0</v>
          </cell>
          <cell r="E20">
            <v>0</v>
          </cell>
          <cell r="F20">
            <v>0</v>
          </cell>
          <cell r="H20">
            <v>0</v>
          </cell>
          <cell r="I20">
            <v>0</v>
          </cell>
        </row>
        <row r="21">
          <cell r="A21">
            <v>1500</v>
          </cell>
          <cell r="C21">
            <v>0</v>
          </cell>
          <cell r="D21">
            <v>0</v>
          </cell>
          <cell r="E21">
            <v>0</v>
          </cell>
          <cell r="F21">
            <v>0</v>
          </cell>
          <cell r="H21">
            <v>0</v>
          </cell>
          <cell r="I21">
            <v>0</v>
          </cell>
        </row>
        <row r="23">
          <cell r="C23">
            <v>0</v>
          </cell>
          <cell r="D23">
            <v>0</v>
          </cell>
          <cell r="E23">
            <v>0</v>
          </cell>
          <cell r="F23">
            <v>0</v>
          </cell>
          <cell r="H23">
            <v>0</v>
          </cell>
          <cell r="I23">
            <v>0</v>
          </cell>
        </row>
        <row r="27">
          <cell r="A27">
            <v>2010</v>
          </cell>
          <cell r="C27">
            <v>0</v>
          </cell>
          <cell r="D27">
            <v>0</v>
          </cell>
          <cell r="E27">
            <v>0</v>
          </cell>
          <cell r="F27">
            <v>0</v>
          </cell>
          <cell r="H27">
            <v>0</v>
          </cell>
          <cell r="I27">
            <v>0</v>
          </cell>
        </row>
        <row r="28">
          <cell r="A28">
            <v>2020</v>
          </cell>
          <cell r="C28">
            <v>0</v>
          </cell>
          <cell r="D28">
            <v>0</v>
          </cell>
          <cell r="E28">
            <v>0</v>
          </cell>
          <cell r="F28">
            <v>0</v>
          </cell>
          <cell r="H28">
            <v>0</v>
          </cell>
          <cell r="I28">
            <v>0</v>
          </cell>
        </row>
        <row r="29">
          <cell r="A29">
            <v>2000</v>
          </cell>
          <cell r="C29">
            <v>0</v>
          </cell>
          <cell r="D29">
            <v>0</v>
          </cell>
          <cell r="E29">
            <v>0</v>
          </cell>
          <cell r="F29">
            <v>0</v>
          </cell>
          <cell r="H29">
            <v>0</v>
          </cell>
          <cell r="I29">
            <v>0</v>
          </cell>
        </row>
        <row r="32">
          <cell r="A32">
            <v>3010</v>
          </cell>
          <cell r="C32">
            <v>0</v>
          </cell>
          <cell r="D32">
            <v>0</v>
          </cell>
          <cell r="E32">
            <v>0</v>
          </cell>
          <cell r="F32">
            <v>0</v>
          </cell>
          <cell r="H32">
            <v>0</v>
          </cell>
          <cell r="I32">
            <v>0</v>
          </cell>
        </row>
        <row r="33">
          <cell r="A33">
            <v>3020</v>
          </cell>
          <cell r="C33">
            <v>0</v>
          </cell>
          <cell r="D33">
            <v>0</v>
          </cell>
          <cell r="E33">
            <v>0</v>
          </cell>
          <cell r="F33">
            <v>0</v>
          </cell>
          <cell r="H33">
            <v>0</v>
          </cell>
          <cell r="I33">
            <v>0</v>
          </cell>
        </row>
        <row r="34">
          <cell r="A34">
            <v>3000</v>
          </cell>
          <cell r="C34">
            <v>0</v>
          </cell>
          <cell r="D34">
            <v>0</v>
          </cell>
          <cell r="E34">
            <v>0</v>
          </cell>
          <cell r="F34">
            <v>0</v>
          </cell>
          <cell r="H34">
            <v>0</v>
          </cell>
          <cell r="I34">
            <v>0</v>
          </cell>
        </row>
        <row r="37">
          <cell r="A37">
            <v>4010</v>
          </cell>
          <cell r="C37">
            <v>0</v>
          </cell>
          <cell r="D37">
            <v>0</v>
          </cell>
          <cell r="E37">
            <v>0</v>
          </cell>
          <cell r="F37">
            <v>0</v>
          </cell>
          <cell r="H37">
            <v>0</v>
          </cell>
          <cell r="I37">
            <v>0</v>
          </cell>
        </row>
        <row r="38">
          <cell r="A38">
            <v>4020</v>
          </cell>
          <cell r="C38">
            <v>0</v>
          </cell>
          <cell r="D38">
            <v>0</v>
          </cell>
          <cell r="E38">
            <v>0</v>
          </cell>
          <cell r="F38">
            <v>0</v>
          </cell>
          <cell r="H38">
            <v>0</v>
          </cell>
          <cell r="I38">
            <v>0</v>
          </cell>
        </row>
        <row r="39">
          <cell r="A39">
            <v>4030</v>
          </cell>
          <cell r="C39">
            <v>0</v>
          </cell>
          <cell r="D39">
            <v>0</v>
          </cell>
          <cell r="E39">
            <v>0</v>
          </cell>
          <cell r="F39">
            <v>0</v>
          </cell>
          <cell r="H39">
            <v>0</v>
          </cell>
          <cell r="I39">
            <v>0</v>
          </cell>
        </row>
        <row r="40">
          <cell r="A40">
            <v>4040</v>
          </cell>
          <cell r="C40">
            <v>0</v>
          </cell>
          <cell r="D40">
            <v>0</v>
          </cell>
          <cell r="E40">
            <v>0</v>
          </cell>
          <cell r="F40">
            <v>0</v>
          </cell>
          <cell r="H40">
            <v>0</v>
          </cell>
          <cell r="I40">
            <v>0</v>
          </cell>
        </row>
        <row r="41">
          <cell r="A41">
            <v>4000</v>
          </cell>
          <cell r="C41">
            <v>0</v>
          </cell>
          <cell r="D41">
            <v>0</v>
          </cell>
          <cell r="E41">
            <v>0</v>
          </cell>
          <cell r="F41">
            <v>0</v>
          </cell>
          <cell r="H41">
            <v>0</v>
          </cell>
          <cell r="I41">
            <v>0</v>
          </cell>
        </row>
        <row r="45">
          <cell r="A45">
            <v>6010</v>
          </cell>
          <cell r="C45">
            <v>0</v>
          </cell>
          <cell r="D45">
            <v>0</v>
          </cell>
          <cell r="E45">
            <v>0</v>
          </cell>
          <cell r="F45">
            <v>0</v>
          </cell>
          <cell r="H45">
            <v>0</v>
          </cell>
          <cell r="I45">
            <v>0</v>
          </cell>
        </row>
        <row r="46">
          <cell r="A46">
            <v>6020</v>
          </cell>
          <cell r="C46">
            <v>0</v>
          </cell>
          <cell r="D46">
            <v>0</v>
          </cell>
          <cell r="E46">
            <v>0</v>
          </cell>
          <cell r="F46">
            <v>0</v>
          </cell>
          <cell r="H46">
            <v>0</v>
          </cell>
          <cell r="I46">
            <v>0</v>
          </cell>
        </row>
        <row r="47">
          <cell r="A47">
            <v>6030</v>
          </cell>
          <cell r="C47">
            <v>0</v>
          </cell>
          <cell r="D47">
            <v>0</v>
          </cell>
          <cell r="E47">
            <v>0</v>
          </cell>
          <cell r="F47">
            <v>0</v>
          </cell>
          <cell r="H47">
            <v>0</v>
          </cell>
          <cell r="I47">
            <v>0</v>
          </cell>
        </row>
        <row r="48">
          <cell r="A48">
            <v>6040</v>
          </cell>
          <cell r="C48">
            <v>0</v>
          </cell>
          <cell r="D48">
            <v>0</v>
          </cell>
          <cell r="E48">
            <v>0</v>
          </cell>
          <cell r="F48">
            <v>0</v>
          </cell>
          <cell r="H48">
            <v>0</v>
          </cell>
          <cell r="I48">
            <v>0</v>
          </cell>
        </row>
        <row r="49">
          <cell r="A49">
            <v>6050</v>
          </cell>
          <cell r="C49">
            <v>0</v>
          </cell>
          <cell r="D49">
            <v>0</v>
          </cell>
          <cell r="E49">
            <v>0</v>
          </cell>
          <cell r="F49">
            <v>0</v>
          </cell>
          <cell r="H49">
            <v>0</v>
          </cell>
          <cell r="I49">
            <v>0</v>
          </cell>
        </row>
        <row r="50">
          <cell r="A50">
            <v>6060</v>
          </cell>
          <cell r="C50">
            <v>0</v>
          </cell>
          <cell r="D50">
            <v>0</v>
          </cell>
          <cell r="E50">
            <v>0</v>
          </cell>
          <cell r="F50">
            <v>0</v>
          </cell>
          <cell r="H50">
            <v>0</v>
          </cell>
          <cell r="I50">
            <v>0</v>
          </cell>
        </row>
        <row r="51">
          <cell r="A51">
            <v>6070</v>
          </cell>
          <cell r="C51">
            <v>0</v>
          </cell>
          <cell r="D51">
            <v>0</v>
          </cell>
          <cell r="E51">
            <v>0</v>
          </cell>
          <cell r="F51">
            <v>0</v>
          </cell>
          <cell r="H51">
            <v>0</v>
          </cell>
          <cell r="I51">
            <v>0</v>
          </cell>
        </row>
        <row r="52">
          <cell r="A52">
            <v>6080</v>
          </cell>
          <cell r="C52">
            <v>0</v>
          </cell>
          <cell r="D52">
            <v>0</v>
          </cell>
          <cell r="E52">
            <v>0</v>
          </cell>
          <cell r="F52">
            <v>0</v>
          </cell>
          <cell r="H52">
            <v>0</v>
          </cell>
          <cell r="I52">
            <v>0</v>
          </cell>
        </row>
        <row r="53">
          <cell r="A53">
            <v>6090</v>
          </cell>
          <cell r="C53">
            <v>0</v>
          </cell>
          <cell r="D53">
            <v>0</v>
          </cell>
          <cell r="E53">
            <v>0</v>
          </cell>
          <cell r="F53">
            <v>0</v>
          </cell>
          <cell r="H53">
            <v>0</v>
          </cell>
          <cell r="I53">
            <v>0</v>
          </cell>
        </row>
        <row r="54">
          <cell r="A54">
            <v>6000</v>
          </cell>
          <cell r="C54">
            <v>0</v>
          </cell>
          <cell r="D54">
            <v>0</v>
          </cell>
          <cell r="E54">
            <v>0</v>
          </cell>
          <cell r="F54">
            <v>0</v>
          </cell>
          <cell r="H54">
            <v>0</v>
          </cell>
          <cell r="I54">
            <v>0</v>
          </cell>
        </row>
        <row r="57">
          <cell r="A57">
            <v>7010</v>
          </cell>
          <cell r="C57">
            <v>0</v>
          </cell>
          <cell r="D57">
            <v>0</v>
          </cell>
          <cell r="E57">
            <v>0</v>
          </cell>
          <cell r="F57">
            <v>0</v>
          </cell>
          <cell r="H57">
            <v>0</v>
          </cell>
          <cell r="I57">
            <v>0</v>
          </cell>
        </row>
        <row r="58">
          <cell r="A58">
            <v>7020</v>
          </cell>
          <cell r="C58">
            <v>0</v>
          </cell>
          <cell r="D58">
            <v>0</v>
          </cell>
          <cell r="E58">
            <v>0</v>
          </cell>
          <cell r="F58">
            <v>0</v>
          </cell>
          <cell r="H58">
            <v>0</v>
          </cell>
          <cell r="I58">
            <v>0</v>
          </cell>
        </row>
        <row r="59">
          <cell r="A59">
            <v>7030</v>
          </cell>
          <cell r="C59">
            <v>0</v>
          </cell>
          <cell r="D59">
            <v>0</v>
          </cell>
          <cell r="E59">
            <v>0</v>
          </cell>
          <cell r="F59">
            <v>0</v>
          </cell>
          <cell r="H59">
            <v>0</v>
          </cell>
          <cell r="I59">
            <v>0</v>
          </cell>
        </row>
        <row r="60">
          <cell r="A60">
            <v>7040</v>
          </cell>
          <cell r="C60">
            <v>0</v>
          </cell>
          <cell r="D60">
            <v>0</v>
          </cell>
          <cell r="E60">
            <v>0</v>
          </cell>
          <cell r="F60">
            <v>0</v>
          </cell>
          <cell r="H60">
            <v>0</v>
          </cell>
          <cell r="I60">
            <v>0</v>
          </cell>
        </row>
        <row r="61">
          <cell r="A61">
            <v>7050</v>
          </cell>
          <cell r="C61">
            <v>0</v>
          </cell>
          <cell r="D61">
            <v>0</v>
          </cell>
          <cell r="E61">
            <v>0</v>
          </cell>
          <cell r="F61">
            <v>0</v>
          </cell>
          <cell r="H61">
            <v>0</v>
          </cell>
          <cell r="I61">
            <v>0</v>
          </cell>
        </row>
        <row r="62">
          <cell r="A62">
            <v>7060</v>
          </cell>
          <cell r="C62">
            <v>0</v>
          </cell>
          <cell r="D62">
            <v>0</v>
          </cell>
          <cell r="E62">
            <v>0</v>
          </cell>
          <cell r="F62">
            <v>0</v>
          </cell>
          <cell r="H62">
            <v>0</v>
          </cell>
          <cell r="I62">
            <v>0</v>
          </cell>
        </row>
        <row r="63">
          <cell r="A63">
            <v>7070</v>
          </cell>
          <cell r="C63">
            <v>0</v>
          </cell>
          <cell r="D63">
            <v>0</v>
          </cell>
          <cell r="E63">
            <v>0</v>
          </cell>
          <cell r="F63">
            <v>0</v>
          </cell>
          <cell r="H63">
            <v>0</v>
          </cell>
          <cell r="I63">
            <v>0</v>
          </cell>
        </row>
        <row r="64">
          <cell r="A64">
            <v>7080</v>
          </cell>
          <cell r="C64">
            <v>0</v>
          </cell>
          <cell r="D64">
            <v>0</v>
          </cell>
          <cell r="E64">
            <v>0</v>
          </cell>
          <cell r="F64">
            <v>0</v>
          </cell>
          <cell r="H64">
            <v>0</v>
          </cell>
          <cell r="I64">
            <v>0</v>
          </cell>
        </row>
        <row r="65">
          <cell r="A65">
            <v>7090</v>
          </cell>
          <cell r="C65">
            <v>0</v>
          </cell>
          <cell r="D65">
            <v>0</v>
          </cell>
          <cell r="E65">
            <v>0</v>
          </cell>
          <cell r="F65">
            <v>0</v>
          </cell>
          <cell r="H65">
            <v>0</v>
          </cell>
          <cell r="I65">
            <v>0</v>
          </cell>
        </row>
        <row r="66">
          <cell r="A66">
            <v>7000</v>
          </cell>
          <cell r="C66">
            <v>0</v>
          </cell>
          <cell r="D66">
            <v>0</v>
          </cell>
          <cell r="E66">
            <v>0</v>
          </cell>
          <cell r="F66">
            <v>0</v>
          </cell>
          <cell r="H66">
            <v>0</v>
          </cell>
          <cell r="I66">
            <v>0</v>
          </cell>
        </row>
        <row r="68">
          <cell r="A68">
            <v>5000</v>
          </cell>
          <cell r="C68">
            <v>0</v>
          </cell>
          <cell r="D68">
            <v>0</v>
          </cell>
          <cell r="E68">
            <v>0</v>
          </cell>
          <cell r="F68">
            <v>0</v>
          </cell>
          <cell r="H68">
            <v>0</v>
          </cell>
          <cell r="I68">
            <v>0</v>
          </cell>
        </row>
        <row r="71">
          <cell r="A71">
            <v>8000</v>
          </cell>
          <cell r="C71">
            <v>0</v>
          </cell>
          <cell r="D71">
            <v>0</v>
          </cell>
          <cell r="E71">
            <v>0</v>
          </cell>
          <cell r="F71">
            <v>0</v>
          </cell>
          <cell r="H71">
            <v>0</v>
          </cell>
          <cell r="I71">
            <v>0</v>
          </cell>
        </row>
        <row r="73">
          <cell r="A73">
            <v>9000</v>
          </cell>
          <cell r="C73">
            <v>0</v>
          </cell>
          <cell r="D73">
            <v>0</v>
          </cell>
          <cell r="E73">
            <v>0</v>
          </cell>
          <cell r="F73">
            <v>0</v>
          </cell>
          <cell r="H73">
            <v>0</v>
          </cell>
          <cell r="I73">
            <v>0</v>
          </cell>
        </row>
        <row r="75">
          <cell r="C75">
            <v>0</v>
          </cell>
          <cell r="D75">
            <v>0</v>
          </cell>
          <cell r="E75">
            <v>0</v>
          </cell>
          <cell r="F75">
            <v>0</v>
          </cell>
          <cell r="H75">
            <v>0</v>
          </cell>
          <cell r="I75">
            <v>0</v>
          </cell>
        </row>
        <row r="76">
          <cell r="C76">
            <v>0</v>
          </cell>
          <cell r="D76">
            <v>0</v>
          </cell>
          <cell r="E76">
            <v>0</v>
          </cell>
          <cell r="F76">
            <v>0</v>
          </cell>
          <cell r="H76">
            <v>0</v>
          </cell>
          <cell r="I76">
            <v>0</v>
          </cell>
        </row>
      </sheetData>
      <sheetData sheetId="57" refreshError="1"/>
      <sheetData sheetId="58" refreshError="1"/>
      <sheetData sheetId="59" refreshError="1">
        <row r="32">
          <cell r="M32">
            <v>0</v>
          </cell>
        </row>
        <row r="38">
          <cell r="M38">
            <v>0</v>
          </cell>
        </row>
        <row r="41">
          <cell r="M41">
            <v>0</v>
          </cell>
        </row>
      </sheetData>
      <sheetData sheetId="60" refreshError="1"/>
      <sheetData sheetId="61" refreshError="1"/>
      <sheetData sheetId="62" refreshError="1"/>
      <sheetData sheetId="63" refreshError="1"/>
      <sheetData sheetId="64" refreshError="1"/>
      <sheetData sheetId="65" refreshError="1"/>
      <sheetData sheetId="66" refreshError="1"/>
      <sheetData sheetId="67" refreshError="1">
        <row r="36">
          <cell r="D36">
            <v>641610.86499999999</v>
          </cell>
        </row>
        <row r="44">
          <cell r="B44">
            <v>6.25E-2</v>
          </cell>
        </row>
        <row r="50">
          <cell r="D50">
            <v>10300000</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Office"/>
      <sheetName val="Market Conditions"/>
      <sheetName val="Assumptions"/>
    </sheetNames>
    <sheetDataSet>
      <sheetData sheetId="0"/>
      <sheetData sheetId="1"/>
      <sheetData sheetId="2"/>
      <sheetData sheetId="3">
        <row r="2">
          <cell r="C2" t="str">
            <v>Qualitative</v>
          </cell>
        </row>
        <row r="3">
          <cell r="C3" t="str">
            <v>Quantitative</v>
          </cell>
        </row>
        <row r="9">
          <cell r="F9">
            <v>6</v>
          </cell>
          <cell r="G9" t="str">
            <v>( ++++++ )</v>
          </cell>
        </row>
        <row r="10">
          <cell r="F10">
            <v>5</v>
          </cell>
          <cell r="G10" t="str">
            <v>( +++++ )</v>
          </cell>
        </row>
        <row r="11">
          <cell r="F11">
            <v>4</v>
          </cell>
          <cell r="G11" t="str">
            <v>( ++++ )</v>
          </cell>
        </row>
        <row r="12">
          <cell r="F12">
            <v>3</v>
          </cell>
          <cell r="G12" t="str">
            <v>( +++ )</v>
          </cell>
        </row>
        <row r="13">
          <cell r="F13">
            <v>2</v>
          </cell>
          <cell r="G13" t="str">
            <v>( ++ )</v>
          </cell>
        </row>
        <row r="14">
          <cell r="F14">
            <v>1</v>
          </cell>
          <cell r="G14" t="str">
            <v>( + )</v>
          </cell>
        </row>
        <row r="15">
          <cell r="F15">
            <v>0</v>
          </cell>
          <cell r="G15" t="str">
            <v>=</v>
          </cell>
        </row>
        <row r="16">
          <cell r="F16">
            <v>-1</v>
          </cell>
          <cell r="G16" t="str">
            <v>( - )</v>
          </cell>
        </row>
        <row r="17">
          <cell r="F17">
            <v>-2</v>
          </cell>
          <cell r="G17" t="str">
            <v>( -- )</v>
          </cell>
        </row>
        <row r="18">
          <cell r="F18">
            <v>-3</v>
          </cell>
          <cell r="G18" t="str">
            <v>( --- )</v>
          </cell>
        </row>
        <row r="19">
          <cell r="F19">
            <v>-4</v>
          </cell>
          <cell r="G19" t="str">
            <v>( ---- )</v>
          </cell>
        </row>
        <row r="20">
          <cell r="F20">
            <v>-5</v>
          </cell>
          <cell r="G20" t="str">
            <v>( ----- )</v>
          </cell>
        </row>
        <row r="21">
          <cell r="F21">
            <v>-6</v>
          </cell>
          <cell r="G21" t="str">
            <v>( ------ )</v>
          </cell>
        </row>
      </sheetData>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Office Comps"/>
      <sheetName val="Retail Comps"/>
      <sheetName val="Industrial Comps"/>
      <sheetName val="Taxes &amp; Financial Indicators"/>
      <sheetName val="Proforma and Direct Cap"/>
      <sheetName val="Cap Rate Comps"/>
      <sheetName val="Assumptions"/>
    </sheetNames>
    <sheetDataSet>
      <sheetData sheetId="0"/>
      <sheetData sheetId="1"/>
      <sheetData sheetId="2"/>
      <sheetData sheetId="3"/>
      <sheetData sheetId="4"/>
      <sheetData sheetId="5"/>
      <sheetData sheetId="6">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Assumptions"/>
      <sheetName val="Office Comps"/>
      <sheetName val="Retail Comps"/>
      <sheetName val="Industrial Comps"/>
      <sheetName val="Taxes &amp; Financial Indicators"/>
      <sheetName val="Proforma and Direct Cap"/>
      <sheetName val="Cap Rate Comps"/>
    </sheetNames>
    <sheetDataSet>
      <sheetData sheetId="0" refreshError="1">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 sheetId="1"/>
      <sheetData sheetId="2"/>
      <sheetData sheetId="3"/>
      <sheetData sheetId="4"/>
      <sheetData sheetId="5"/>
      <sheetData sheetId="6"/>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enu"/>
      <sheetName val="Navigation"/>
      <sheetName val="OptionsProperty"/>
      <sheetName val="CompanyAddressData"/>
      <sheetName val="CompanyAddressList"/>
      <sheetName val="CertificationsOptions"/>
      <sheetName val="MapOptions"/>
      <sheetName val="MethodAssump"/>
      <sheetName val="Assignment"/>
      <sheetName val="Certification"/>
      <sheetName val="Valuation Scenarios"/>
      <sheetName val="Value Indications"/>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H&amp;BU"/>
      <sheetName val="tblSalientFacts"/>
      <sheetName val="LSalesNew"/>
      <sheetName val="LSaleAdjNew"/>
      <sheetName val="LSalesAnalysis"/>
      <sheetName val="LSalesSecondary"/>
      <sheetName val="LSaleAdjSecondary"/>
      <sheetName val="LSalesAnalysisSecondary"/>
      <sheetName val="CostDataSec11_12"/>
      <sheetName val="CostDataSec13"/>
      <sheetName val="CostDataSec14"/>
      <sheetName val="CostDataSec15"/>
      <sheetName val="CostDataSec18"/>
      <sheetName val="OptionsCost"/>
      <sheetName val="CostDataSec99"/>
      <sheetName val="Cost (2)"/>
      <sheetName val="Cost (3)"/>
      <sheetName val="Cost (4)"/>
      <sheetName val="Cost (5)"/>
      <sheetName val="CostSummary"/>
      <sheetName val="CostInsur"/>
      <sheetName val="Evaluation"/>
      <sheetName val="ISaleData"/>
      <sheetName val="ISalesNew"/>
      <sheetName val="ISaleAdjNew"/>
      <sheetName val="ISalesAnalysis"/>
      <sheetName val="ISaleTbls"/>
      <sheetName val="ISalesSecondary"/>
      <sheetName val="ISaleAdjSecondary"/>
      <sheetName val="ISalesAnalysisSecondary"/>
      <sheetName val="RentCompData"/>
      <sheetName val="RentRollApt"/>
      <sheetName val="UnitCompApt"/>
      <sheetName val="tblUnitCompApt"/>
      <sheetName val="CompRentsApt"/>
      <sheetName val="RentSurveyApt"/>
      <sheetName val="Cost"/>
      <sheetName val="OwnerUserExpProforma"/>
      <sheetName val="RentRollNew"/>
      <sheetName val="RetailSales"/>
      <sheetName val="tblRentRoll"/>
      <sheetName val="LeaseAbstractsNew"/>
      <sheetName val="Lists"/>
      <sheetName val="LeaseCompsNew"/>
      <sheetName val="SpecialtyLeaseComps"/>
      <sheetName val="LeaseAdjGrids"/>
      <sheetName val="AltPropertyAdjGrid"/>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New"/>
      <sheetName val="ExpCompRawData"/>
      <sheetName val="CapRates"/>
      <sheetName val="ProForma"/>
      <sheetName val="GoDark"/>
      <sheetName val="LeaseUpAdj"/>
      <sheetName val="DCF.New"/>
      <sheetName val="Survey Publications"/>
      <sheetName val="Scratch"/>
      <sheetName val="Addenda"/>
      <sheetName val="Our Company"/>
      <sheetName val="Client Company"/>
      <sheetName val="Client Contact"/>
      <sheetName val="Job Info"/>
      <sheetName val="Job Participants"/>
      <sheetName val="Job Participant Additional Info"/>
      <sheetName val="Job Property"/>
      <sheetName val="Property Unit Mix"/>
      <sheetName val="Property Comments"/>
      <sheetName val="Property Attributes"/>
      <sheetName val="Comp. Land Sale Picklists"/>
      <sheetName val="Comparable Sale Picklists"/>
      <sheetName val="Comparable Rental Picklists"/>
      <sheetName val="Comp. Rental Picklist Units"/>
      <sheetName val="Comparable Lease Picklists"/>
      <sheetName val="Subject Property Leases"/>
    </sheetNames>
    <sheetDataSet>
      <sheetData sheetId="0">
        <row r="15">
          <cell r="D15" t="str">
            <v>Retail</v>
          </cell>
        </row>
        <row r="17">
          <cell r="D17"/>
        </row>
      </sheetData>
      <sheetData sheetId="1"/>
      <sheetData sheetId="2"/>
      <sheetData sheetId="3"/>
      <sheetData sheetId="4"/>
      <sheetData sheetId="5"/>
      <sheetData sheetId="6"/>
      <sheetData sheetId="7">
        <row r="4">
          <cell r="B4" t="str">
            <v>Investor</v>
          </cell>
        </row>
      </sheetData>
      <sheetData sheetId="8">
        <row r="15">
          <cell r="B15" t="str">
            <v>4430 South Adams County Parkway</v>
          </cell>
        </row>
        <row r="16">
          <cell r="B16" t="str">
            <v>Suite C5000B</v>
          </cell>
        </row>
        <row r="17">
          <cell r="B17" t="str">
            <v>Brighton</v>
          </cell>
        </row>
        <row r="18">
          <cell r="B18" t="str">
            <v>CO</v>
          </cell>
        </row>
        <row r="19">
          <cell r="B19">
            <v>80601</v>
          </cell>
        </row>
        <row r="22">
          <cell r="B22" t="str">
            <v xml:space="preserve">Mr. Tom Downey, owner representitive, was interviewed by phone and email throughout the appraisal process. Mr. Downey attended our inspection of the subject property. </v>
          </cell>
        </row>
        <row r="27">
          <cell r="B27" t="str">
            <v>THF PRAIRIE CENTER RETAIL ONE LLC 
C/O THF REALTY</v>
          </cell>
        </row>
        <row r="34">
          <cell r="B34" t="str">
            <v>Adams</v>
          </cell>
        </row>
        <row r="36">
          <cell r="B36">
            <v>80601</v>
          </cell>
        </row>
        <row r="43">
          <cell r="B43">
            <v>44987</v>
          </cell>
        </row>
        <row r="44">
          <cell r="B44">
            <v>45008</v>
          </cell>
        </row>
      </sheetData>
      <sheetData sheetId="9"/>
      <sheetData sheetId="10">
        <row r="76">
          <cell r="D76" t="str">
            <v xml:space="preserve"> •Market Value of the Fee Simple interest in the subject property, As Is as of January 1, 2022</v>
          </cell>
        </row>
        <row r="79">
          <cell r="D79" t="str">
            <v>Market Value</v>
          </cell>
        </row>
        <row r="85">
          <cell r="D85" t="str">
            <v>As Is Market Value - January 1, 2022</v>
          </cell>
        </row>
      </sheetData>
      <sheetData sheetId="11">
        <row r="14">
          <cell r="C14" t="str">
            <v>12 months</v>
          </cell>
        </row>
        <row r="15">
          <cell r="C15" t="str">
            <v>12 months</v>
          </cell>
        </row>
      </sheetData>
      <sheetData sheetId="12"/>
      <sheetData sheetId="13"/>
      <sheetData sheetId="14"/>
      <sheetData sheetId="15"/>
      <sheetData sheetId="16"/>
      <sheetData sheetId="17"/>
      <sheetData sheetId="18">
        <row r="2">
          <cell r="C2" t="str">
            <v>Northwest side of Prairie Center Parway, south of Eagle Boulevard, in the City of Brighton, Adams County, Colorado.</v>
          </cell>
        </row>
        <row r="11">
          <cell r="C11">
            <v>0</v>
          </cell>
        </row>
        <row r="12">
          <cell r="C12"/>
        </row>
        <row r="16">
          <cell r="C16" t="str">
            <v>Typical utilities and municipal services available to site.</v>
          </cell>
        </row>
        <row r="18">
          <cell r="C18" t="str">
            <v>08001C0333H</v>
          </cell>
        </row>
        <row r="19">
          <cell r="C19">
            <v>39146</v>
          </cell>
        </row>
        <row r="20">
          <cell r="C20" t="str">
            <v>Zone X (Unshaded)</v>
          </cell>
        </row>
        <row r="21">
          <cell r="C21" t="str">
            <v>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v>
          </cell>
        </row>
        <row r="22">
          <cell r="C22">
            <v>0</v>
          </cell>
        </row>
        <row r="24">
          <cell r="C24" t="str">
            <v>We did not receive nor review a soil report.  However, we assume that the soil's load-bearing capacity is sufficient to support existing and/or proposed structure(s).  We did not observe any evidence to the contrary during our physical inspection of the property.</v>
          </cell>
        </row>
        <row r="25">
          <cell r="C25" t="str">
            <v>No unusual conditions observed.  No studies provided.  Site is assumed to be free of any environmental concerns.</v>
          </cell>
        </row>
        <row r="27">
          <cell r="C27" t="str">
            <v>Manual fill.</v>
          </cell>
        </row>
        <row r="28">
          <cell r="C28" t="str">
            <v>Manual fill.</v>
          </cell>
        </row>
        <row r="29">
          <cell r="C29" t="str">
            <v>Manual fill.</v>
          </cell>
        </row>
        <row r="30">
          <cell r="C30"/>
        </row>
        <row r="31">
          <cell r="C31" t="str">
            <v>Manual fill.</v>
          </cell>
        </row>
        <row r="32">
          <cell r="C32" t="str">
            <v>Manual fill.</v>
          </cell>
        </row>
        <row r="33">
          <cell r="C33" t="str">
            <v>Manual fill.</v>
          </cell>
        </row>
        <row r="34">
          <cell r="C34" t="str">
            <v>Manual fill.</v>
          </cell>
        </row>
        <row r="37">
          <cell r="C37" t="str">
            <v>Improved Parcel: 1569-212-01-017
Excess Land: 1569-212-01-018</v>
          </cell>
        </row>
        <row r="38">
          <cell r="C38" t="str">
            <v>Improved Parcel: PRAIRIE CENTER MAJOR RETAIL 2 4TH AMND LOT 5 REMAINDER
Excess Land: PRAIRIE CENTER MAJOR RETAIL 2 4TH AMND LOT 5A</v>
          </cell>
        </row>
        <row r="39">
          <cell r="C39" t="str">
            <v xml:space="preserve">A typical parking and access agreement appears to exist with adjacent properties to the north and south of the subject. No adverse easements or encumbrances appear to exist at the property. </v>
          </cell>
        </row>
      </sheetData>
      <sheetData sheetId="19"/>
      <sheetData sheetId="20"/>
      <sheetData sheetId="21"/>
      <sheetData sheetId="22">
        <row r="2">
          <cell r="C2" t="str">
            <v>Multi-Tenant Retail Center with Excess Land</v>
          </cell>
        </row>
        <row r="3">
          <cell r="C3" t="str">
            <v>Retail</v>
          </cell>
        </row>
        <row r="4">
          <cell r="C4" t="str">
            <v>Multi-Tenant Retail Center with Excess Land</v>
          </cell>
        </row>
        <row r="6">
          <cell r="C6" t="str">
            <v>Updated over time</v>
          </cell>
        </row>
        <row r="7">
          <cell r="C7">
            <v>3</v>
          </cell>
        </row>
        <row r="8">
          <cell r="C8">
            <v>1</v>
          </cell>
        </row>
        <row r="9">
          <cell r="C9" t="str">
            <v>C</v>
          </cell>
        </row>
        <row r="14">
          <cell r="C14">
            <v>0</v>
          </cell>
        </row>
        <row r="15">
          <cell r="C15">
            <v>0</v>
          </cell>
        </row>
        <row r="16">
          <cell r="C16">
            <v>0</v>
          </cell>
        </row>
        <row r="17">
          <cell r="C17">
            <v>109032</v>
          </cell>
        </row>
        <row r="22">
          <cell r="C22" t="str"/>
        </row>
        <row r="23">
          <cell r="C23" t="str"/>
        </row>
        <row r="27">
          <cell r="C27">
            <v>0</v>
          </cell>
        </row>
        <row r="28">
          <cell r="C28" t="str">
            <v>Manual fill.</v>
          </cell>
        </row>
        <row r="29">
          <cell r="C29" t="str">
            <v>N/R</v>
          </cell>
        </row>
        <row r="30">
          <cell r="C30">
            <v>0</v>
          </cell>
        </row>
        <row r="31">
          <cell r="C31">
            <v>0.18029073080825908</v>
          </cell>
        </row>
        <row r="35">
          <cell r="C35" t="str">
            <v>Manual Entry</v>
          </cell>
        </row>
        <row r="37">
          <cell r="C37" t="str"/>
        </row>
        <row r="38">
          <cell r="C38" t="str"/>
        </row>
        <row r="39">
          <cell r="C39" t="str">
            <v>Manual fill.</v>
          </cell>
        </row>
        <row r="40">
          <cell r="C40" t="str"/>
        </row>
        <row r="41">
          <cell r="C41" t="str"/>
        </row>
        <row r="44">
          <cell r="C44">
            <v>433</v>
          </cell>
        </row>
        <row r="45">
          <cell r="C45">
            <v>0</v>
          </cell>
        </row>
        <row r="46">
          <cell r="C46">
            <v>0</v>
          </cell>
        </row>
        <row r="48">
          <cell r="C48" t="str">
            <v>4.05 spaces per 1,000 SF of net building area.</v>
          </cell>
        </row>
        <row r="50">
          <cell r="C50" t="str">
            <v>The property is assumed to be fully ADA compliant.</v>
          </cell>
        </row>
        <row r="54">
          <cell r="C54" t="str">
            <v>Manual fill.</v>
          </cell>
        </row>
        <row r="55">
          <cell r="C55"/>
        </row>
        <row r="56">
          <cell r="C56" t="str">
            <v>Concrete block</v>
          </cell>
        </row>
        <row r="57">
          <cell r="C57"/>
        </row>
        <row r="58">
          <cell r="C58"/>
        </row>
        <row r="59">
          <cell r="C59"/>
        </row>
        <row r="60">
          <cell r="C60"/>
        </row>
        <row r="61">
          <cell r="C61"/>
        </row>
        <row r="65">
          <cell r="C65"/>
        </row>
        <row r="66">
          <cell r="C66"/>
        </row>
        <row r="67">
          <cell r="C67" t="str">
            <v>Manual fill.</v>
          </cell>
        </row>
        <row r="69">
          <cell r="C69"/>
        </row>
        <row r="70">
          <cell r="C70" t="str"/>
        </row>
        <row r="75">
          <cell r="C75"/>
        </row>
        <row r="76">
          <cell r="C76"/>
        </row>
        <row r="77">
          <cell r="C77" t="str">
            <v>Manual fill.</v>
          </cell>
        </row>
        <row r="78">
          <cell r="C78" t="str">
            <v>Manual fill.</v>
          </cell>
        </row>
        <row r="80">
          <cell r="C80"/>
        </row>
        <row r="83">
          <cell r="C83"/>
        </row>
        <row r="84">
          <cell r="C84"/>
        </row>
        <row r="85">
          <cell r="C85" t="str">
            <v>Manual fill.</v>
          </cell>
        </row>
        <row r="86">
          <cell r="C86" t="str">
            <v>Manual fill.</v>
          </cell>
        </row>
        <row r="87">
          <cell r="C87" t="str">
            <v>Manual fill.</v>
          </cell>
        </row>
        <row r="90">
          <cell r="C90" t="str">
            <v>None noted</v>
          </cell>
        </row>
        <row r="91">
          <cell r="C91" t="str">
            <v>None noted</v>
          </cell>
        </row>
        <row r="92">
          <cell r="C92" t="str">
            <v>N/A</v>
          </cell>
        </row>
        <row r="95">
          <cell r="C95" t="str">
            <v>Average</v>
          </cell>
        </row>
        <row r="97">
          <cell r="C97" t="str">
            <v>Average</v>
          </cell>
        </row>
        <row r="99">
          <cell r="C99" t="str">
            <v>Average</v>
          </cell>
        </row>
        <row r="100">
          <cell r="C100" t="str">
            <v>Building 1: 4 Years
Building 2: 9 Years
Building 3: 14 Years</v>
          </cell>
        </row>
        <row r="103">
          <cell r="C103" t="str">
            <v>Building 1: 41 Years
Building 2: 40 Years
Building 3: 38 Years</v>
          </cell>
        </row>
      </sheetData>
      <sheetData sheetId="23">
        <row r="31">
          <cell r="C31" t="str">
            <v>Manual Entry</v>
          </cell>
        </row>
        <row r="32">
          <cell r="C32" t="str">
            <v>Manual Entry</v>
          </cell>
        </row>
        <row r="33">
          <cell r="C33" t="str">
            <v>Manual Entry</v>
          </cell>
        </row>
        <row r="34">
          <cell r="C34" t="str">
            <v>Manual Entry</v>
          </cell>
        </row>
        <row r="35">
          <cell r="C35" t="str">
            <v>Manual Entry</v>
          </cell>
        </row>
        <row r="36">
          <cell r="C36" t="str">
            <v>Manual Entry</v>
          </cell>
        </row>
        <row r="39">
          <cell r="C39" t="str">
            <v>Manual Entry</v>
          </cell>
        </row>
        <row r="40">
          <cell r="C40" t="str">
            <v>Manual Entry</v>
          </cell>
        </row>
        <row r="85">
          <cell r="C85" t="str">
            <v>Manual Entry</v>
          </cell>
        </row>
      </sheetData>
      <sheetData sheetId="24"/>
      <sheetData sheetId="25"/>
      <sheetData sheetId="26"/>
      <sheetData sheetId="27"/>
      <sheetData sheetId="28">
        <row r="2">
          <cell r="B2" t="str">
            <v>Retail Development</v>
          </cell>
        </row>
        <row r="3">
          <cell r="B3" t="str">
            <v>As currently developed</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ow r="1">
          <cell r="V1">
            <v>0</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Basic"/>
      <sheetName val="LA"/>
      <sheetName val="BAA - Pre-Appraisal Analysis"/>
      <sheetName val="Rent Roll"/>
      <sheetName val="LAG"/>
      <sheetName val="MRC &amp; PGRI"/>
      <sheetName val="V &amp; CL"/>
      <sheetName val="HOA"/>
      <sheetName val="CED"/>
      <sheetName val="OECC"/>
      <sheetName val="PF"/>
      <sheetName val="Cap Rate"/>
      <sheetName val="IA Value"/>
      <sheetName val="IS Summary"/>
      <sheetName val="Sales Grid"/>
      <sheetName val="Market Conditions"/>
      <sheetName val="SCA Value"/>
      <sheetName val="Land Sales Adjustments "/>
      <sheetName val="Cost Analysis Actual Costs"/>
      <sheetName val="Cost Analysis Estimated Costs"/>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3">
          <cell r="G33">
            <v>6128646.0606000004</v>
          </cell>
        </row>
        <row r="56">
          <cell r="G56">
            <v>919296.9090900002</v>
          </cell>
        </row>
      </sheetData>
      <sheetData sheetId="20"/>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_Macro"/>
      <sheetName val="ISaleTbls"/>
      <sheetName val="AdjustmentDetail"/>
      <sheetName val="ISaleNarr"/>
      <sheetName val="ISaleAdj"/>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sheetData sheetId="1"/>
      <sheetData sheetId="2"/>
      <sheetData sheetId="3"/>
      <sheetData sheetId="4"/>
      <sheetData sheetId="5"/>
      <sheetData sheetId="6">
        <row r="30">
          <cell r="B30" t="str">
            <v>Shops at Presidio</v>
          </cell>
        </row>
      </sheetData>
      <sheetData sheetId="7"/>
      <sheetData sheetId="8"/>
      <sheetData sheetId="9"/>
      <sheetData sheetId="10"/>
      <sheetData sheetId="11">
        <row r="4">
          <cell r="B4" t="str">
            <v>As Is</v>
          </cell>
        </row>
      </sheetData>
      <sheetData sheetId="12"/>
      <sheetData sheetId="13">
        <row r="2">
          <cell r="H2" t="str">
            <v>Neutral</v>
          </cell>
          <cell r="AA2" t="str">
            <v>Excellent</v>
          </cell>
          <cell r="BV2" t="str">
            <v>NRA</v>
          </cell>
        </row>
        <row r="3">
          <cell r="H3" t="str">
            <v>Upward</v>
          </cell>
          <cell r="AA3" t="str">
            <v>Good/Excellent</v>
          </cell>
          <cell r="BV3" t="str">
            <v>GBA</v>
          </cell>
        </row>
        <row r="4">
          <cell r="H4" t="str">
            <v>Downward</v>
          </cell>
          <cell r="AA4" t="str">
            <v>Good</v>
          </cell>
          <cell r="BV4" t="str">
            <v>Land</v>
          </cell>
        </row>
        <row r="5">
          <cell r="AA5" t="str">
            <v>Average/Good</v>
          </cell>
        </row>
        <row r="6">
          <cell r="AA6" t="str">
            <v>Average</v>
          </cell>
        </row>
        <row r="7">
          <cell r="AA7" t="str">
            <v>Average/Fair</v>
          </cell>
        </row>
        <row r="8">
          <cell r="AA8" t="str">
            <v>Fair</v>
          </cell>
        </row>
        <row r="9">
          <cell r="AA9" t="str">
            <v>Fair/Poor</v>
          </cell>
        </row>
        <row r="10">
          <cell r="AA10" t="str">
            <v>Poor</v>
          </cell>
        </row>
      </sheetData>
      <sheetData sheetId="14"/>
      <sheetData sheetId="15"/>
      <sheetData sheetId="16"/>
      <sheetData sheetId="17"/>
      <sheetData sheetId="18"/>
      <sheetData sheetId="19"/>
      <sheetData sheetId="20">
        <row r="3">
          <cell r="B3">
            <v>125017</v>
          </cell>
        </row>
      </sheetData>
      <sheetData sheetId="21">
        <row r="5">
          <cell r="B5">
            <v>2017</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4">
          <cell r="F44">
            <v>0</v>
          </cell>
        </row>
        <row r="58">
          <cell r="G58" t="e">
            <v>#N/A</v>
          </cell>
        </row>
      </sheetData>
      <sheetData sheetId="37"/>
      <sheetData sheetId="38">
        <row r="2">
          <cell r="A2">
            <v>1</v>
          </cell>
        </row>
      </sheetData>
      <sheetData sheetId="39"/>
      <sheetData sheetId="40"/>
      <sheetData sheetId="41"/>
      <sheetData sheetId="42"/>
      <sheetData sheetId="43"/>
      <sheetData sheetId="44"/>
      <sheetData sheetId="45">
        <row r="188">
          <cell r="D188">
            <v>750000</v>
          </cell>
        </row>
      </sheetData>
      <sheetData sheetId="46">
        <row r="9">
          <cell r="C9">
            <v>1</v>
          </cell>
        </row>
      </sheetData>
      <sheetData sheetId="47">
        <row r="2">
          <cell r="A2" t="str">
            <v>Retail</v>
          </cell>
        </row>
        <row r="3">
          <cell r="A3" t="str">
            <v>In-Line (&lt; 1,500)</v>
          </cell>
        </row>
        <row r="4">
          <cell r="A4" t="str">
            <v>In-Line (&gt;1,500)</v>
          </cell>
        </row>
        <row r="5">
          <cell r="A5" t="str">
            <v>Jr. Anchor</v>
          </cell>
        </row>
        <row r="6">
          <cell r="A6" t="str">
            <v>Anchor</v>
          </cell>
        </row>
        <row r="7">
          <cell r="A7" t="str">
            <v>Endcap</v>
          </cell>
        </row>
        <row r="8">
          <cell r="A8" t="str">
            <v>Pad Site</v>
          </cell>
        </row>
        <row r="9">
          <cell r="A9" t="str">
            <v>Restaurant</v>
          </cell>
        </row>
        <row r="10">
          <cell r="A10" t="str">
            <v>Bar/Restaurant</v>
          </cell>
        </row>
        <row r="11">
          <cell r="A11" t="str">
            <v>Retail/Office</v>
          </cell>
        </row>
      </sheetData>
      <sheetData sheetId="48"/>
      <sheetData sheetId="49"/>
      <sheetData sheetId="50"/>
      <sheetData sheetId="51"/>
      <sheetData sheetId="52">
        <row r="62">
          <cell r="C62" t="str">
            <v>NNN</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50">
          <cell r="D50">
            <v>5500000</v>
          </cell>
        </row>
      </sheetData>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Value Indications"/>
      <sheetName val="Land Sales Adjustments"/>
      <sheetName val="Summary of Land Sales"/>
      <sheetName val="Cost"/>
      <sheetName val="Cost Approach Summary"/>
      <sheetName val="Improved Sales Adjustments"/>
      <sheetName val="Summary of Improved Sales"/>
      <sheetName val="Extra Improved Sales Adjustment"/>
      <sheetName val="Taxes &amp; Financial Indicators"/>
      <sheetName val="Lease Abstracts"/>
      <sheetName val="RentRoll"/>
      <sheetName val="Expense Recoveries"/>
      <sheetName val="Lease Adjustments"/>
      <sheetName val="Lease Comps"/>
      <sheetName val="Market Rent Conclusion"/>
      <sheetName val="PGRI"/>
      <sheetName val="Vacancy"/>
      <sheetName val="Operating Expenses"/>
      <sheetName val=" Proforma &amp; Cap"/>
      <sheetName val="Risk Factors Affecting Subject"/>
      <sheetName val="Sheet1"/>
      <sheetName val="Cap Rate Comps"/>
    </sheetNames>
    <sheetDataSet>
      <sheetData sheetId="0" refreshError="1">
        <row r="5">
          <cell r="C5">
            <v>2170000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Sheet1"/>
      <sheetName val="Sheet2"/>
      <sheetName val="Sheet3"/>
    </sheetNames>
    <sheetDataSet>
      <sheetData sheetId="0"/>
      <sheetData sheetId="1">
        <row r="4">
          <cell r="B4">
            <v>1100000</v>
          </cell>
        </row>
        <row r="5">
          <cell r="B5">
            <v>680000</v>
          </cell>
        </row>
      </sheetData>
      <sheetData sheetId="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asic"/>
      <sheetName val="LA"/>
      <sheetName val="Rent Roll"/>
      <sheetName val="LAG"/>
      <sheetName val="MRC &amp; PGRI"/>
      <sheetName val="V &amp; CL"/>
      <sheetName val="HOA"/>
      <sheetName val="CED"/>
      <sheetName val="OECC"/>
      <sheetName val="PF"/>
      <sheetName val="Cap Rate"/>
      <sheetName val="IA Value"/>
      <sheetName val="IS Summary"/>
      <sheetName val="Market Conditions"/>
      <sheetName val="SCA Value"/>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Data"/>
      <sheetName val="CompanyAddressList"/>
      <sheetName val="tblSalientFacts"/>
      <sheetName val="Certification"/>
      <sheetName val="CertificationsOptions"/>
      <sheetName val="Valuation Scenarios"/>
      <sheetName val="Value Indications"/>
      <sheetName val="Lists"/>
      <sheetName val="Risk Summary"/>
      <sheetName val="Property History"/>
      <sheetName val="Scope Info"/>
      <sheetName val="MapOptions"/>
      <sheetName val="Site Information"/>
      <sheetName val="tblSite"/>
      <sheetName val="Zoning"/>
      <sheetName val="Improvement Description"/>
      <sheetName val="tblImprovements"/>
      <sheetName val="Taxes"/>
      <sheetName val="TaxComps"/>
      <sheetName val="Neighborhood"/>
      <sheetName val="Demos"/>
      <sheetName val="H&amp;BU"/>
      <sheetName val="LSalesNew"/>
      <sheetName val="LSaleAdjNew"/>
      <sheetName val="LSalesAnalysis"/>
      <sheetName val="CostDataSec99"/>
      <sheetName val="CostDataSec13"/>
      <sheetName val="CostDataSec14"/>
      <sheetName val="CostDataSec15"/>
      <sheetName val="OptionsCost"/>
      <sheetName val="Cost"/>
      <sheetName val="CostInsur"/>
      <sheetName val="ISaleData"/>
      <sheetName val="Evaluation"/>
      <sheetName val="ISalesNew"/>
      <sheetName val="ISaleAdjNew"/>
      <sheetName val="ISalesAnalysis"/>
      <sheetName val="ISaleTbls"/>
      <sheetName val="RentRollTbls"/>
      <sheetName val="RentCompData"/>
      <sheetName val="RentRollNew"/>
      <sheetName val="tblRentRoll"/>
      <sheetName val="LeaseAbstractsNew"/>
      <sheetName val="LeaseCompsNew"/>
      <sheetName val="SpecialtyLeaseComps"/>
      <sheetName val="LeaseAdjGrids"/>
      <sheetName val="STMarketRentConclusions"/>
      <sheetName val="AltPropertyAdjGrid"/>
      <sheetName val="MktRentConcl"/>
      <sheetName val="RawOpData"/>
      <sheetName val="OpSummary"/>
      <sheetName val="SummaryExpenseTbl"/>
      <sheetName val="ExpCompData"/>
      <sheetName val="Recoveries.New"/>
      <sheetName val="ExpCompRawData"/>
      <sheetName val="CapRates"/>
      <sheetName val="ProForma"/>
      <sheetName val="OwnerUserExpProforma"/>
      <sheetName val="ExpCompIREM"/>
      <sheetName val="ExpCompIREMregional"/>
      <sheetName val="LeaseUpAdj"/>
      <sheetName val="PwC"/>
      <sheetName val="DCF.New"/>
      <sheetName val="Scratch"/>
      <sheetName val="Comp. Land Sale Picklists"/>
      <sheetName val="Survey Publications"/>
      <sheetName val="Our Company"/>
      <sheetName val="Job Info"/>
      <sheetName val="Job Participants"/>
      <sheetName val="Job Participant Additional Info"/>
      <sheetName val="Job Property"/>
      <sheetName val="Property Comments"/>
      <sheetName val="Property Attributes"/>
      <sheetName val="Client Company"/>
      <sheetName val="Client Contact"/>
      <sheetName val="Comparable Sale Picklists"/>
      <sheetName val="Comparable Lease Picklists"/>
      <sheetName val="Subject Property Leases"/>
      <sheetName val="Comparable Rental 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5">
          <cell r="C95">
            <v>40</v>
          </cell>
        </row>
        <row r="96">
          <cell r="C96">
            <v>0</v>
          </cell>
        </row>
      </sheetData>
      <sheetData sheetId="23"/>
      <sheetData sheetId="24"/>
      <sheetData sheetId="25"/>
      <sheetData sheetId="26"/>
      <sheetData sheetId="27"/>
      <sheetData sheetId="28"/>
      <sheetData sheetId="29"/>
      <sheetData sheetId="30"/>
      <sheetData sheetId="31"/>
      <sheetData sheetId="32"/>
      <sheetData sheetId="33">
        <row r="52">
          <cell r="B52">
            <v>1000</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Navigation"/>
      <sheetName val="Security_Ref"/>
      <sheetName val="Menu"/>
      <sheetName val="UNAUTHORIZED FILE USE"/>
      <sheetName val="ProsperSpark Changes"/>
      <sheetName val="OptionsProperty"/>
      <sheetName val="CompanyAddressData"/>
      <sheetName val="xCompanyAddressList"/>
      <sheetName val="CertificationsOptions"/>
      <sheetName val="MapOptions"/>
      <sheetName val="Assignment"/>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Lists"/>
      <sheetName val="H&amp;BU"/>
      <sheetName val="LSales1"/>
      <sheetName val="LSaleAdj1"/>
      <sheetName val="LSaleAnalysis1"/>
      <sheetName val="LSales2"/>
      <sheetName val="LSaleAdj2"/>
      <sheetName val="LSaleAnalysis2"/>
      <sheetName val="LSales3"/>
      <sheetName val="LSaleAdj3"/>
      <sheetName val="LSaleAnalysis3"/>
      <sheetName val="LSales4"/>
      <sheetName val="LSaleAdj4"/>
      <sheetName val="LSaleAnalysis4"/>
      <sheetName val="LSales5"/>
      <sheetName val="LSaleAdj5"/>
      <sheetName val="LSaleAnalysis5"/>
      <sheetName val="LSales6"/>
      <sheetName val="LSaleAdj6"/>
      <sheetName val="LSaleAnalysis6"/>
      <sheetName val="LSales7"/>
      <sheetName val="LSaleAdj7"/>
      <sheetName val="LSaleAnalysis7"/>
      <sheetName val="LSales8"/>
      <sheetName val="LSaleAdj8"/>
      <sheetName val="LSaleAnalysis8"/>
      <sheetName val="LSales9"/>
      <sheetName val="LSaleAdj9"/>
      <sheetName val="LSaleAnalysis9"/>
      <sheetName val="LSales10"/>
      <sheetName val="LSaleAdj10"/>
      <sheetName val="LSaleAnalysis10"/>
      <sheetName val="CostDataSec11_12"/>
      <sheetName val="CostDataSec13"/>
      <sheetName val="CostDataSec14"/>
      <sheetName val="CostDataSec15"/>
      <sheetName val="CostDataSec18"/>
      <sheetName val="OptionsCost"/>
      <sheetName val="CostDataSec99"/>
      <sheetName val="tblSalientFacts"/>
      <sheetName val="Cost"/>
      <sheetName val="Cost_2"/>
      <sheetName val="Cost_3"/>
      <sheetName val="Cost_4"/>
      <sheetName val="Cost_5"/>
      <sheetName val="CostSummary"/>
      <sheetName val="CostInsur"/>
      <sheetName val="Evaluation"/>
      <sheetName val="NamedRanges"/>
      <sheetName val="ISales1"/>
      <sheetName val="ISaleAdj1"/>
      <sheetName val="ISalesAnalysis1"/>
      <sheetName val="ISaleTbls1"/>
      <sheetName val="ISales2"/>
      <sheetName val="ISaleAdj2"/>
      <sheetName val="ISalesAnalysis2"/>
      <sheetName val="ISaleTbls2"/>
      <sheetName val="ISales3"/>
      <sheetName val="ISaleAdj3"/>
      <sheetName val="ISalesAnalysis3"/>
      <sheetName val="ISaleTbls3"/>
      <sheetName val="ISales4"/>
      <sheetName val="ISaleAdj4"/>
      <sheetName val="ISalesAnalysis4"/>
      <sheetName val="ISaleTbls4"/>
      <sheetName val="ISales5"/>
      <sheetName val="ISaleAdj5"/>
      <sheetName val="ISalesAnalysis5"/>
      <sheetName val="ISaleTbls5"/>
      <sheetName val="ISales6"/>
      <sheetName val="ISaleAdj6"/>
      <sheetName val="ISalesAnalysis6"/>
      <sheetName val="ISaleTbls6"/>
      <sheetName val="ISales7"/>
      <sheetName val="ISaleAdj7"/>
      <sheetName val="ISalesAnalysis7"/>
      <sheetName val="ISaleTbls7"/>
      <sheetName val="ISales8"/>
      <sheetName val="ISaleAdj8"/>
      <sheetName val="ISalesAnalysis8"/>
      <sheetName val="ISaleTbls8"/>
      <sheetName val="ISales9"/>
      <sheetName val="ISaleAdj9"/>
      <sheetName val="ISalesAnalysis9"/>
      <sheetName val="ISaleTbls9"/>
      <sheetName val="ISales10"/>
      <sheetName val="ISaleAdj10"/>
      <sheetName val="ISalesAnalysis10"/>
      <sheetName val="ISaleTbls10"/>
      <sheetName val="RentRollApt"/>
      <sheetName val="UnitCompApt"/>
      <sheetName val="tblUnitCompApt"/>
      <sheetName val="CompRentsApt"/>
      <sheetName val="RentSurveyApt"/>
      <sheetName val="RentRoll"/>
      <sheetName val="RetailSales"/>
      <sheetName val="tblRentRoll"/>
      <sheetName val="LeaseAbstracts"/>
      <sheetName val="LeaseComps"/>
      <sheetName val="SpecialtyLeaseComps"/>
      <sheetName val="AltPropertyAdjGrid"/>
      <sheetName val="LeaseAdjGrids"/>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
      <sheetName val="ExpCompRawData"/>
      <sheetName val="CapRates"/>
      <sheetName val="ProForma"/>
      <sheetName val="OwnerUserExpProforma"/>
      <sheetName val="GoDark"/>
      <sheetName val="LeaseUpAdj"/>
      <sheetName val="DCF"/>
      <sheetName val="Survey Publications"/>
      <sheetName val="ValuationScenarios"/>
      <sheetName val="Scratch"/>
      <sheetName val="Addenda"/>
      <sheetName val="Certification"/>
      <sheetName val="ClientCompany"/>
      <sheetName val="ClientContact"/>
      <sheetName val="JobParticipants"/>
      <sheetName val="JobSubjectProperty"/>
      <sheetName val="JobSubjectPropertyLeases"/>
      <sheetName val="JobConditionalLanguage"/>
      <sheetName val="ComparableSales"/>
      <sheetName val="ComparableLeases"/>
      <sheetName val="JobParticipantAdditionalInfo"/>
      <sheetName val="JobSubjectPropertyUnitMix"/>
      <sheetName val="ComparableMFRentals"/>
      <sheetName val="ComparableMFRentalsUnits"/>
      <sheetName val="JobSubjectPropertyAmenities"/>
      <sheetName val="MVSCostData"/>
      <sheetName val="CompCommercialRentSurveys"/>
      <sheetName val="JobValuationScenarios"/>
      <sheetName val="Expansion1"/>
      <sheetName val="Expansion2"/>
      <sheetName val="Expansion3"/>
      <sheetName val="1024 Cherokee Street F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Set>
  </externalBook>
</externalLink>
</file>

<file path=xl/tables/table1.xml><?xml version="1.0" encoding="utf-8"?>
<table xmlns="http://schemas.openxmlformats.org/spreadsheetml/2006/main" id="1" name="ResourcesTable" displayName="ResourcesTable" ref="A5:G384" headerRowCount="1">
  <autoFilter ref="A5:G384"/>
  <tableColumns count="7">
    <tableColumn id="1" name="Priority"/>
    <tableColumn id="2" name="County"/>
    <tableColumn id="3" name="Municipality / Area"/>
    <tableColumn id="4" name="Category"/>
    <tableColumn id="5" name="Resource Name"/>
    <tableColumn id="6" name="URL"/>
    <tableColumn id="7" name="Descript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0.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6.xml.rels><Relationships xmlns="http://schemas.openxmlformats.org/package/2006/relationships"><Relationship Type="http://schemas.openxmlformats.org/officeDocument/2006/relationships/hyperlink" Target="https://adcogov.org/property-look" TargetMode="External" Id="rId1" /><Relationship Type="http://schemas.openxmlformats.org/officeDocument/2006/relationships/hyperlink" Target="https://gisapp.adcogov.org/quicksearch/" TargetMode="External" Id="rId2" /><Relationship Type="http://schemas.openxmlformats.org/officeDocument/2006/relationships/hyperlink" Target="https://adcogov.org/assessor" TargetMode="External" Id="rId3" /><Relationship Type="http://schemas.openxmlformats.org/officeDocument/2006/relationships/hyperlink" Target="https://assessor.adcogov.org/" TargetMode="External" Id="rId4" /><Relationship Type="http://schemas.openxmlformats.org/officeDocument/2006/relationships/hyperlink" Target="https://assessornovs.adcogov.org/adamscountynovs" TargetMode="External" Id="rId5" /><Relationship Type="http://schemas.openxmlformats.org/officeDocument/2006/relationships/hyperlink" Target="https://adamscountyco.gov/our-county/elected-officials/treasurer-public-trustee/treasurer-division/" TargetMode="External" Id="rId6" /><Relationship Type="http://schemas.openxmlformats.org/officeDocument/2006/relationships/hyperlink" Target="https://adcotax.com/treasurer/web/login.jsp" TargetMode="External" Id="rId7" /><Relationship Type="http://schemas.openxmlformats.org/officeDocument/2006/relationships/hyperlink" Target="https://adcotax.com/treasurer/web/loginPOST.jsp?guest=true" TargetMode="External" Id="rId8" /><Relationship Type="http://schemas.openxmlformats.org/officeDocument/2006/relationships/hyperlink" Target="https://adamscountyco.gov/our-county/elected-officials/treasurer-public-trustee/treasurer-division/property-tax-information/taxing-authorities/" TargetMode="External" Id="rId9" /><Relationship Type="http://schemas.openxmlformats.org/officeDocument/2006/relationships/hyperlink" Target="https://dpt.colorado.gov/locality/adams-county-treasurer" TargetMode="External" Id="rId10" /><Relationship Type="http://schemas.openxmlformats.org/officeDocument/2006/relationships/hyperlink" Target="https://dlg.colorado.gov/hb24-1302-mill-levy-public-information" TargetMode="External" Id="rId11" /><Relationship Type="http://schemas.openxmlformats.org/officeDocument/2006/relationships/hyperlink" Target="https://adcogov.org/recording" TargetMode="External" Id="rId12" /><Relationship Type="http://schemas.openxmlformats.org/officeDocument/2006/relationships/hyperlink" Target="https://recording.adcogov.org/landmarkweb" TargetMode="External" Id="rId13" /><Relationship Type="http://schemas.openxmlformats.org/officeDocument/2006/relationships/hyperlink" Target="https://adamscountyco.gov/service/find-public-records-recorded-documents/" TargetMode="External" Id="rId14" /><Relationship Type="http://schemas.openxmlformats.org/officeDocument/2006/relationships/hyperlink" Target="https://www.adcogov.org/e-recording" TargetMode="External" Id="rId15" /><Relationship Type="http://schemas.openxmlformats.org/officeDocument/2006/relationships/hyperlink" Target="https://gisapp.adcogov.org/Html5Viewer/index.html?viewer=AdvancedExt.Advanced_HTML" TargetMode="External" Id="rId16" /><Relationship Type="http://schemas.openxmlformats.org/officeDocument/2006/relationships/hyperlink" Target="https://data-adcogov.opendata.arcgis.com/" TargetMode="External" Id="rId17" /><Relationship Type="http://schemas.openxmlformats.org/officeDocument/2006/relationships/hyperlink" Target="https://adamscountyco.gov/service/gis-interactive-maps/" TargetMode="External" Id="rId18" /><Relationship Type="http://schemas.openxmlformats.org/officeDocument/2006/relationships/hyperlink" Target="https://aca-prod.accela.com/ADAMSCO/Default.aspx" TargetMode="External" Id="rId19" /><Relationship Type="http://schemas.openxmlformats.org/officeDocument/2006/relationships/hyperlink" Target="https://epermits.adcogov.org/" TargetMode="External" Id="rId20" /><Relationship Type="http://schemas.openxmlformats.org/officeDocument/2006/relationships/hyperlink" Target="https://adcogov.org/building-safety" TargetMode="External" Id="rId21" /><Relationship Type="http://schemas.openxmlformats.org/officeDocument/2006/relationships/hyperlink" Target="https://adamscounty.buildingeye.com/" TargetMode="External" Id="rId22" /><Relationship Type="http://schemas.openxmlformats.org/officeDocument/2006/relationships/hyperlink" Target="https://adamscounty.buildingeye.com/enforcement" TargetMode="External" Id="rId23" /><Relationship Type="http://schemas.openxmlformats.org/officeDocument/2006/relationships/hyperlink" Target="https://adcogov.org/neighborhood-services" TargetMode="External" Id="rId24" /><Relationship Type="http://schemas.openxmlformats.org/officeDocument/2006/relationships/hyperlink" Target="https://adamscountyco.gov/our-county/community-economic-development/planning-development/" TargetMode="External" Id="rId25" /><Relationship Type="http://schemas.openxmlformats.org/officeDocument/2006/relationships/hyperlink" Target="https://data-adcogov.opendata.arcgis.com/datasets/ADCOGOV::zoning/about" TargetMode="External" Id="rId26" /><Relationship Type="http://schemas.openxmlformats.org/officeDocument/2006/relationships/hyperlink" Target="https://online.encodeplus.com/regs/adamscounty-co/doc-viewer.aspx?secid=6410" TargetMode="External" Id="rId27" /><Relationship Type="http://schemas.openxmlformats.org/officeDocument/2006/relationships/hyperlink" Target="https://adamscountyco.gov/our-county/community-economic-development/floodplain-management/" TargetMode="External" Id="rId28" /><Relationship Type="http://schemas.openxmlformats.org/officeDocument/2006/relationships/hyperlink" Target="https://data-adcogov.opendata.arcgis.com/datasets/flood-zones" TargetMode="External" Id="rId29" /><Relationship Type="http://schemas.openxmlformats.org/officeDocument/2006/relationships/hyperlink" Target="https://msc.fema.gov/" TargetMode="External" Id="rId30" /><Relationship Type="http://schemas.openxmlformats.org/officeDocument/2006/relationships/hyperlink" Target="https://coloradohazardmapping.com/hazardMapping/floodplainMapping" TargetMode="External" Id="rId31" /><Relationship Type="http://schemas.openxmlformats.org/officeDocument/2006/relationships/hyperlink" Target="https://www.fema.gov/flood-maps/national-flood-hazard-layer" TargetMode="External" Id="rId32" /><Relationship Type="http://schemas.openxmlformats.org/officeDocument/2006/relationships/hyperlink" Target="https://adamscountyco.gov/our-county/community-economic-development/advancing-adams/comprehensive-plan/" TargetMode="External" Id="rId33" /><Relationship Type="http://schemas.openxmlformats.org/officeDocument/2006/relationships/hyperlink" Target="https://adcogov.org/master-plans-maps" TargetMode="External" Id="rId34" /><Relationship Type="http://schemas.openxmlformats.org/officeDocument/2006/relationships/hyperlink" Target="https://adamscountyco.gov/wp-content/uploads/2026/01/CED-2030-Sustainability-Plan-011426.pdf" TargetMode="External" Id="rId35" /><Relationship Type="http://schemas.openxmlformats.org/officeDocument/2006/relationships/hyperlink" Target="https://adamscountyco.gov/our-county/community-economic-development/" TargetMode="External" Id="rId36" /><Relationship Type="http://schemas.openxmlformats.org/officeDocument/2006/relationships/hyperlink" Target="https://chooseadams.org/business-services/" TargetMode="External" Id="rId37" /><Relationship Type="http://schemas.openxmlformats.org/officeDocument/2006/relationships/hyperlink" Target="https://adamscountyedc.com/" TargetMode="External" Id="rId38" /><Relationship Type="http://schemas.openxmlformats.org/officeDocument/2006/relationships/hyperlink" Target="https://adamscountyco.gov/wp-content/uploads/2025/11/2025-Adams-County-Economic-Profile-CED.pdf" TargetMode="External" Id="rId39" /><Relationship Type="http://schemas.openxmlformats.org/officeDocument/2006/relationships/hyperlink" Target="https://adcogov.org/public-works" TargetMode="External" Id="rId40" /><Relationship Type="http://schemas.openxmlformats.org/officeDocument/2006/relationships/hyperlink" Target="https://adcogov.org/property-look" TargetMode="External" Id="rId41" /><Relationship Type="http://schemas.openxmlformats.org/officeDocument/2006/relationships/hyperlink" Target="https://adcotax.com/treasurer/web/login.jsp" TargetMode="External" Id="rId42" /><Relationship Type="http://schemas.openxmlformats.org/officeDocument/2006/relationships/hyperlink" Target="https://adcotax.com/treasurer/web/loginPOST.jsp?guest=true" TargetMode="External" Id="rId43" /><Relationship Type="http://schemas.openxmlformats.org/officeDocument/2006/relationships/hyperlink" Target="https://recording.adcogov.org/landmarkweb" TargetMode="External" Id="rId44" /><Relationship Type="http://schemas.openxmlformats.org/officeDocument/2006/relationships/hyperlink" Target="https://www.brightonco.gov/248/Geographic-Information-Systems" TargetMode="External" Id="rId45" /><Relationship Type="http://schemas.openxmlformats.org/officeDocument/2006/relationships/hyperlink" Target="https://www.brightonco.gov/1596/Interactive-Development-Map" TargetMode="External" Id="rId46" /><Relationship Type="http://schemas.openxmlformats.org/officeDocument/2006/relationships/hyperlink" Target="https://www.brightonco.gov/222/Permitting" TargetMode="External" Id="rId47" /><Relationship Type="http://schemas.openxmlformats.org/officeDocument/2006/relationships/hyperlink" Target="https://www.brightonco.gov/1130/Inspections" TargetMode="External" Id="rId48" /><Relationship Type="http://schemas.openxmlformats.org/officeDocument/2006/relationships/hyperlink" Target="https://www.brightonco.gov/1142/Land-Use-Development-Applications" TargetMode="External" Id="rId49" /><Relationship Type="http://schemas.openxmlformats.org/officeDocument/2006/relationships/hyperlink" Target="https://www.brightonco.gov/1162/Development-Services" TargetMode="External" Id="rId50" /><Relationship Type="http://schemas.openxmlformats.org/officeDocument/2006/relationships/hyperlink" Target="https://brightonco.gov/1143/Reports" TargetMode="External" Id="rId51" /><Relationship Type="http://schemas.openxmlformats.org/officeDocument/2006/relationships/hyperlink" Target="https://www.brightonco.gov/224/Planning-Zoning" TargetMode="External" Id="rId52" /><Relationship Type="http://schemas.openxmlformats.org/officeDocument/2006/relationships/hyperlink" Target="https://www.brightonco.gov/363/Land-Use-Development-Code" TargetMode="External" Id="rId53" /><Relationship Type="http://schemas.openxmlformats.org/officeDocument/2006/relationships/hyperlink" Target="https://www.brightonco.gov/553/Long-Range-Planning" TargetMode="External" Id="rId54" /><Relationship Type="http://schemas.openxmlformats.org/officeDocument/2006/relationships/hyperlink" Target="https://msc.fema.gov/" TargetMode="External" Id="rId55" /><Relationship Type="http://schemas.openxmlformats.org/officeDocument/2006/relationships/hyperlink" Target="https://adamscountyco.gov/our-county/community-economic-development/floodplain-management/" TargetMode="External" Id="rId56" /><Relationship Type="http://schemas.openxmlformats.org/officeDocument/2006/relationships/hyperlink" Target="https://www.brightonco.gov/1862/Weekly-Crime-Reports-Crime-Map" TargetMode="External" Id="rId57" /><Relationship Type="http://schemas.openxmlformats.org/officeDocument/2006/relationships/hyperlink" Target="https://www.brightonco.gov/213/Requesting-Records-Information" TargetMode="External" Id="rId58" /><Relationship Type="http://schemas.openxmlformats.org/officeDocument/2006/relationships/hyperlink" Target="https://www.sd27j.org/" TargetMode="External" Id="rId59" /><Relationship Type="http://schemas.openxmlformats.org/officeDocument/2006/relationships/hyperlink" Target="https://adcogov.org/property-look" TargetMode="External" Id="rId60" /><Relationship Type="http://schemas.openxmlformats.org/officeDocument/2006/relationships/hyperlink" Target="https://adcotax.com/treasurer/web/login.jsp" TargetMode="External" Id="rId61" /><Relationship Type="http://schemas.openxmlformats.org/officeDocument/2006/relationships/hyperlink" Target="https://adcotax.com/treasurer/web/loginPOST.jsp?guest=true" TargetMode="External" Id="rId62" /><Relationship Type="http://schemas.openxmlformats.org/officeDocument/2006/relationships/hyperlink" Target="https://recording.adcogov.org/landmarkweb" TargetMode="External" Id="rId63" /><Relationship Type="http://schemas.openxmlformats.org/officeDocument/2006/relationships/hyperlink" Target="https://www.c3gov.com/Residents/Maps-Data-GIS" TargetMode="External" Id="rId64" /><Relationship Type="http://schemas.openxmlformats.org/officeDocument/2006/relationships/hyperlink" Target="https://data-c3.opendata.arcgis.com/" TargetMode="External" Id="rId65" /><Relationship Type="http://schemas.openxmlformats.org/officeDocument/2006/relationships/hyperlink" Target="https://www.c3gov.com/doing-business/developing-in-commerce-city/building-permits" TargetMode="External" Id="rId66" /><Relationship Type="http://schemas.openxmlformats.org/officeDocument/2006/relationships/hyperlink" Target="https://comc.csqrcloud.com/community-etrakit/" TargetMode="External" Id="rId67" /><Relationship Type="http://schemas.openxmlformats.org/officeDocument/2006/relationships/hyperlink" Target="https://www.c3gov.com/doing-business/developing-in-commerce-city/building-permits-inspections/step-2-permit-application-contractor-licensing-reviews/building-permit-process" TargetMode="External" Id="rId68" /><Relationship Type="http://schemas.openxmlformats.org/officeDocument/2006/relationships/hyperlink" Target="https://www.c3gov.com/doing-business/developing-in-commerce-city/civil-plan-approval-grading-permits" TargetMode="External" Id="rId69" /><Relationship Type="http://schemas.openxmlformats.org/officeDocument/2006/relationships/hyperlink" Target="https://www.c3gov.com/Government/Departments-Divisions/Code-Enforcement" TargetMode="External" Id="rId70" /><Relationship Type="http://schemas.openxmlformats.org/officeDocument/2006/relationships/hyperlink" Target="https://www.c3gov.com/Business-Development/Developing-in-Commerce-City/Land-Use-Approvals" TargetMode="External" Id="rId71" /><Relationship Type="http://schemas.openxmlformats.org/officeDocument/2006/relationships/hyperlink" Target="https://www.c3gov.com/Business-Development/Developing-in-Commerce-City/Land-Use-Standards" TargetMode="External" Id="rId72" /><Relationship Type="http://schemas.openxmlformats.org/officeDocument/2006/relationships/hyperlink" Target="https://www.c3gov.com/Government/City-Codes/Land-Development-Code" TargetMode="External" Id="rId73" /><Relationship Type="http://schemas.openxmlformats.org/officeDocument/2006/relationships/hyperlink" Target="https://www.c3gov.com/Government/City-Charter-Master-Plans/Comprehensive-Plan" TargetMode="External" Id="rId74" /><Relationship Type="http://schemas.openxmlformats.org/officeDocument/2006/relationships/hyperlink" Target="https://msc.fema.gov/" TargetMode="External" Id="rId75" /><Relationship Type="http://schemas.openxmlformats.org/officeDocument/2006/relationships/hyperlink" Target="https://adamscountyco.gov/our-county/community-economic-development/floodplain-management/" TargetMode="External" Id="rId76" /><Relationship Type="http://schemas.openxmlformats.org/officeDocument/2006/relationships/hyperlink" Target="https://www.c3gov.com/Government/Departments-Divisions/Economic-Development" TargetMode="External" Id="rId77" /><Relationship Type="http://schemas.openxmlformats.org/officeDocument/2006/relationships/hyperlink" Target="https://www.c3gov.com/Public-Safety/Police-Department/Records-and-Crime-Statistics" TargetMode="External" Id="rId78" /><Relationship Type="http://schemas.openxmlformats.org/officeDocument/2006/relationships/hyperlink" Target="https://www.adams12.org/" TargetMode="External" Id="rId79" /><Relationship Type="http://schemas.openxmlformats.org/officeDocument/2006/relationships/hyperlink" Target="https://www.sd27j.org/" TargetMode="External" Id="rId80" /><Relationship Type="http://schemas.openxmlformats.org/officeDocument/2006/relationships/hyperlink" Target="https://www.mapleton.us/" TargetMode="External" Id="rId81" /><Relationship Type="http://schemas.openxmlformats.org/officeDocument/2006/relationships/hyperlink" Target="https://adcogov.org/property-look" TargetMode="External" Id="rId82" /><Relationship Type="http://schemas.openxmlformats.org/officeDocument/2006/relationships/hyperlink" Target="https://adcotax.com/treasurer/web/login.jsp" TargetMode="External" Id="rId83" /><Relationship Type="http://schemas.openxmlformats.org/officeDocument/2006/relationships/hyperlink" Target="https://adcotax.com/treasurer/web/loginPOST.jsp?guest=true" TargetMode="External" Id="rId84" /><Relationship Type="http://schemas.openxmlformats.org/officeDocument/2006/relationships/hyperlink" Target="https://recording.adcogov.org/landmarkweb" TargetMode="External" Id="rId85" /><Relationship Type="http://schemas.openxmlformats.org/officeDocument/2006/relationships/hyperlink" Target="https://www.fedheights.org/?SEC=D1A883BE-0C29-4602-8CC9-5D6A08DA5503" TargetMode="External" Id="rId86" /><Relationship Type="http://schemas.openxmlformats.org/officeDocument/2006/relationships/hyperlink" Target="https://www.fedheights.org/building" TargetMode="External" Id="rId87" /><Relationship Type="http://schemas.openxmlformats.org/officeDocument/2006/relationships/hyperlink" Target="https://www.fedheights.org/codeenforcement" TargetMode="External" Id="rId88" /><Relationship Type="http://schemas.openxmlformats.org/officeDocument/2006/relationships/hyperlink" Target="https://www.fedheights.org/planning" TargetMode="External" Id="rId89" /><Relationship Type="http://schemas.openxmlformats.org/officeDocument/2006/relationships/hyperlink" Target="https://www.fedheights.org/index.asp?SEC=D7AA9940-8607-468A-8215-7308DD3BF799&amp;Type=B_BASIC" TargetMode="External" Id="rId90" /><Relationship Type="http://schemas.openxmlformats.org/officeDocument/2006/relationships/hyperlink" Target="https://library.municode.com/co/federal_heights" TargetMode="External" Id="rId91" /><Relationship Type="http://schemas.openxmlformats.org/officeDocument/2006/relationships/hyperlink" Target="https://msc.fema.gov/" TargetMode="External" Id="rId92" /><Relationship Type="http://schemas.openxmlformats.org/officeDocument/2006/relationships/hyperlink" Target="https://www.fedheights.org/economicdevelopment" TargetMode="External" Id="rId93" /><Relationship Type="http://schemas.openxmlformats.org/officeDocument/2006/relationships/hyperlink" Target="https://www.fedheights.org/utilities" TargetMode="External" Id="rId94" /><Relationship Type="http://schemas.openxmlformats.org/officeDocument/2006/relationships/hyperlink" Target="https://www.fedheights.org/publicworks" TargetMode="External" Id="rId95" /><Relationship Type="http://schemas.openxmlformats.org/officeDocument/2006/relationships/hyperlink" Target="https://www.xcelenergy.com/" TargetMode="External" Id="rId96" /><Relationship Type="http://schemas.openxmlformats.org/officeDocument/2006/relationships/hyperlink" Target="https://www.adams12.org/" TargetMode="External" Id="rId97" /><Relationship Type="http://schemas.openxmlformats.org/officeDocument/2006/relationships/hyperlink" Target="https://adcogov.org/property-look" TargetMode="External" Id="rId98" /><Relationship Type="http://schemas.openxmlformats.org/officeDocument/2006/relationships/hyperlink" Target="https://adcotax.com/treasurer/web/login.jsp" TargetMode="External" Id="rId99" /><Relationship Type="http://schemas.openxmlformats.org/officeDocument/2006/relationships/hyperlink" Target="https://adcotax.com/treasurer/web/loginPOST.jsp?guest=true" TargetMode="External" Id="rId100" /><Relationship Type="http://schemas.openxmlformats.org/officeDocument/2006/relationships/hyperlink" Target="https://recording.adcogov.org/landmarkweb" TargetMode="External" Id="rId101" /><Relationship Type="http://schemas.openxmlformats.org/officeDocument/2006/relationships/hyperlink" Target="https://www.northglenn.org/residents/about_northglenn/maps.php" TargetMode="External" Id="rId102" /><Relationship Type="http://schemas.openxmlformats.org/officeDocument/2006/relationships/hyperlink" Target="https://www.arcgis.com/apps/mapviewer/index.html?webmap=39b7188473574a07bcc84ca0ec3807fc" TargetMode="External" Id="rId103" /><Relationship Type="http://schemas.openxmlformats.org/officeDocument/2006/relationships/hyperlink" Target="https://www.northglenn.org/government/departments/building/" TargetMode="External" Id="rId104" /><Relationship Type="http://schemas.openxmlformats.org/officeDocument/2006/relationships/hyperlink" Target="https://www.northglenn.org/government/departments/building/permits.php" TargetMode="External" Id="rId105" /><Relationship Type="http://schemas.openxmlformats.org/officeDocument/2006/relationships/hyperlink" Target="https://www.northglenn.org/government/licenses_and_permits/building_permit.php" TargetMode="External" Id="rId106" /><Relationship Type="http://schemas.openxmlformats.org/officeDocument/2006/relationships/hyperlink" Target="https://secure.northglenn.org/quickzone" TargetMode="External" Id="rId107" /><Relationship Type="http://schemas.openxmlformats.org/officeDocument/2006/relationships/hyperlink" Target="https://www.northglenn.org/government/land_use_and_zoning/" TargetMode="External" Id="rId108" /><Relationship Type="http://schemas.openxmlformats.org/officeDocument/2006/relationships/hyperlink" Target="https://www.northglenn.org/government/land_use_and_zoning/zoning_map.php" TargetMode="External" Id="rId109" /><Relationship Type="http://schemas.openxmlformats.org/officeDocument/2006/relationships/hyperlink" Target="https://www.northglenn.org/government/land_use_and_zoning/comprehensive_plan.php" TargetMode="External" Id="rId110" /><Relationship Type="http://schemas.openxmlformats.org/officeDocument/2006/relationships/hyperlink" Target="https://www.northglenn.org/government/departments/planning_department/index.php" TargetMode="External" Id="rId111" /><Relationship Type="http://schemas.openxmlformats.org/officeDocument/2006/relationships/hyperlink" Target="https://msc.fema.gov/" TargetMode="External" Id="rId112" /><Relationship Type="http://schemas.openxmlformats.org/officeDocument/2006/relationships/hyperlink" Target="https://adamscountyco.gov/our-county/community-economic-development/floodplain-management/" TargetMode="External" Id="rId113" /><Relationship Type="http://schemas.openxmlformats.org/officeDocument/2006/relationships/hyperlink" Target="https://www.northglenn.org/biz/" TargetMode="External" Id="rId114" /><Relationship Type="http://schemas.openxmlformats.org/officeDocument/2006/relationships/hyperlink" Target="https://www.northglenn.org/government/licenses_and_permits/business_license.php" TargetMode="External" Id="rId115" /><Relationship Type="http://schemas.openxmlformats.org/officeDocument/2006/relationships/hyperlink" Target="https://www.northglenn.org/government/licenses_and_permits/short_term_rental_license.php" TargetMode="External" Id="rId116" /><Relationship Type="http://schemas.openxmlformats.org/officeDocument/2006/relationships/hyperlink" Target="https://secure.northglenn.org/maps/crime" TargetMode="External" Id="rId117" /><Relationship Type="http://schemas.openxmlformats.org/officeDocument/2006/relationships/hyperlink" Target="https://www.northglenn.org/public_safety/police/crime_stats.php" TargetMode="External" Id="rId118" /><Relationship Type="http://schemas.openxmlformats.org/officeDocument/2006/relationships/hyperlink" Target="https://www.northglenn.org/residents/water/" TargetMode="External" Id="rId119" /><Relationship Type="http://schemas.openxmlformats.org/officeDocument/2006/relationships/hyperlink" Target="https://www.adams12.org/" TargetMode="External" Id="rId120" /><Relationship Type="http://schemas.openxmlformats.org/officeDocument/2006/relationships/hyperlink" Target="https://www.northglenn.org/residents/schools.php" TargetMode="External" Id="rId121" /><Relationship Type="http://schemas.openxmlformats.org/officeDocument/2006/relationships/hyperlink" Target="https://cityviewportal.thorntonco.gov/Property" TargetMode="External" Id="rId122" /><Relationship Type="http://schemas.openxmlformats.org/officeDocument/2006/relationships/hyperlink" Target="https://adcogov.org/property-look" TargetMode="External" Id="rId123" /><Relationship Type="http://schemas.openxmlformats.org/officeDocument/2006/relationships/hyperlink" Target="https://adcotax.com/treasurer/web/login.jsp" TargetMode="External" Id="rId124" /><Relationship Type="http://schemas.openxmlformats.org/officeDocument/2006/relationships/hyperlink" Target="https://adcotax.com/treasurer/web/loginPOST.jsp?guest=true" TargetMode="External" Id="rId125" /><Relationship Type="http://schemas.openxmlformats.org/officeDocument/2006/relationships/hyperlink" Target="https://recording.adcogov.org/landmarkweb" TargetMode="External" Id="rId126" /><Relationship Type="http://schemas.openxmlformats.org/officeDocument/2006/relationships/hyperlink" Target="https://data-cityofthornton.opendata.arcgis.com/" TargetMode="External" Id="rId127" /><Relationship Type="http://schemas.openxmlformats.org/officeDocument/2006/relationships/hyperlink" Target="https://maps.thorntonco.gov/portal/apps/webappviewer/index.html?id=3ca678047c5b48568a9322c364808f7e" TargetMode="External" Id="rId128" /><Relationship Type="http://schemas.openxmlformats.org/officeDocument/2006/relationships/hyperlink" Target="https://city-of-thornton-development-code-cityofthornton.hub.arcgis.com/" TargetMode="External" Id="rId129" /><Relationship Type="http://schemas.openxmlformats.org/officeDocument/2006/relationships/hyperlink" Target="https://cityviewportal.thorntonco.gov/" TargetMode="External" Id="rId130" /><Relationship Type="http://schemas.openxmlformats.org/officeDocument/2006/relationships/hyperlink" Target="https://permits.thorntonco.gov/" TargetMode="External" Id="rId131" /><Relationship Type="http://schemas.openxmlformats.org/officeDocument/2006/relationships/hyperlink" Target="https://www.thorntonco.gov/city-services/code-compliance" TargetMode="External" Id="rId132" /><Relationship Type="http://schemas.openxmlformats.org/officeDocument/2006/relationships/hyperlink" Target="https://www.thorntonco.gov/business-development/city-development/current-planning-zoning" TargetMode="External" Id="rId133" /><Relationship Type="http://schemas.openxmlformats.org/officeDocument/2006/relationships/hyperlink" Target="https://www.thorntonco.gov/business-development/city-development/current-planning-zoning/zoning-districts-uses-and-regulations" TargetMode="External" Id="rId134" /><Relationship Type="http://schemas.openxmlformats.org/officeDocument/2006/relationships/hyperlink" Target="https://www.thorntonco.gov/business-development/active-development" TargetMode="External" Id="rId135" /><Relationship Type="http://schemas.openxmlformats.org/officeDocument/2006/relationships/hyperlink" Target="https://www.thorntonco.gov/business-development/city-development/long-range-planning" TargetMode="External" Id="rId136" /><Relationship Type="http://schemas.openxmlformats.org/officeDocument/2006/relationships/hyperlink" Target="https://www.thorntonco.gov/business-development/city-development/long-range-planning/plans/thornton-comprehensive-plan" TargetMode="External" Id="rId137" /><Relationship Type="http://schemas.openxmlformats.org/officeDocument/2006/relationships/hyperlink" Target="https://www.thorntonco.gov/business-development/city-development/long-range-planning/plans/functional-strategic-master-plans" TargetMode="External" Id="rId138" /><Relationship Type="http://schemas.openxmlformats.org/officeDocument/2006/relationships/hyperlink" Target="https://msc.fema.gov/" TargetMode="External" Id="rId139" /><Relationship Type="http://schemas.openxmlformats.org/officeDocument/2006/relationships/hyperlink" Target="https://adamscountyco.gov/our-county/community-economic-development/floodplain-management/" TargetMode="External" Id="rId140" /><Relationship Type="http://schemas.openxmlformats.org/officeDocument/2006/relationships/hyperlink" Target="https://www.thorntonco.gov/business-development/city-development" TargetMode="External" Id="rId141" /><Relationship Type="http://schemas.openxmlformats.org/officeDocument/2006/relationships/hyperlink" Target="https://www.thorntonco.gov/business-development/business-licenses" TargetMode="External" Id="rId142" /><Relationship Type="http://schemas.openxmlformats.org/officeDocument/2006/relationships/hyperlink" Target="https://www.thorntonco.gov/media/file/short-term-rental-ordinance" TargetMode="External" Id="rId143" /><Relationship Type="http://schemas.openxmlformats.org/officeDocument/2006/relationships/hyperlink" Target="https://www.thorntonpd.org/crime-info" TargetMode="External" Id="rId144" /><Relationship Type="http://schemas.openxmlformats.org/officeDocument/2006/relationships/hyperlink" Target="https://www.thorntonco.gov/city-services/water" TargetMode="External" Id="rId145" /><Relationship Type="http://schemas.openxmlformats.org/officeDocument/2006/relationships/hyperlink" Target="https://www.thorntonwater.com/" TargetMode="External" Id="rId146" /><Relationship Type="http://schemas.openxmlformats.org/officeDocument/2006/relationships/hyperlink" Target="https://www.thorntonco.gov/city-services/utility-billing" TargetMode="External" Id="rId147" /><Relationship Type="http://schemas.openxmlformats.org/officeDocument/2006/relationships/hyperlink" Target="https://www.thorntonco.gov/electric-gas-utility-services" TargetMode="External" Id="rId148" /><Relationship Type="http://schemas.openxmlformats.org/officeDocument/2006/relationships/hyperlink" Target="https://www.unitedpower.com/" TargetMode="External" Id="rId149" /><Relationship Type="http://schemas.openxmlformats.org/officeDocument/2006/relationships/hyperlink" Target="https://www.xcelenergy.com/" TargetMode="External" Id="rId150" /><Relationship Type="http://schemas.openxmlformats.org/officeDocument/2006/relationships/hyperlink" Target="https://www.adams12.org/" TargetMode="External" Id="rId151" /><Relationship Type="http://schemas.openxmlformats.org/officeDocument/2006/relationships/hyperlink" Target="https://www.sd27j.org/" TargetMode="External" Id="rId152" /><Relationship Type="http://schemas.openxmlformats.org/officeDocument/2006/relationships/hyperlink" Target="https://develop.cityofwestminster.us/ETRAKIT/Search/parcel.aspx" TargetMode="External" Id="rId153" /><Relationship Type="http://schemas.openxmlformats.org/officeDocument/2006/relationships/hyperlink" Target="https://adcogov.org/property-look" TargetMode="External" Id="rId154" /><Relationship Type="http://schemas.openxmlformats.org/officeDocument/2006/relationships/hyperlink" Target="https://propertysearch.jeffco.us/" TargetMode="External" Id="rId155" /><Relationship Type="http://schemas.openxmlformats.org/officeDocument/2006/relationships/hyperlink" Target="https://adcotax.com/treasurer/web/login.jsp" TargetMode="External" Id="rId156" /><Relationship Type="http://schemas.openxmlformats.org/officeDocument/2006/relationships/hyperlink" Target="https://jeffco.us/1293/Treasurer" TargetMode="External" Id="rId157" /><Relationship Type="http://schemas.openxmlformats.org/officeDocument/2006/relationships/hyperlink" Target="https://recording.adcogov.org/landmarkweb" TargetMode="External" Id="rId158" /><Relationship Type="http://schemas.openxmlformats.org/officeDocument/2006/relationships/hyperlink" Target="https://www.jeffco.us/1288/Clerk-Recorder" TargetMode="External" Id="rId159" /><Relationship Type="http://schemas.openxmlformats.org/officeDocument/2006/relationships/hyperlink" Target="https://opendata-westminster.hub.arcgis.com/" TargetMode="External" Id="rId160" /><Relationship Type="http://schemas.openxmlformats.org/officeDocument/2006/relationships/hyperlink" Target="https://maps.cityofwestminster.us/portal/apps/webappviewer/index.html?id=840164f9c48d49109f884695afe3f714" TargetMode="External" Id="rId161" /><Relationship Type="http://schemas.openxmlformats.org/officeDocument/2006/relationships/hyperlink" Target="https://www.westminsterco.gov/471/Maps" TargetMode="External" Id="rId162" /><Relationship Type="http://schemas.openxmlformats.org/officeDocument/2006/relationships/hyperlink" Target="https://develop.cityofwestminster.us/etrakit/" TargetMode="External" Id="rId163" /><Relationship Type="http://schemas.openxmlformats.org/officeDocument/2006/relationships/hyperlink" Target="https://develop.cityofwestminster.us/etrakit/Search/permit.aspx" TargetMode="External" Id="rId164" /><Relationship Type="http://schemas.openxmlformats.org/officeDocument/2006/relationships/hyperlink" Target="https://www.westminsterco.gov/617/Apply-for-a-Permit-Project" TargetMode="External" Id="rId165" /><Relationship Type="http://schemas.openxmlformats.org/officeDocument/2006/relationships/hyperlink" Target="https://www.westminsterco.gov/621/Building-Division" TargetMode="External" Id="rId166" /><Relationship Type="http://schemas.openxmlformats.org/officeDocument/2006/relationships/hyperlink" Target="https://www.westminsterco.gov/746/Right-of-Way-Permits" TargetMode="External" Id="rId167" /><Relationship Type="http://schemas.openxmlformats.org/officeDocument/2006/relationships/hyperlink" Target="https://www.westminsterco.gov/707/Planning" TargetMode="External" Id="rId168" /><Relationship Type="http://schemas.openxmlformats.org/officeDocument/2006/relationships/hyperlink" Target="https://www.westminsterco.gov/703/Develop-in-Westminster" TargetMode="External" Id="rId169" /><Relationship Type="http://schemas.openxmlformats.org/officeDocument/2006/relationships/hyperlink" Target="https://www.westminsterco.gov/DocumentCenter/View/1467/Executive-Summary-PDF" TargetMode="External" Id="rId170" /><Relationship Type="http://schemas.openxmlformats.org/officeDocument/2006/relationships/hyperlink" Target="https://msc.fema.gov/" TargetMode="External" Id="rId171" /><Relationship Type="http://schemas.openxmlformats.org/officeDocument/2006/relationships/hyperlink" Target="https://adamscountyco.gov/our-county/community-economic-development/floodplain-management/" TargetMode="External" Id="rId172" /><Relationship Type="http://schemas.openxmlformats.org/officeDocument/2006/relationships/hyperlink" Target="https://www.westminstereconomicdevelopment.org/" TargetMode="External" Id="rId173" /><Relationship Type="http://schemas.openxmlformats.org/officeDocument/2006/relationships/hyperlink" Target="https://www.westminstereconomicdevelopment.org/area-maps/" TargetMode="External" Id="rId174" /><Relationship Type="http://schemas.openxmlformats.org/officeDocument/2006/relationships/hyperlink" Target="https://www.westminstereconomicdevelopment.org/about-westminster/water-utilities-taxes/" TargetMode="External" Id="rId175" /><Relationship Type="http://schemas.openxmlformats.org/officeDocument/2006/relationships/hyperlink" Target="https://www.westminsterco.gov/Short-TermRentals" TargetMode="External" Id="rId176" /><Relationship Type="http://schemas.openxmlformats.org/officeDocument/2006/relationships/hyperlink" Target="https://www.crimemapping.com/map/co/westminster" TargetMode="External" Id="rId177" /><Relationship Type="http://schemas.openxmlformats.org/officeDocument/2006/relationships/hyperlink" Target="https://www.westminsterpdnews.com/crime-mapping" TargetMode="External" Id="rId178" /><Relationship Type="http://schemas.openxmlformats.org/officeDocument/2006/relationships/hyperlink" Target="https://www.westminsterco.gov/water" TargetMode="External" Id="rId179" /><Relationship Type="http://schemas.openxmlformats.org/officeDocument/2006/relationships/hyperlink" Target="https://www.adams12.org/" TargetMode="External" Id="rId180" /><Relationship Type="http://schemas.openxmlformats.org/officeDocument/2006/relationships/hyperlink" Target="https://www.jeffcopublicschools.org/" TargetMode="External" Id="rId181" /><Relationship Type="http://schemas.openxmlformats.org/officeDocument/2006/relationships/hyperlink" Target="https://ags.auroragov.org/propinfo/propinfo.html" TargetMode="External" Id="rId182" /><Relationship Type="http://schemas.openxmlformats.org/officeDocument/2006/relationships/hyperlink" Target="https://www.auroragov.org/city_hall/maps/property_information" TargetMode="External" Id="rId183" /><Relationship Type="http://schemas.openxmlformats.org/officeDocument/2006/relationships/hyperlink" Target="https://adcogov.org/property-look" TargetMode="External" Id="rId184" /><Relationship Type="http://schemas.openxmlformats.org/officeDocument/2006/relationships/hyperlink" Target="https://www.arapahoegov.com/assessor" TargetMode="External" Id="rId185" /><Relationship Type="http://schemas.openxmlformats.org/officeDocument/2006/relationships/hyperlink" Target="https://www.douglas.co.us/assessor/" TargetMode="External" Id="rId186" /><Relationship Type="http://schemas.openxmlformats.org/officeDocument/2006/relationships/hyperlink" Target="https://adcotax.com/treasurer/web/login.jsp" TargetMode="External" Id="rId187" /><Relationship Type="http://schemas.openxmlformats.org/officeDocument/2006/relationships/hyperlink" Target="https://www.arapahoegov.com/1053/Treasurer" TargetMode="External" Id="rId188" /><Relationship Type="http://schemas.openxmlformats.org/officeDocument/2006/relationships/hyperlink" Target="https://www.douglas.co.us/treasurer/" TargetMode="External" Id="rId189" /><Relationship Type="http://schemas.openxmlformats.org/officeDocument/2006/relationships/hyperlink" Target="https://recording.adcogov.org/landmarkweb" TargetMode="External" Id="rId190" /><Relationship Type="http://schemas.openxmlformats.org/officeDocument/2006/relationships/hyperlink" Target="https://www.arapahoegov.com/1043/Clerk-Recorder" TargetMode="External" Id="rId191" /><Relationship Type="http://schemas.openxmlformats.org/officeDocument/2006/relationships/hyperlink" Target="https://data-auroraco.opendata.arcgis.com/" TargetMode="External" Id="rId192" /><Relationship Type="http://schemas.openxmlformats.org/officeDocument/2006/relationships/hyperlink" Target="https://opendata-cityofaurora.hub.arcgis.com/" TargetMode="External" Id="rId193" /><Relationship Type="http://schemas.openxmlformats.org/officeDocument/2006/relationships/hyperlink" Target="https://www.auroragov.org/city_hall/maps" TargetMode="External" Id="rId194" /><Relationship Type="http://schemas.openxmlformats.org/officeDocument/2006/relationships/hyperlink" Target="https://www.auroragov.org/city_hall/maps/planning_and_zoning_maps" TargetMode="External" Id="rId195" /><Relationship Type="http://schemas.openxmlformats.org/officeDocument/2006/relationships/hyperlink" Target="https://www.auroragov.org/city_hall/maps/development_maps" TargetMode="External" Id="rId196" /><Relationship Type="http://schemas.openxmlformats.org/officeDocument/2006/relationships/hyperlink" Target="https://www.auroragov.org/business_services/building_division/permits" TargetMode="External" Id="rId197" /><Relationship Type="http://schemas.openxmlformats.org/officeDocument/2006/relationships/hyperlink" Target="https://www.auroragov.org/city_hall/maps/licensing_and_permits_maps" TargetMode="External" Id="rId198" /><Relationship Type="http://schemas.openxmlformats.org/officeDocument/2006/relationships/hyperlink" Target="https://www.auroragov.org/business_services/building_division/building_permit_statistics" TargetMode="External" Id="rId199" /><Relationship Type="http://schemas.openxmlformats.org/officeDocument/2006/relationships/hyperlink" Target="https://experience.arcgis.com/experience/25e68ba47119437cb4bf6bdeea6fbea4" TargetMode="External" Id="rId200" /><Relationship Type="http://schemas.openxmlformats.org/officeDocument/2006/relationships/hyperlink" Target="https://zoning.auroragov.org/" TargetMode="External" Id="rId201" /><Relationship Type="http://schemas.openxmlformats.org/officeDocument/2006/relationships/hyperlink" Target="https://www.auroragov.org/city_hall/maps/planning_and_zoning_maps" TargetMode="External" Id="rId202" /><Relationship Type="http://schemas.openxmlformats.org/officeDocument/2006/relationships/hyperlink" Target="https://data-auroraco.opendata.arcgis.com/datasets/9cfb0cffe16b41b68e38bcafbc4c037a_153/about" TargetMode="External" Id="rId203" /><Relationship Type="http://schemas.openxmlformats.org/officeDocument/2006/relationships/hyperlink" Target="https://msc.fema.gov/" TargetMode="External" Id="rId204" /><Relationship Type="http://schemas.openxmlformats.org/officeDocument/2006/relationships/hyperlink" Target="https://coloradohazardmapping.com/hazardMapping/floodplainMapping" TargetMode="External" Id="rId205" /><Relationship Type="http://schemas.openxmlformats.org/officeDocument/2006/relationships/hyperlink" Target="https://www.auroragov.org/business_services/economic___business_development" TargetMode="External" Id="rId206" /><Relationship Type="http://schemas.openxmlformats.org/officeDocument/2006/relationships/hyperlink" Target="https://www.auroragov.org/residents/public_safety/police/crime_data" TargetMode="External" Id="rId207" /><Relationship Type="http://schemas.openxmlformats.org/officeDocument/2006/relationships/hyperlink" Target="https://www.auroragov.org/city_hall/maps/police_and_fire_maps" TargetMode="External" Id="rId208" /><Relationship Type="http://schemas.openxmlformats.org/officeDocument/2006/relationships/hyperlink" Target="https://www.auroragov.org/city_hall/about_aurora/data___demographics" TargetMode="External" Id="rId209" /><Relationship Type="http://schemas.openxmlformats.org/officeDocument/2006/relationships/hyperlink" Target="https://www.auroragov.org/common/pages/GetFile.ashx?key=0Fc6ARWp" TargetMode="External" Id="rId210" /><Relationship Type="http://schemas.openxmlformats.org/officeDocument/2006/relationships/hyperlink" Target="https://www.aurorak12.org/" TargetMode="External" Id="rId211" /><Relationship Type="http://schemas.openxmlformats.org/officeDocument/2006/relationships/hyperlink" Target="https://www.cherrycreekschools.org/" TargetMode="External" Id="rId212" /><Relationship Type="http://schemas.openxmlformats.org/officeDocument/2006/relationships/hyperlink" Target="https://www.adams12.org/" TargetMode="External" Id="rId213" /><Relationship Type="http://schemas.openxmlformats.org/officeDocument/2006/relationships/hyperlink" Target="https://adcogov.org/property-look" TargetMode="External" Id="rId214" /><Relationship Type="http://schemas.openxmlformats.org/officeDocument/2006/relationships/hyperlink" Target="https://adcotax.com/treasurer/web/login.jsp" TargetMode="External" Id="rId215" /><Relationship Type="http://schemas.openxmlformats.org/officeDocument/2006/relationships/hyperlink" Target="https://adcotax.com/treasurer/web/loginPOST.jsp?guest=true" TargetMode="External" Id="rId216" /><Relationship Type="http://schemas.openxmlformats.org/officeDocument/2006/relationships/hyperlink" Target="https://recording.adcogov.org/landmarkweb" TargetMode="External" Id="rId217" /><Relationship Type="http://schemas.openxmlformats.org/officeDocument/2006/relationships/hyperlink" Target="https://www.bennettco.gov/business/page/bennett-zoning-map" TargetMode="External" Id="rId218" /><Relationship Type="http://schemas.openxmlformats.org/officeDocument/2006/relationships/hyperlink" Target="https://www.arcgis.com/apps/webappviewer/index.html?id=d36fe1b73c514d29ba9b6d2d818e183e" TargetMode="External" Id="rId219" /><Relationship Type="http://schemas.openxmlformats.org/officeDocument/2006/relationships/hyperlink" Target="https://experience.arcgis.com/experience/3d3babff4d9e4ac998d13ed805412374" TargetMode="External" Id="rId220" /><Relationship Type="http://schemas.openxmlformats.org/officeDocument/2006/relationships/hyperlink" Target="https://www.bennettco.gov/community-development/page/building-department" TargetMode="External" Id="rId221" /><Relationship Type="http://schemas.openxmlformats.org/officeDocument/2006/relationships/hyperlink" Target="https://twn-bennett-co.smartgovcommunity.com/" TargetMode="External" Id="rId222" /><Relationship Type="http://schemas.openxmlformats.org/officeDocument/2006/relationships/hyperlink" Target="https://www.bennettco.gov/development" TargetMode="External" Id="rId223" /><Relationship Type="http://schemas.openxmlformats.org/officeDocument/2006/relationships/hyperlink" Target="https://www.bennettco.gov/planning-economic-development/page/planning-and-zoning" TargetMode="External" Id="rId224" /><Relationship Type="http://schemas.openxmlformats.org/officeDocument/2006/relationships/hyperlink" Target="https://www.bennettco.gov/planning-economic-development" TargetMode="External" Id="rId225" /><Relationship Type="http://schemas.openxmlformats.org/officeDocument/2006/relationships/hyperlink" Target="https://msc.fema.gov/" TargetMode="External" Id="rId226" /><Relationship Type="http://schemas.openxmlformats.org/officeDocument/2006/relationships/hyperlink" Target="https://adamscountyco.gov/our-county/community-economic-development/floodplain-management/" TargetMode="External" Id="rId227" /><Relationship Type="http://schemas.openxmlformats.org/officeDocument/2006/relationships/hyperlink" Target="https://whybennett.colorado.gov/" TargetMode="External" Id="rId228" /><Relationship Type="http://schemas.openxmlformats.org/officeDocument/2006/relationships/hyperlink" Target="https://whybennett.colorado.gov/infrastructure-and-utilities" TargetMode="External" Id="rId229" /><Relationship Type="http://schemas.openxmlformats.org/officeDocument/2006/relationships/hyperlink" Target="https://www.bennettco.gov/site-selection/page/utilities" TargetMode="External" Id="rId230" /><Relationship Type="http://schemas.openxmlformats.org/officeDocument/2006/relationships/hyperlink" Target="https://www.bsd29j.com/" TargetMode="External" Id="rId231" /><Relationship Type="http://schemas.openxmlformats.org/officeDocument/2006/relationships/hyperlink" Target="https://adcogov.org/property-look" TargetMode="External" Id="rId232" /><Relationship Type="http://schemas.openxmlformats.org/officeDocument/2006/relationships/hyperlink" Target="https://www.weld.gov/Government/Departments/Assessor/Property-Data-Search" TargetMode="External" Id="rId233" /><Relationship Type="http://schemas.openxmlformats.org/officeDocument/2006/relationships/hyperlink" Target="https://adcotax.com/treasurer/web/login.jsp" TargetMode="External" Id="rId234" /><Relationship Type="http://schemas.openxmlformats.org/officeDocument/2006/relationships/hyperlink" Target="https://www.weldgov.com/departments/treasurer" TargetMode="External" Id="rId235" /><Relationship Type="http://schemas.openxmlformats.org/officeDocument/2006/relationships/hyperlink" Target="https://recording.adcogov.org/landmarkweb" TargetMode="External" Id="rId236" /><Relationship Type="http://schemas.openxmlformats.org/officeDocument/2006/relationships/hyperlink" Target="https://www.weld.gov/Government/Departments/Clerk-Recorder" TargetMode="External" Id="rId237" /><Relationship Type="http://schemas.openxmlformats.org/officeDocument/2006/relationships/hyperlink" Target="https://www.lochbuie.org/administration/page/zoning-map" TargetMode="External" Id="rId238" /><Relationship Type="http://schemas.openxmlformats.org/officeDocument/2006/relationships/hyperlink" Target="https://www.lochbuie.org/community-dev/page/building-permits-and-inspections" TargetMode="External" Id="rId239" /><Relationship Type="http://schemas.openxmlformats.org/officeDocument/2006/relationships/hyperlink" Target="https://www.lochbuie.org/community-dev/page/do-i-need-permit" TargetMode="External" Id="rId240" /><Relationship Type="http://schemas.openxmlformats.org/officeDocument/2006/relationships/hyperlink" Target="https://www.lochbuie.org/building/page/guides-and-checklists" TargetMode="External" Id="rId241" /><Relationship Type="http://schemas.openxmlformats.org/officeDocument/2006/relationships/hyperlink" Target="https://www.lochbuie.org/community-dev/page/current-planning" TargetMode="External" Id="rId242" /><Relationship Type="http://schemas.openxmlformats.org/officeDocument/2006/relationships/hyperlink" Target="https://library.municode.com/co/lochbuie/codes/municipal_code" TargetMode="External" Id="rId243" /><Relationship Type="http://schemas.openxmlformats.org/officeDocument/2006/relationships/hyperlink" Target="https://msc.fema.gov/" TargetMode="External" Id="rId244" /><Relationship Type="http://schemas.openxmlformats.org/officeDocument/2006/relationships/hyperlink" Target="https://adamscountyco.gov/our-county/community-economic-development/floodplain-management/" TargetMode="External" Id="rId245" /><Relationship Type="http://schemas.openxmlformats.org/officeDocument/2006/relationships/hyperlink" Target="https://www.sd27j.org/" TargetMode="External" Id="rId246" /><Relationship Type="http://schemas.openxmlformats.org/officeDocument/2006/relationships/hyperlink" Target="https://adcogov.org/property-look" TargetMode="External" Id="rId247" /><Relationship Type="http://schemas.openxmlformats.org/officeDocument/2006/relationships/hyperlink" Target="https://propertysearch.jeffco.us/" TargetMode="External" Id="rId248" /><Relationship Type="http://schemas.openxmlformats.org/officeDocument/2006/relationships/hyperlink" Target="https://jeffco.us/1293/Treasurer" TargetMode="External" Id="rId249" /><Relationship Type="http://schemas.openxmlformats.org/officeDocument/2006/relationships/hyperlink" Target="https://adcotax.com/treasurer/web/login.jsp" TargetMode="External" Id="rId250" /><Relationship Type="http://schemas.openxmlformats.org/officeDocument/2006/relationships/hyperlink" Target="https://www.jeffco.us/1288/Clerk-Recorder" TargetMode="External" Id="rId251" /><Relationship Type="http://schemas.openxmlformats.org/officeDocument/2006/relationships/hyperlink" Target="https://recording.adcogov.org/landmarkweb" TargetMode="External" Id="rId252" /><Relationship Type="http://schemas.openxmlformats.org/officeDocument/2006/relationships/hyperlink" Target="https://gis-arvada.opendata.arcgis.com/" TargetMode="External" Id="rId253" /><Relationship Type="http://schemas.openxmlformats.org/officeDocument/2006/relationships/hyperlink" Target="https://www.arvadaco.gov/702/Maps-and-Property-Search" TargetMode="External" Id="rId254" /><Relationship Type="http://schemas.openxmlformats.org/officeDocument/2006/relationships/hyperlink" Target="https://arvadaeconomicdevelopment.org/intel/maps/" TargetMode="External" Id="rId255" /><Relationship Type="http://schemas.openxmlformats.org/officeDocument/2006/relationships/hyperlink" Target="https://arvadapermits.org/" TargetMode="External" Id="rId256" /><Relationship Type="http://schemas.openxmlformats.org/officeDocument/2006/relationships/hyperlink" Target="https://www.arvadaco.gov/332/Building-Permits" TargetMode="External" Id="rId257" /><Relationship Type="http://schemas.openxmlformats.org/officeDocument/2006/relationships/hyperlink" Target="https://www.arvadaco.gov/729/Check-the-Status-of-a-Permit-Schedule-a-" TargetMode="External" Id="rId258" /><Relationship Type="http://schemas.openxmlformats.org/officeDocument/2006/relationships/hyperlink" Target="https://permits.arvada.org/etrakit3/Search/permit.aspx" TargetMode="External" Id="rId259" /><Relationship Type="http://schemas.openxmlformats.org/officeDocument/2006/relationships/hyperlink" Target="https://www.arvadaco.gov/168/Zoning" TargetMode="External" Id="rId260" /><Relationship Type="http://schemas.openxmlformats.org/officeDocument/2006/relationships/hyperlink" Target="https://speakup.arvadaco.gov/" TargetMode="External" Id="rId261" /><Relationship Type="http://schemas.openxmlformats.org/officeDocument/2006/relationships/hyperlink" Target="https://www.jeffco.us/2019/Flood-Mapping-and-Information" TargetMode="External" Id="rId262" /><Relationship Type="http://schemas.openxmlformats.org/officeDocument/2006/relationships/hyperlink" Target="https://adamscountyco.gov/our-county/community-economic-development/floodplain-management/" TargetMode="External" Id="rId263" /><Relationship Type="http://schemas.openxmlformats.org/officeDocument/2006/relationships/hyperlink" Target="https://msc.fema.gov/" TargetMode="External" Id="rId264" /><Relationship Type="http://schemas.openxmlformats.org/officeDocument/2006/relationships/hyperlink" Target="https://arvadaeconomicdevelopment.org/" TargetMode="External" Id="rId265" /><Relationship Type="http://schemas.openxmlformats.org/officeDocument/2006/relationships/hyperlink" Target="https://www.arvadaco.gov/" TargetMode="External" Id="rId266" /><Relationship Type="http://schemas.openxmlformats.org/officeDocument/2006/relationships/hyperlink" Target="https://www.arvadaco.gov/538/Crime-Maps-Statistics" TargetMode="External" Id="rId267" /><Relationship Type="http://schemas.openxmlformats.org/officeDocument/2006/relationships/hyperlink" Target="https://www.jeffcopublicschools.org/" TargetMode="External" Id="rId268" /><Relationship Type="http://schemas.openxmlformats.org/officeDocument/2006/relationships/hyperlink" Target="https://www.adams12.org/" TargetMode="External" Id="rId269" /><Relationship Type="http://schemas.openxmlformats.org/officeDocument/2006/relationships/hyperlink" Target="https://adcogov.org/assessor" TargetMode="External" Id="rId270" /><Relationship Type="http://schemas.openxmlformats.org/officeDocument/2006/relationships/hyperlink" Target="https://adcogov.org/recording" TargetMode="External" Id="rId271" /><Relationship Type="http://schemas.openxmlformats.org/officeDocument/2006/relationships/hyperlink" Target="https://recording.adcogov.org/landmarkweb" TargetMode="External" Id="rId272" /><Relationship Type="http://schemas.openxmlformats.org/officeDocument/2006/relationships/hyperlink" Target="https://data-adcogov.opendata.arcgis.com/" TargetMode="External" Id="rId273" /><Relationship Type="http://schemas.openxmlformats.org/officeDocument/2006/relationships/hyperlink" Target="https://data.drcog.org/" TargetMode="External" Id="rId274" /><Relationship Type="http://schemas.openxmlformats.org/officeDocument/2006/relationships/hyperlink" Target="https://www.drcog.org/data-maps-modeling" TargetMode="External" Id="rId275" /><Relationship Type="http://schemas.openxmlformats.org/officeDocument/2006/relationships/hyperlink" Target="https://www.drcog.org/data-maps-modeling/community-profiles" TargetMode="External" Id="rId276" /><Relationship Type="http://schemas.openxmlformats.org/officeDocument/2006/relationships/hyperlink" Target="https://geodata.colorado.gov/" TargetMode="External" Id="rId277" /><Relationship Type="http://schemas.openxmlformats.org/officeDocument/2006/relationships/hyperlink" Target="https://dwr.colorado.gov/services/data-information/gis" TargetMode="External" Id="rId278" /><Relationship Type="http://schemas.openxmlformats.org/officeDocument/2006/relationships/hyperlink" Target="https://data-cdot.opendata.arcgis.com/" TargetMode="External" Id="rId279" /><Relationship Type="http://schemas.openxmlformats.org/officeDocument/2006/relationships/hyperlink" Target="https://data-cdot.opendata.arcgis.com/" TargetMode="External" Id="rId280" /><Relationship Type="http://schemas.openxmlformats.org/officeDocument/2006/relationships/hyperlink" Target="https://data-cdot.opendata.arcgis.com/datasets/highways-traffic-counts/about" TargetMode="External" Id="rId281" /><Relationship Type="http://schemas.openxmlformats.org/officeDocument/2006/relationships/hyperlink" Target="https://www.sos.state.co.us/biz/BusinessEntityCriteriaExt.do" TargetMode="External" Id="rId282" /><Relationship Type="http://schemas.openxmlformats.org/officeDocument/2006/relationships/hyperlink" Target="https://www.sos.state.co.us/biz/AdvancedSearchCriteria.do" TargetMode="External" Id="rId283" /><Relationship Type="http://schemas.openxmlformats.org/officeDocument/2006/relationships/hyperlink" Target="https://dre.colorado.gov/" TargetMode="External" Id="rId284" /><Relationship Type="http://schemas.openxmlformats.org/officeDocument/2006/relationships/hyperlink" Target="https://www.sos.state.co.us/pubs/info_center/cora.html" TargetMode="External" Id="rId285" /><Relationship Type="http://schemas.openxmlformats.org/officeDocument/2006/relationships/hyperlink" Target="https://msc.fema.gov/" TargetMode="External" Id="rId286" /><Relationship Type="http://schemas.openxmlformats.org/officeDocument/2006/relationships/hyperlink" Target="https://coloradohazardmapping.com/hazardMapping/floodplainMapping" TargetMode="External" Id="rId287" /><Relationship Type="http://schemas.openxmlformats.org/officeDocument/2006/relationships/hyperlink" Target="https://recolorado.com/" TargetMode="External" Id="rId288" /><Relationship Type="http://schemas.openxmlformats.org/officeDocument/2006/relationships/hyperlink" Target="https://coloproperty.com/" TargetMode="External" Id="rId289" /><Relationship Type="http://schemas.openxmlformats.org/officeDocument/2006/relationships/hyperlink" Target="https://iresmls.com/" TargetMode="External" Id="rId290" /><Relationship Type="http://schemas.openxmlformats.org/officeDocument/2006/relationships/hyperlink" Target="https://www.adams12.org/" TargetMode="External" Id="rId291" /><Relationship Type="http://schemas.openxmlformats.org/officeDocument/2006/relationships/hyperlink" Target="https://www.sd27j.org/" TargetMode="External" Id="rId292" /><Relationship Type="http://schemas.openxmlformats.org/officeDocument/2006/relationships/hyperlink" Target="https://www.mapleton.us/" TargetMode="External" Id="rId293" /><Relationship Type="http://schemas.openxmlformats.org/officeDocument/2006/relationships/hyperlink" Target="https://www.aurorak12.org/" TargetMode="External" Id="rId294" /><Relationship Type="http://schemas.openxmlformats.org/officeDocument/2006/relationships/hyperlink" Target="https://www.cherrycreekschools.org/" TargetMode="External" Id="rId295" /><Relationship Type="http://schemas.openxmlformats.org/officeDocument/2006/relationships/hyperlink" Target="https://www.bsd29j.com/" TargetMode="External" Id="rId296" /><Relationship Type="http://schemas.openxmlformats.org/officeDocument/2006/relationships/hyperlink" Target="https://www.jeffcopublicschools.org/" TargetMode="External" Id="rId297" /><Relationship Type="http://schemas.openxmlformats.org/officeDocument/2006/relationships/hyperlink" Target="https://bouldercounty.gov/departments/assessor/" TargetMode="External" Id="rId298" /><Relationship Type="http://schemas.openxmlformats.org/officeDocument/2006/relationships/hyperlink" Target="https://maps.bouldercounty.org/boco/PropertySearch/" TargetMode="External" Id="rId299" /><Relationship Type="http://schemas.openxmlformats.org/officeDocument/2006/relationships/hyperlink" Target="https://opendata-bouldercounty.hub.arcgis.com/documents/d39100d04be34354b97ad52874f5e7d4" TargetMode="External" Id="rId300" /><Relationship Type="http://schemas.openxmlformats.org/officeDocument/2006/relationships/hyperlink" Target="https://treasurer.bouldercounty.org/treasurer/web/" TargetMode="External" Id="rId301" /><Relationship Type="http://schemas.openxmlformats.org/officeDocument/2006/relationships/hyperlink" Target="https://bouldercounty.gov/departments/treasurer/" TargetMode="External" Id="rId302" /><Relationship Type="http://schemas.openxmlformats.org/officeDocument/2006/relationships/hyperlink" Target="https://dpt.colorado.gov/locality/boulder-county-assessor" TargetMode="External" Id="rId303" /><Relationship Type="http://schemas.openxmlformats.org/officeDocument/2006/relationships/hyperlink" Target="https://bouldercounty.gov/departments/clerk-recorder/" TargetMode="External" Id="rId304" /><Relationship Type="http://schemas.openxmlformats.org/officeDocument/2006/relationships/hyperlink" Target="https://boulder.co.publicsearch.us/" TargetMode="External" Id="rId305" /><Relationship Type="http://schemas.openxmlformats.org/officeDocument/2006/relationships/hyperlink" Target="https://opendata-bouldercounty.hub.arcgis.com/" TargetMode="External" Id="rId306" /><Relationship Type="http://schemas.openxmlformats.org/officeDocument/2006/relationships/hyperlink" Target="https://maps.bouldercounty.org/" TargetMode="External" Id="rId307" /><Relationship Type="http://schemas.openxmlformats.org/officeDocument/2006/relationships/hyperlink" Target="https://bouldercounty.gov/property-and-land/geographic-information-systems/" TargetMode="External" Id="rId308" /><Relationship Type="http://schemas.openxmlformats.org/officeDocument/2006/relationships/hyperlink" Target="https://bouldercounty.gov/departments/community-planning-permitting/" TargetMode="External" Id="rId309" /><Relationship Type="http://schemas.openxmlformats.org/officeDocument/2006/relationships/hyperlink" Target="https://bouldercounty.gov/property-and-land/land-use/building/" TargetMode="External" Id="rId310" /><Relationship Type="http://schemas.openxmlformats.org/officeDocument/2006/relationships/hyperlink" Target="https://bouldercounty.gov/property-and-land/land-use/building/municipal-contacts/" TargetMode="External" Id="rId311" /><Relationship Type="http://schemas.openxmlformats.org/officeDocument/2006/relationships/hyperlink" Target="https://bouldercounty.gov/property-and-land/land-use/" TargetMode="External" Id="rId312" /><Relationship Type="http://schemas.openxmlformats.org/officeDocument/2006/relationships/hyperlink" Target="https://bouldercounty.gov/property-and-land/land-use/land-use-code/" TargetMode="External" Id="rId313" /><Relationship Type="http://schemas.openxmlformats.org/officeDocument/2006/relationships/hyperlink" Target="https://bouldercounty.gov/property-and-land/land-use/planning/comprehensive-plan/" TargetMode="External" Id="rId314" /><Relationship Type="http://schemas.openxmlformats.org/officeDocument/2006/relationships/hyperlink" Target="https://bouldercounty.gov/transportation/floodplain-management/" TargetMode="External" Id="rId315" /><Relationship Type="http://schemas.openxmlformats.org/officeDocument/2006/relationships/hyperlink" Target="https://bouldercounty.gov/transportation/floodplain-mapping/" TargetMode="External" Id="rId316" /><Relationship Type="http://schemas.openxmlformats.org/officeDocument/2006/relationships/hyperlink" Target="https://msc.fema.gov/" TargetMode="External" Id="rId317" /><Relationship Type="http://schemas.openxmlformats.org/officeDocument/2006/relationships/hyperlink" Target="https://bouldercounty.gov/business/" TargetMode="External" Id="rId318" /><Relationship Type="http://schemas.openxmlformats.org/officeDocument/2006/relationships/hyperlink" Target="https://bouldereconomiccouncil.org/" TargetMode="External" Id="rId319" /><Relationship Type="http://schemas.openxmlformats.org/officeDocument/2006/relationships/hyperlink" Target="https://www.bvsd.org/" TargetMode="External" Id="rId320" /><Relationship Type="http://schemas.openxmlformats.org/officeDocument/2006/relationships/hyperlink" Target="https://www.svvsd.org/" TargetMode="External" Id="rId321" /><Relationship Type="http://schemas.openxmlformats.org/officeDocument/2006/relationships/hyperlink" Target="https://maps.bouldercounty.org/boco/PropertySearch/" TargetMode="External" Id="rId322" /><Relationship Type="http://schemas.openxmlformats.org/officeDocument/2006/relationships/hyperlink" Target="https://treasurer.bouldercounty.org/treasurer/web/" TargetMode="External" Id="rId323" /><Relationship Type="http://schemas.openxmlformats.org/officeDocument/2006/relationships/hyperlink" Target="https://boulder.co.publicsearch.us/" TargetMode="External" Id="rId324" /><Relationship Type="http://schemas.openxmlformats.org/officeDocument/2006/relationships/hyperlink" Target="https://bouldercolorado.gov/maps" TargetMode="External" Id="rId325" /><Relationship Type="http://schemas.openxmlformats.org/officeDocument/2006/relationships/hyperlink" Target="https://bouldercolorado.gov/emaplink" TargetMode="External" Id="rId326" /><Relationship Type="http://schemas.openxmlformats.org/officeDocument/2006/relationships/hyperlink" Target="https://bouldercolorado.gov/services/property-information" TargetMode="External" Id="rId327" /><Relationship Type="http://schemas.openxmlformats.org/officeDocument/2006/relationships/hyperlink" Target="https://bouldercolorado.gov/services/building-permits-and-inspections" TargetMode="External" Id="rId328" /><Relationship Type="http://schemas.openxmlformats.org/officeDocument/2006/relationships/hyperlink" Target="https://bouldercolorado.gov/plan-develop-applications-and-forms" TargetMode="External" Id="rId329" /><Relationship Type="http://schemas.openxmlformats.org/officeDocument/2006/relationships/hyperlink" Target="https://bouldercolorado.gov/government/departments/planning-development-services" TargetMode="External" Id="rId330" /><Relationship Type="http://schemas.openxmlformats.org/officeDocument/2006/relationships/hyperlink" Target="https://bouldercolorado.gov/services/zoning" TargetMode="External" Id="rId331" /><Relationship Type="http://schemas.openxmlformats.org/officeDocument/2006/relationships/hyperlink" Target="https://msc.fema.gov/" TargetMode="External" Id="rId332" /><Relationship Type="http://schemas.openxmlformats.org/officeDocument/2006/relationships/hyperlink" Target="https://bouldercounty.gov/transportation/floodplain-management/" TargetMode="External" Id="rId333" /><Relationship Type="http://schemas.openxmlformats.org/officeDocument/2006/relationships/hyperlink" Target="https://bouldercolorado.gov/government/departments/economic-vitality" TargetMode="External" Id="rId334" /><Relationship Type="http://schemas.openxmlformats.org/officeDocument/2006/relationships/hyperlink" Target="https://www.bvsd.org/" TargetMode="External" Id="rId335" /><Relationship Type="http://schemas.openxmlformats.org/officeDocument/2006/relationships/hyperlink" Target="https://maps.bouldercounty.org/boco/PropertySearch/" TargetMode="External" Id="rId336" /><Relationship Type="http://schemas.openxmlformats.org/officeDocument/2006/relationships/hyperlink" Target="https://treasurer.bouldercounty.org/treasurer/web/" TargetMode="External" Id="rId337" /><Relationship Type="http://schemas.openxmlformats.org/officeDocument/2006/relationships/hyperlink" Target="https://boulder.co.publicsearch.us/" TargetMode="External" Id="rId338" /><Relationship Type="http://schemas.openxmlformats.org/officeDocument/2006/relationships/hyperlink" Target="https://www.longmontcolorado.gov/online-services/maps-and-gis" TargetMode="External" Id="rId339" /><Relationship Type="http://schemas.openxmlformats.org/officeDocument/2006/relationships/hyperlink" Target="https://longmontcolorado.gov/building/" TargetMode="External" Id="rId340" /><Relationship Type="http://schemas.openxmlformats.org/officeDocument/2006/relationships/hyperlink" Target="https://www.longmontcolorado.gov/departments/departments-n-z/planning-and-development-services/development-applications-and-permits" TargetMode="External" Id="rId341" /><Relationship Type="http://schemas.openxmlformats.org/officeDocument/2006/relationships/hyperlink" Target="https://www.longmontcolorado.gov/departments/departments-n-z/planning-and-development-services/planning-services" TargetMode="External" Id="rId342" /><Relationship Type="http://schemas.openxmlformats.org/officeDocument/2006/relationships/hyperlink" Target="https://www.longmontcolorado.gov/departments/departments-n-z/planning-and-development-services/development-process/land-development-code" TargetMode="External" Id="rId343" /><Relationship Type="http://schemas.openxmlformats.org/officeDocument/2006/relationships/hyperlink" Target="https://msc.fema.gov/" TargetMode="External" Id="rId344" /><Relationship Type="http://schemas.openxmlformats.org/officeDocument/2006/relationships/hyperlink" Target="https://www.svvsd.org/" TargetMode="External" Id="rId345" /><Relationship Type="http://schemas.openxmlformats.org/officeDocument/2006/relationships/hyperlink" Target="https://maps.bouldercounty.org/boco/PropertySearch/" TargetMode="External" Id="rId346" /><Relationship Type="http://schemas.openxmlformats.org/officeDocument/2006/relationships/hyperlink" Target="https://treasurer.bouldercounty.org/treasurer/web/" TargetMode="External" Id="rId347" /><Relationship Type="http://schemas.openxmlformats.org/officeDocument/2006/relationships/hyperlink" Target="https://boulder.co.publicsearch.us/" TargetMode="External" Id="rId348" /><Relationship Type="http://schemas.openxmlformats.org/officeDocument/2006/relationships/hyperlink" Target="https://www.lafayetteco.gov/111/Building-Division" TargetMode="External" Id="rId349" /><Relationship Type="http://schemas.openxmlformats.org/officeDocument/2006/relationships/hyperlink" Target="https://www.lafayetteco.gov/92/Planning-Building-Department" TargetMode="External" Id="rId350" /><Relationship Type="http://schemas.openxmlformats.org/officeDocument/2006/relationships/hyperlink" Target="https://msc.fema.gov/" TargetMode="External" Id="rId351" /><Relationship Type="http://schemas.openxmlformats.org/officeDocument/2006/relationships/hyperlink" Target="https://www.bvsd.org/" TargetMode="External" Id="rId352" /><Relationship Type="http://schemas.openxmlformats.org/officeDocument/2006/relationships/hyperlink" Target="https://maps.bouldercounty.org/boco/PropertySearch/" TargetMode="External" Id="rId353" /><Relationship Type="http://schemas.openxmlformats.org/officeDocument/2006/relationships/hyperlink" Target="https://treasurer.bouldercounty.org/treasurer/web/" TargetMode="External" Id="rId354" /><Relationship Type="http://schemas.openxmlformats.org/officeDocument/2006/relationships/hyperlink" Target="https://boulder.co.publicsearch.us/" TargetMode="External" Id="rId355" /><Relationship Type="http://schemas.openxmlformats.org/officeDocument/2006/relationships/hyperlink" Target="https://www.louisvilleco.gov/living-in-louisville/residents/permits-and-licensing" TargetMode="External" Id="rId356" /><Relationship Type="http://schemas.openxmlformats.org/officeDocument/2006/relationships/hyperlink" Target="https://www.louisvilleco.gov/your-government/community-planning-permitting" TargetMode="External" Id="rId357" /><Relationship Type="http://schemas.openxmlformats.org/officeDocument/2006/relationships/hyperlink" Target="https://msc.fema.gov/" TargetMode="External" Id="rId358" /><Relationship Type="http://schemas.openxmlformats.org/officeDocument/2006/relationships/hyperlink" Target="https://www.bvsd.org/" TargetMode="External" Id="rId359" /><Relationship Type="http://schemas.openxmlformats.org/officeDocument/2006/relationships/hyperlink" Target="https://maps.bouldercounty.org/boco/PropertySearch/" TargetMode="External" Id="rId360" /><Relationship Type="http://schemas.openxmlformats.org/officeDocument/2006/relationships/hyperlink" Target="https://treasurer.bouldercounty.org/treasurer/web/" TargetMode="External" Id="rId361" /><Relationship Type="http://schemas.openxmlformats.org/officeDocument/2006/relationships/hyperlink" Target="https://boulder.co.publicsearch.us/" TargetMode="External" Id="rId362" /><Relationship Type="http://schemas.openxmlformats.org/officeDocument/2006/relationships/hyperlink" Target="https://www.superiorcolorado.gov/government/community-development" TargetMode="External" Id="rId363" /><Relationship Type="http://schemas.openxmlformats.org/officeDocument/2006/relationships/hyperlink" Target="https://msc.fema.gov/" TargetMode="External" Id="rId364" /><Relationship Type="http://schemas.openxmlformats.org/officeDocument/2006/relationships/hyperlink" Target="https://www.bvsd.org/" TargetMode="External" Id="rId365" /><Relationship Type="http://schemas.openxmlformats.org/officeDocument/2006/relationships/hyperlink" Target="https://bouldercounty.gov/departments/assessor/" TargetMode="External" Id="rId366" /><Relationship Type="http://schemas.openxmlformats.org/officeDocument/2006/relationships/hyperlink" Target="https://bouldercounty.gov/departments/clerk-recorder/" TargetMode="External" Id="rId367" /><Relationship Type="http://schemas.openxmlformats.org/officeDocument/2006/relationships/hyperlink" Target="https://boulder.co.publicsearch.us/" TargetMode="External" Id="rId368" /><Relationship Type="http://schemas.openxmlformats.org/officeDocument/2006/relationships/hyperlink" Target="https://opendata-bouldercounty.hub.arcgis.com/" TargetMode="External" Id="rId369" /><Relationship Type="http://schemas.openxmlformats.org/officeDocument/2006/relationships/hyperlink" Target="https://data.drcog.org/" TargetMode="External" Id="rId370" /><Relationship Type="http://schemas.openxmlformats.org/officeDocument/2006/relationships/hyperlink" Target="https://geodata.colorado.gov/" TargetMode="External" Id="rId371" /><Relationship Type="http://schemas.openxmlformats.org/officeDocument/2006/relationships/hyperlink" Target="https://data-cdot.opendata.arcgis.com/" TargetMode="External" Id="rId372" /><Relationship Type="http://schemas.openxmlformats.org/officeDocument/2006/relationships/hyperlink" Target="https://data-cdot.opendata.arcgis.com/" TargetMode="External" Id="rId373" /><Relationship Type="http://schemas.openxmlformats.org/officeDocument/2006/relationships/hyperlink" Target="https://www.sos.state.co.us/biz/BusinessEntityCriteriaExt.do" TargetMode="External" Id="rId374" /><Relationship Type="http://schemas.openxmlformats.org/officeDocument/2006/relationships/hyperlink" Target="https://msc.fema.gov/" TargetMode="External" Id="rId375" /><Relationship Type="http://schemas.openxmlformats.org/officeDocument/2006/relationships/hyperlink" Target="https://coloradohazardmapping.com/hazardMapping/floodplainMapping" TargetMode="External" Id="rId376" /><Relationship Type="http://schemas.openxmlformats.org/officeDocument/2006/relationships/hyperlink" Target="https://recolorado.com/" TargetMode="External" Id="rId377" /><Relationship Type="http://schemas.openxmlformats.org/officeDocument/2006/relationships/hyperlink" Target="https://www.bvsd.org/" TargetMode="External" Id="rId378" /><Relationship Type="http://schemas.openxmlformats.org/officeDocument/2006/relationships/hyperlink" Target="https://www.svvsd.org/" TargetMode="External" Id="rId379" /><Relationship Type="http://schemas.openxmlformats.org/officeDocument/2006/relationships/hyperlink" Target="https://egov.broomfield.org/assessor/web/" TargetMode="External" Id="rId380" /><Relationship Type="http://schemas.openxmlformats.org/officeDocument/2006/relationships/hyperlink" Target="https://www.broomfield.org/2739/Parcel-Search" TargetMode="External" Id="rId381" /><Relationship Type="http://schemas.openxmlformats.org/officeDocument/2006/relationships/hyperlink" Target="https://www.broomfield.org/3634/Valuation-Process" TargetMode="External" Id="rId382" /><Relationship Type="http://schemas.openxmlformats.org/officeDocument/2006/relationships/hyperlink" Target="https://www.broomfield.org/4013/Appeal-Information" TargetMode="External" Id="rId383" /><Relationship Type="http://schemas.openxmlformats.org/officeDocument/2006/relationships/hyperlink" Target="https://egov.broomfield.org/treasurer/web/" TargetMode="External" Id="rId384" /><Relationship Type="http://schemas.openxmlformats.org/officeDocument/2006/relationships/hyperlink" Target="https://www.broomfield.org/2348/Pay-a-Bill-Online" TargetMode="External" Id="rId385" /><Relationship Type="http://schemas.openxmlformats.org/officeDocument/2006/relationships/hyperlink" Target="https://broomfield.org/4458/Property-Tax-101" TargetMode="External" Id="rId386" /><Relationship Type="http://schemas.openxmlformats.org/officeDocument/2006/relationships/hyperlink" Target="https://egov.broomfield.org/recorder/web/" TargetMode="External" Id="rId387" /><Relationship Type="http://schemas.openxmlformats.org/officeDocument/2006/relationships/hyperlink" Target="https://www.broomfield.org/470/Recording" TargetMode="External" Id="rId388" /><Relationship Type="http://schemas.openxmlformats.org/officeDocument/2006/relationships/hyperlink" Target="https://opendata.broomfield.org/" TargetMode="External" Id="rId389" /><Relationship Type="http://schemas.openxmlformats.org/officeDocument/2006/relationships/hyperlink" Target="https://www.broomfield.org/1761/GIS-Division-Data" TargetMode="External" Id="rId390" /><Relationship Type="http://schemas.openxmlformats.org/officeDocument/2006/relationships/hyperlink" Target="https://www.broomfield.org/225/Maps-for-Download" TargetMode="External" Id="rId391" /><Relationship Type="http://schemas.openxmlformats.org/officeDocument/2006/relationships/hyperlink" Target="https://www.broomfield.org/290/Planning" TargetMode="External" Id="rId392" /><Relationship Type="http://schemas.openxmlformats.org/officeDocument/2006/relationships/hyperlink" Target="https://www.broomfield.org/1979/Zoning" TargetMode="External" Id="rId393" /><Relationship Type="http://schemas.openxmlformats.org/officeDocument/2006/relationships/hyperlink" Target="https://library.municode.com/co/broomfield/codes/municipal_code?nodeId=TIT17ZO" TargetMode="External" Id="rId394" /><Relationship Type="http://schemas.openxmlformats.org/officeDocument/2006/relationships/hyperlink" Target="https://www.broomfield.org/174/Building" TargetMode="External" Id="rId395" /><Relationship Type="http://schemas.openxmlformats.org/officeDocument/2006/relationships/hyperlink" Target="https://www.broomfield.org/2165/Public-Access-Permit-Search" TargetMode="External" Id="rId396" /><Relationship Type="http://schemas.openxmlformats.org/officeDocument/2006/relationships/hyperlink" Target="https://www.broomfield.org/4101/Floodplains" TargetMode="External" Id="rId397" /><Relationship Type="http://schemas.openxmlformats.org/officeDocument/2006/relationships/hyperlink" Target="https://msc.fema.gov/" TargetMode="External" Id="rId398" /><Relationship Type="http://schemas.openxmlformats.org/officeDocument/2006/relationships/hyperlink" Target="https://coloradohazardmapping.com/hazardMapping/floodplainMapping" TargetMode="External" Id="rId399" /><Relationship Type="http://schemas.openxmlformats.org/officeDocument/2006/relationships/hyperlink" Target="https://www.broomfield.org/247/Economic-Vitality" TargetMode="External" Id="rId400" /><Relationship Type="http://schemas.openxmlformats.org/officeDocument/2006/relationships/hyperlink" Target="https://broomfield.org/3970/Business-Assistance-Resources" TargetMode="External" Id="rId401" /><Relationship Type="http://schemas.openxmlformats.org/officeDocument/2006/relationships/hyperlink" Target="https://www.adams12.org/" TargetMode="External" Id="rId402" /><Relationship Type="http://schemas.openxmlformats.org/officeDocument/2006/relationships/hyperlink" Target="https://www.bvsd.org/" TargetMode="External" Id="rId403" /><Relationship Type="http://schemas.openxmlformats.org/officeDocument/2006/relationships/hyperlink" Target="https://dpt.colorado.gov/locality/broomfield-county-assessor" TargetMode="External" Id="rId404" /><Relationship Type="http://schemas.openxmlformats.org/officeDocument/2006/relationships/hyperlink" Target="https://www.weld.gov/Government/Departments/Assessor" TargetMode="External" Id="rId405" /><Relationship Type="http://schemas.openxmlformats.org/officeDocument/2006/relationships/hyperlink" Target="https://www.co.weld.co.us/apps1/propertyportal/" TargetMode="External" Id="rId406" /><Relationship Type="http://schemas.openxmlformats.org/officeDocument/2006/relationships/hyperlink" Target="https://maps.weld.gov/propertyportal/" TargetMode="External" Id="rId407" /><Relationship Type="http://schemas.openxmlformats.org/officeDocument/2006/relationships/hyperlink" Target="https://www.weld.gov/Government/Departments/Assessor/FAQs/Frequently-Asked-Questions" TargetMode="External" Id="rId408" /><Relationship Type="http://schemas.openxmlformats.org/officeDocument/2006/relationships/hyperlink" Target="https://www.weld.gov/Government/Departments/Commissioners/County-Board-of-Equalization" TargetMode="External" Id="rId409" /><Relationship Type="http://schemas.openxmlformats.org/officeDocument/2006/relationships/hyperlink" Target="https://www.weldtax.com/treasurer/web/login.jsp" TargetMode="External" Id="rId410" /><Relationship Type="http://schemas.openxmlformats.org/officeDocument/2006/relationships/hyperlink" Target="https://www.weld.gov/Info/Pay-Your-Taxes-Online" TargetMode="External" Id="rId411" /><Relationship Type="http://schemas.openxmlformats.org/officeDocument/2006/relationships/hyperlink" Target="https://www.weld.gov/Government/Departments/Assessor/Taxing-Authority-Information/Mill-Levy-Report" TargetMode="External" Id="rId412" /><Relationship Type="http://schemas.openxmlformats.org/officeDocument/2006/relationships/hyperlink" Target="https://www.weld.gov/Government/Departments/Assessor/Taxing-Authority-Information" TargetMode="External" Id="rId413" /><Relationship Type="http://schemas.openxmlformats.org/officeDocument/2006/relationships/hyperlink" Target="https://www.weld.gov/Government/Departments/Treasurer-Public-Trustee/Treasurer/FAQ" TargetMode="External" Id="rId414" /><Relationship Type="http://schemas.openxmlformats.org/officeDocument/2006/relationships/hyperlink" Target="https://www.weld.gov/Government/Departments/Clerk-and-Recorder" TargetMode="External" Id="rId415" /><Relationship Type="http://schemas.openxmlformats.org/officeDocument/2006/relationships/hyperlink" Target="https://www.weld.gov/Government/Departments/Clerk-and-Recorder/Recording-Department" TargetMode="External" Id="rId416" /><Relationship Type="http://schemas.openxmlformats.org/officeDocument/2006/relationships/hyperlink" Target="https://www.weld.gov/Government/County-Data/Recorded-Documents" TargetMode="External" Id="rId417" /><Relationship Type="http://schemas.openxmlformats.org/officeDocument/2006/relationships/hyperlink" Target="https://gishub.weldgov.com/" TargetMode="External" Id="rId418" /><Relationship Type="http://schemas.openxmlformats.org/officeDocument/2006/relationships/hyperlink" Target="https://gishub.weldgov.com/pages/data" TargetMode="External" Id="rId419" /><Relationship Type="http://schemas.openxmlformats.org/officeDocument/2006/relationships/hyperlink" Target="https://gishub.weldgov.com/pages/interactive-maps" TargetMode="External" Id="rId420" /><Relationship Type="http://schemas.openxmlformats.org/officeDocument/2006/relationships/hyperlink" Target="https://www.weld.gov/Government/Departments/Planning-and-Zoning" TargetMode="External" Id="rId421" /><Relationship Type="http://schemas.openxmlformats.org/officeDocument/2006/relationships/hyperlink" Target="https://library.municode.com/co/weld_county/codes/charter_and_county_code?nodeId=CH22COPL" TargetMode="External" Id="rId422" /><Relationship Type="http://schemas.openxmlformats.org/officeDocument/2006/relationships/hyperlink" Target="https://library.municode.com/co/weld_county/codes/charter_and_county_code?nodeId=CH23ZO" TargetMode="External" Id="rId423" /><Relationship Type="http://schemas.openxmlformats.org/officeDocument/2006/relationships/hyperlink" Target="https://www.weld.gov/Government/Departments/Planning-and-Zoning/Current-Planning" TargetMode="External" Id="rId424" /><Relationship Type="http://schemas.openxmlformats.org/officeDocument/2006/relationships/hyperlink" Target="https://www.weld.gov/Government/Departments/Planning-and-Zoning/Floodplain-Management" TargetMode="External" Id="rId425" /><Relationship Type="http://schemas.openxmlformats.org/officeDocument/2006/relationships/hyperlink" Target="https://coloradohazardmapping.com/county/Weld" TargetMode="External" Id="rId426" /><Relationship Type="http://schemas.openxmlformats.org/officeDocument/2006/relationships/hyperlink" Target="https://msc.fema.gov/" TargetMode="External" Id="rId427" /><Relationship Type="http://schemas.openxmlformats.org/officeDocument/2006/relationships/hyperlink" Target="https://www.coloradofhz.com/" TargetMode="External" Id="rId428" /><Relationship Type="http://schemas.openxmlformats.org/officeDocument/2006/relationships/hyperlink" Target="https://upstatecolorado.org/" TargetMode="External" Id="rId429" /><Relationship Type="http://schemas.openxmlformats.org/officeDocument/2006/relationships/hyperlink" Target="https://www.metrodenver.org/do-business/communities/weld" TargetMode="External" Id="rId430" /><Relationship Type="http://schemas.openxmlformats.org/officeDocument/2006/relationships/hyperlink" Target="https://www.greeleyschools.org/" TargetMode="External" Id="rId431" /><Relationship Type="http://schemas.openxmlformats.org/officeDocument/2006/relationships/hyperlink" Target="https://www.weldre4.org/" TargetMode="External" Id="rId432" /><Relationship Type="http://schemas.openxmlformats.org/officeDocument/2006/relationships/hyperlink" Target="https://www.weldre5j.org/" TargetMode="External" Id="rId433" /><Relationship Type="http://schemas.openxmlformats.org/officeDocument/2006/relationships/hyperlink" Target="https://wcsdre1.org/en-US" TargetMode="External" Id="rId434" /><Relationship Type="http://schemas.openxmlformats.org/officeDocument/2006/relationships/hyperlink" Target="https://dpt.colorado.gov/locality/weld-county-assessor" TargetMode="External" Id="rId435" /><Relationship Type="http://schemas.openxmlformats.org/officeDocument/2006/relationships/hyperlink" Target="https://greeleyco.gov/business/construction-and-growth/planning-and-zoning/" TargetMode="External" Id="rId436" /><Relationship Type="http://schemas.openxmlformats.org/officeDocument/2006/relationships/hyperlink" Target="https://greeleyco.gov/business/construction-and-growth/planning-and-zoning/planning-applications-and-permits/" TargetMode="External" Id="rId437" /><Relationship Type="http://schemas.openxmlformats.org/officeDocument/2006/relationships/hyperlink" Target="https://library.municode.com/co/greeley/codes/municipal_code" TargetMode="External" Id="rId438" /><Relationship Type="http://schemas.openxmlformats.org/officeDocument/2006/relationships/hyperlink" Target="https://www.windsorgov.com/1229/Planning-Zoning" TargetMode="External" Id="rId439" /><Relationship Type="http://schemas.openxmlformats.org/officeDocument/2006/relationships/hyperlink" Target="https://windsorgov.com/949/Development-Center" TargetMode="External" Id="rId440" /><Relationship Type="http://schemas.openxmlformats.org/officeDocument/2006/relationships/hyperlink" Target="https://library.municode.com/co/windsor/codes/charter_and_municipal_code?nodeId=WI_CH16ZO" TargetMode="External" Id="rId441" /><Relationship Type="http://schemas.openxmlformats.org/officeDocument/2006/relationships/hyperlink" Target="https://www.evanscolorado.gov/building-business-development/planning-and-development/" TargetMode="External" Id="rId442" /><Relationship Type="http://schemas.openxmlformats.org/officeDocument/2006/relationships/hyperlink" Target="https://library.municode.com/co/evans/codes/municipal_code?nodeId=MUCO_TIT18LADECO" TargetMode="External" Id="rId443" /><Relationship Type="http://schemas.openxmlformats.org/officeDocument/2006/relationships/hyperlink" Target="https://www.evanscolorado.gov/your-government/applications-licenses-and-permits/" TargetMode="External" Id="rId444" /><Relationship Type="http://schemas.openxmlformats.org/officeDocument/2006/relationships/hyperlink" Target="https://www.fortluptonco.gov/159/Planning-Building" TargetMode="External" Id="rId445" /><Relationship Type="http://schemas.openxmlformats.org/officeDocument/2006/relationships/hyperlink" Target="https://www.fortluptonco.gov/856/Fort-Lupton-Development-Code" TargetMode="External" Id="rId446" /><Relationship Type="http://schemas.openxmlformats.org/officeDocument/2006/relationships/hyperlink" Target="https://www.fortluptonco.gov/405/Zoning" TargetMode="External" Id="rId447" /><Relationship Type="http://schemas.openxmlformats.org/officeDocument/2006/relationships/hyperlink" Target="https://www.firestoneco.gov/145/Planning-Development" TargetMode="External" Id="rId448" /><Relationship Type="http://schemas.openxmlformats.org/officeDocument/2006/relationships/hyperlink" Target="https://www.firestoneco.gov/175/Development-Code" TargetMode="External" Id="rId449" /><Relationship Type="http://schemas.openxmlformats.org/officeDocument/2006/relationships/hyperlink" Target="https://www.firestoneco.gov/513/Maps-Development-Plans" TargetMode="External" Id="rId450" /><Relationship Type="http://schemas.openxmlformats.org/officeDocument/2006/relationships/hyperlink" Target="https://www.frederickco.gov/349/Planning" TargetMode="External" Id="rId451" /><Relationship Type="http://schemas.openxmlformats.org/officeDocument/2006/relationships/hyperlink" Target="https://www.frederickco.gov/96/Development-Center" TargetMode="External" Id="rId452" /><Relationship Type="http://schemas.openxmlformats.org/officeDocument/2006/relationships/hyperlink" Target="https://www.frederickco.gov/1043/Land-Use-Code" TargetMode="External" Id="rId453" /><Relationship Type="http://schemas.openxmlformats.org/officeDocument/2006/relationships/hyperlink" Target="https://johnstownco.gov/225/Planning-Development" TargetMode="External" Id="rId454" /><Relationship Type="http://schemas.openxmlformats.org/officeDocument/2006/relationships/hyperlink" Target="https://johnstownco.gov/537/Master-Plans" TargetMode="External" Id="rId455" /><Relationship Type="http://schemas.openxmlformats.org/officeDocument/2006/relationships/hyperlink" Target="https://www.townofmead.org/development/page/planning-division" TargetMode="External" Id="rId456" /><Relationship Type="http://schemas.openxmlformats.org/officeDocument/2006/relationships/hyperlink" Target="https://platteville.colorado.gov/planning-and-zoning" TargetMode="External" Id="rId457" /><Relationship Type="http://schemas.openxmlformats.org/officeDocument/2006/relationships/hyperlink" Target="https://platteville.colorado.gov/municipal-code" TargetMode="External" Id="rId458" /><Relationship Type="http://schemas.openxmlformats.org/officeDocument/2006/relationships/hyperlink" Target="https://www.millikenco.gov/168/Economic-Development" TargetMode="External" Id="rId459" /><Relationship Type="http://schemas.openxmlformats.org/officeDocument/2006/relationships/hyperlink" Target="https://www.kerseygov.com/departments/planning_department/index.php" TargetMode="External" Id="rId460" /><Relationship Type="http://schemas.openxmlformats.org/officeDocument/2006/relationships/hyperlink" Target="https://propertysearch.jeffco.us/" TargetMode="External" Id="rId461" /><Relationship Type="http://schemas.openxmlformats.org/officeDocument/2006/relationships/hyperlink" Target="https://www.jeffco.us/658/Assessor" TargetMode="External" Id="rId462" /><Relationship Type="http://schemas.openxmlformats.org/officeDocument/2006/relationships/hyperlink" Target="https://www.jeffco.us/4593/20252026-Property-Valuation-and-Appeal-I" TargetMode="External" Id="rId463" /><Relationship Type="http://schemas.openxmlformats.org/officeDocument/2006/relationships/hyperlink" Target="https://www.jeffco.us/435/Appealing-Real-Property-Valuation" TargetMode="External" Id="rId464" /><Relationship Type="http://schemas.openxmlformats.org/officeDocument/2006/relationships/hyperlink" Target="https://www.jeffco.us/514/Commercial-Property" TargetMode="External" Id="rId465" /><Relationship Type="http://schemas.openxmlformats.org/officeDocument/2006/relationships/hyperlink" Target="https://www.jeffco.us/713/Parcel-Maps" TargetMode="External" Id="rId466" /><Relationship Type="http://schemas.openxmlformats.org/officeDocument/2006/relationships/hyperlink" Target="https://treasurerpropertysearch.jeffco.us/" TargetMode="External" Id="rId467" /><Relationship Type="http://schemas.openxmlformats.org/officeDocument/2006/relationships/hyperlink" Target="https://www.jeffco.us/809/Treasurer" TargetMode="External" Id="rId468" /><Relationship Type="http://schemas.openxmlformats.org/officeDocument/2006/relationships/hyperlink" Target="https://www.jeffco.us/2415/Property-Taxes" TargetMode="External" Id="rId469" /><Relationship Type="http://schemas.openxmlformats.org/officeDocument/2006/relationships/hyperlink" Target="https://www.jeffco.us/822/Determination-of-Tax-Rates" TargetMode="External" Id="rId470" /><Relationship Type="http://schemas.openxmlformats.org/officeDocument/2006/relationships/hyperlink" Target="https://landrecords.co.jefferson.co.us/" TargetMode="External" Id="rId471" /><Relationship Type="http://schemas.openxmlformats.org/officeDocument/2006/relationships/hyperlink" Target="https://www.jeffco.us/4871/Clerk-Recorder" TargetMode="External" Id="rId472" /><Relationship Type="http://schemas.openxmlformats.org/officeDocument/2006/relationships/hyperlink" Target="https://www.jeffco.us/398/Recording" TargetMode="External" Id="rId473" /><Relationship Type="http://schemas.openxmlformats.org/officeDocument/2006/relationships/hyperlink" Target="https://gis.jeffco.us/" TargetMode="External" Id="rId474" /><Relationship Type="http://schemas.openxmlformats.org/officeDocument/2006/relationships/hyperlink" Target="https://data-jeffersoncounty.opendata.arcgis.com/" TargetMode="External" Id="rId475" /><Relationship Type="http://schemas.openxmlformats.org/officeDocument/2006/relationships/hyperlink" Target="https://www.jeffco.us/3165/Maps-Data-Download" TargetMode="External" Id="rId476" /><Relationship Type="http://schemas.openxmlformats.org/officeDocument/2006/relationships/hyperlink" Target="https://www.jeffco.us/786/Planning-Zoning" TargetMode="External" Id="rId477" /><Relationship Type="http://schemas.openxmlformats.org/officeDocument/2006/relationships/hyperlink" Target="https://togetherjeffco.com/uluc" TargetMode="External" Id="rId478" /><Relationship Type="http://schemas.openxmlformats.org/officeDocument/2006/relationships/hyperlink" Target="https://www.jeffco.us/2460/Zoning-Resolution" TargetMode="External" Id="rId479" /><Relationship Type="http://schemas.openxmlformats.org/officeDocument/2006/relationships/hyperlink" Target="https://www.jeffco.us/2468/Comprehensive-Master-Plan" TargetMode="External" Id="rId480" /><Relationship Type="http://schemas.openxmlformats.org/officeDocument/2006/relationships/hyperlink" Target="https://www.jeffco.us/2477/Area-Plans" TargetMode="External" Id="rId481" /><Relationship Type="http://schemas.openxmlformats.org/officeDocument/2006/relationships/hyperlink" Target="https://www.jeffco.us/2200/Online-Permitting-Inspection-Requests" TargetMode="External" Id="rId482" /><Relationship Type="http://schemas.openxmlformats.org/officeDocument/2006/relationships/hyperlink" Target="https://www.jeffco.us/2695/Floodplain-Management" TargetMode="External" Id="rId483" /><Relationship Type="http://schemas.openxmlformats.org/officeDocument/2006/relationships/hyperlink" Target="https://msc.fema.gov/" TargetMode="External" Id="rId484" /><Relationship Type="http://schemas.openxmlformats.org/officeDocument/2006/relationships/hyperlink" Target="https://coloradohazardmapping.com/hazardMapping/floodplainMapping" TargetMode="External" Id="rId485" /><Relationship Type="http://schemas.openxmlformats.org/officeDocument/2006/relationships/hyperlink" Target="https://jeffcoedc.org/" TargetMode="External" Id="rId486" /><Relationship Type="http://schemas.openxmlformats.org/officeDocument/2006/relationships/hyperlink" Target="https://jeffcoedc.org/resources-and-incentives/" TargetMode="External" Id="rId487" /><Relationship Type="http://schemas.openxmlformats.org/officeDocument/2006/relationships/hyperlink" Target="https://www.jeffco.k12.co.us/" TargetMode="External" Id="rId488" /><Relationship Type="http://schemas.openxmlformats.org/officeDocument/2006/relationships/hyperlink" Target="https://www.littletonpublicschools.net/" TargetMode="External" Id="rId489" /><Relationship Type="http://schemas.openxmlformats.org/officeDocument/2006/relationships/hyperlink" Target="https://dpt.colorado.gov/locality/jefferson-county-assessor" TargetMode="External" Id="rId490" /><Relationship Type="http://schemas.openxmlformats.org/officeDocument/2006/relationships/hyperlink" Target="https://www.cityofgolden.gov/business/land_use_development/index.php" TargetMode="External" Id="rId491" /><Relationship Type="http://schemas.openxmlformats.org/officeDocument/2006/relationships/hyperlink" Target="https://library.municode.com/co/golden/codes/municipal_code?nodeId=TIT18PLZO" TargetMode="External" Id="rId492" /><Relationship Type="http://schemas.openxmlformats.org/officeDocument/2006/relationships/hyperlink" Target="https://www.cityofgolden.gov/business/land_use_development/development_applications.php" TargetMode="External" Id="rId493" /><Relationship Type="http://schemas.openxmlformats.org/officeDocument/2006/relationships/hyperlink" Target="https://www.guidinggolden.com/comprehensive-plan" TargetMode="External" Id="rId494" /><Relationship Type="http://schemas.openxmlformats.org/officeDocument/2006/relationships/hyperlink" Target="https://www.lakewoodco.gov/Local-Government/Departments/Sustainability-and-Community-Development/Zoning-Standards" TargetMode="External" Id="rId495" /><Relationship Type="http://schemas.openxmlformats.org/officeDocument/2006/relationships/hyperlink" Target="https://www.lakewoodco.gov/Local-Government/Departments/Sustainability-and-Community-Development/Comprehensive-Planning-Main/Envision-Lakewood-2040-Comprehensive-Plan" TargetMode="External" Id="rId496" /><Relationship Type="http://schemas.openxmlformats.org/officeDocument/2006/relationships/hyperlink" Target="https://propertysearch.jeffco.us/" TargetMode="External" Id="rId497" /><Relationship Type="http://schemas.openxmlformats.org/officeDocument/2006/relationships/hyperlink" Target="https://www.arvadaco.gov/168/Zoning" TargetMode="External" Id="rId498" /><Relationship Type="http://schemas.openxmlformats.org/officeDocument/2006/relationships/hyperlink" Target="https://www.arvadaco.gov/179/Land-Development-Code" TargetMode="External" Id="rId499" /><Relationship Type="http://schemas.openxmlformats.org/officeDocument/2006/relationships/hyperlink" Target="https://www.arvadaco.gov/1374/2026-27-Comprehensive-Plan" TargetMode="External" Id="rId500" /><Relationship Type="http://schemas.openxmlformats.org/officeDocument/2006/relationships/hyperlink" Target="https://gis-arvada.opendata.arcgis.com/" TargetMode="External" Id="rId501" /><Relationship Type="http://schemas.openxmlformats.org/officeDocument/2006/relationships/hyperlink" Target="https://www.ci.wheatridge.co.us/1114/Zoning-Development-Code" TargetMode="External" Id="rId502" /><Relationship Type="http://schemas.openxmlformats.org/officeDocument/2006/relationships/hyperlink" Target="https://www.ci.wheatridge.co.us/384/Find-Your-Zoning" TargetMode="External" Id="rId503" /><Relationship Type="http://schemas.openxmlformats.org/officeDocument/2006/relationships/hyperlink" Target="https://www.ci.wheatridge.co.us/394/Land-Use-Planning" TargetMode="External" Id="rId504" /><Relationship Type="http://schemas.openxmlformats.org/officeDocument/2006/relationships/hyperlink" Target="https://library.municode.com/co/edgewater/codes/municipal_code?nodeId=EDMUCO_CH16ZO" TargetMode="External" Id="rId505" /><Relationship Type="http://schemas.openxmlformats.org/officeDocument/2006/relationships/hyperlink" Target="https://www.edgewaterco.gov/your-government/boards-commissions/planning-zoning-commission" TargetMode="External" Id="rId506" /><Relationship Type="http://schemas.openxmlformats.org/officeDocument/2006/relationships/hyperlink" Target="https://www.town.morrison.co.us/" TargetMode="External" Id="rId507" /><Relationship Type="http://schemas.openxmlformats.org/officeDocument/2006/relationships/hyperlink" Target="https://www.littletonco.gov/Building-Development/Land-Planning-Entitlement/Plans-and-Regulations/ULUC-and-Zoning-Portal" TargetMode="External" Id="rId508" /><Relationship Type="http://schemas.openxmlformats.org/officeDocument/2006/relationships/hyperlink" Target="https://www.larimer.gov/assessor/search" TargetMode="External" Id="rId509" /><Relationship Type="http://schemas.openxmlformats.org/officeDocument/2006/relationships/hyperlink" Target="https://www.larimer.gov/assessor" TargetMode="External" Id="rId510" /><Relationship Type="http://schemas.openxmlformats.org/officeDocument/2006/relationships/hyperlink" Target="https://www.larimer.gov/assessor/publicdata" TargetMode="External" Id="rId511" /><Relationship Type="http://schemas.openxmlformats.org/officeDocument/2006/relationships/hyperlink" Target="https://www.larimer.gov/bocc/property-valuation-appeals" TargetMode="External" Id="rId512" /><Relationship Type="http://schemas.openxmlformats.org/officeDocument/2006/relationships/hyperlink" Target="https://www.larimer.gov/treasurer/search" TargetMode="External" Id="rId513" /><Relationship Type="http://schemas.openxmlformats.org/officeDocument/2006/relationships/hyperlink" Target="https://www.larimer.gov/treasurer/pay" TargetMode="External" Id="rId514" /><Relationship Type="http://schemas.openxmlformats.org/officeDocument/2006/relationships/hyperlink" Target="https://www.larimer.gov/treasurer" TargetMode="External" Id="rId515" /><Relationship Type="http://schemas.openxmlformats.org/officeDocument/2006/relationships/hyperlink" Target="https://records.larimer.org/landmarkweb/" TargetMode="External" Id="rId516" /><Relationship Type="http://schemas.openxmlformats.org/officeDocument/2006/relationships/hyperlink" Target="https://www.larimer.gov/clerk" TargetMode="External" Id="rId517" /><Relationship Type="http://schemas.openxmlformats.org/officeDocument/2006/relationships/hyperlink" Target="https://www.larimer.gov/clerk/recording/docs" TargetMode="External" Id="rId518" /><Relationship Type="http://schemas.openxmlformats.org/officeDocument/2006/relationships/hyperlink" Target="https://maps1.larimer.org/gvh/?Viewer=LIL" TargetMode="External" Id="rId519" /><Relationship Type="http://schemas.openxmlformats.org/officeDocument/2006/relationships/hyperlink" Target="https://www.larimer.gov/it/gis/digital-data" TargetMode="External" Id="rId520" /><Relationship Type="http://schemas.openxmlformats.org/officeDocument/2006/relationships/hyperlink" Target="https://www.larimer.gov/it/gis" TargetMode="External" Id="rId521" /><Relationship Type="http://schemas.openxmlformats.org/officeDocument/2006/relationships/hyperlink" Target="https://www.larimer.gov/planning" TargetMode="External" Id="rId522" /><Relationship Type="http://schemas.openxmlformats.org/officeDocument/2006/relationships/hyperlink" Target="https://www.larimer.gov/planning/land-use-code" TargetMode="External" Id="rId523" /><Relationship Type="http://schemas.openxmlformats.org/officeDocument/2006/relationships/hyperlink" Target="https://www.larimer.gov/planning/zoning/districts" TargetMode="External" Id="rId524" /><Relationship Type="http://schemas.openxmlformats.org/officeDocument/2006/relationships/hyperlink" Target="https://www.larimer.gov/planning/zoning/search" TargetMode="External" Id="rId525" /><Relationship Type="http://schemas.openxmlformats.org/officeDocument/2006/relationships/hyperlink" Target="https://www.larimer.gov/engineering/floodplains-and-stormwater/floodplains" TargetMode="External" Id="rId526" /><Relationship Type="http://schemas.openxmlformats.org/officeDocument/2006/relationships/hyperlink" Target="https://msc.fema.gov/" TargetMode="External" Id="rId527" /><Relationship Type="http://schemas.openxmlformats.org/officeDocument/2006/relationships/hyperlink" Target="https://coloradohazardmapping.com/hazardMapping/floodplainMapping" TargetMode="External" Id="rId528" /><Relationship Type="http://schemas.openxmlformats.org/officeDocument/2006/relationships/hyperlink" Target="https://www.larimer.gov/ewd" TargetMode="External" Id="rId529" /><Relationship Type="http://schemas.openxmlformats.org/officeDocument/2006/relationships/hyperlink" Target="https://sbdc.colorado.gov/larimer" TargetMode="External" Id="rId530" /><Relationship Type="http://schemas.openxmlformats.org/officeDocument/2006/relationships/hyperlink" Target="https://www.psdschools.org/" TargetMode="External" Id="rId531" /><Relationship Type="http://schemas.openxmlformats.org/officeDocument/2006/relationships/hyperlink" Target="https://www.tsd.org/" TargetMode="External" Id="rId532" /><Relationship Type="http://schemas.openxmlformats.org/officeDocument/2006/relationships/hyperlink" Target="https://www.estesschools.org/" TargetMode="External" Id="rId533" /><Relationship Type="http://schemas.openxmlformats.org/officeDocument/2006/relationships/hyperlink" Target="https://dpt.colorado.gov/locality/larimer-county-assessor" TargetMode="External" Id="rId534" /><Relationship Type="http://schemas.openxmlformats.org/officeDocument/2006/relationships/hyperlink" Target="https://www.fcgov.com/planning-development-services/luc" TargetMode="External" Id="rId535" /><Relationship Type="http://schemas.openxmlformats.org/officeDocument/2006/relationships/hyperlink" Target="https://www.fcgov.com/planning/" TargetMode="External" Id="rId536" /><Relationship Type="http://schemas.openxmlformats.org/officeDocument/2006/relationships/hyperlink" Target="https://www.fcgov.com/zoning" TargetMode="External" Id="rId537" /><Relationship Type="http://schemas.openxmlformats.org/officeDocument/2006/relationships/hyperlink" Target="https://gisweb.fcgov.com/HTML5Viewer/Index.html?Viewer=FCMaps" TargetMode="External" Id="rId538" /><Relationship Type="http://schemas.openxmlformats.org/officeDocument/2006/relationships/hyperlink" Target="https://www.fcgov.com/business/" TargetMode="External" Id="rId539" /><Relationship Type="http://schemas.openxmlformats.org/officeDocument/2006/relationships/hyperlink" Target="https://fortcollinschamber.com/resources/economic-development/" TargetMode="External" Id="rId540" /><Relationship Type="http://schemas.openxmlformats.org/officeDocument/2006/relationships/hyperlink" Target="https://online.encodeplus.com/regs/loveland-co/" TargetMode="External" Id="rId541" /><Relationship Type="http://schemas.openxmlformats.org/officeDocument/2006/relationships/hyperlink" Target="https://www.lovgov.org/services/development-services/current-planning" TargetMode="External" Id="rId542" /><Relationship Type="http://schemas.openxmlformats.org/officeDocument/2006/relationships/hyperlink" Target="https://www.lovgov.org/business/view-property-information" TargetMode="External" Id="rId543" /><Relationship Type="http://schemas.openxmlformats.org/officeDocument/2006/relationships/hyperlink" Target="https://www.lovgov.org/services/public-works/stormwater/flood-management" TargetMode="External" Id="rId544" /><Relationship Type="http://schemas.openxmlformats.org/officeDocument/2006/relationships/hyperlink" Target="https://lovelandeconomicdevelopment.org/" TargetMode="External" Id="rId545" /><Relationship Type="http://schemas.openxmlformats.org/officeDocument/2006/relationships/hyperlink" Target="https://estespark.colorado.gov/developmentcode" TargetMode="External" Id="rId546" /><Relationship Type="http://schemas.openxmlformats.org/officeDocument/2006/relationships/hyperlink" Target="https://estespark.colorado.gov/planningzoning" TargetMode="External" Id="rId547" /><Relationship Type="http://schemas.openxmlformats.org/officeDocument/2006/relationships/hyperlink" Target="https://estespark.colorado.gov/maps" TargetMode="External" Id="rId548" /><Relationship Type="http://schemas.openxmlformats.org/officeDocument/2006/relationships/hyperlink" Target="https://estespark.colorado.gov/floodplains" TargetMode="External" Id="rId549" /><Relationship Type="http://schemas.openxmlformats.org/officeDocument/2006/relationships/hyperlink" Target="https://www.berthoud.org/178/Planning-Department" TargetMode="External" Id="rId550" /><Relationship Type="http://schemas.openxmlformats.org/officeDocument/2006/relationships/hyperlink" Target="https://library.municode.com/co/berthoud/codes/code_of_ordinances?nodeId=CH30BEDECO" TargetMode="External" Id="rId551" /><Relationship Type="http://schemas.openxmlformats.org/officeDocument/2006/relationships/hyperlink" Target="https://www.windsorgov.com/1229/Planning-Zoning" TargetMode="External" Id="rId552" /><Relationship Type="http://schemas.openxmlformats.org/officeDocument/2006/relationships/hyperlink" Target="https://timnath.org/planning/" TargetMode="External" Id="rId553" /><Relationship Type="http://schemas.openxmlformats.org/officeDocument/2006/relationships/hyperlink" Target="https://timnath.org/town-ordinances/" TargetMode="External" Id="rId554" /><Relationship Type="http://schemas.openxmlformats.org/officeDocument/2006/relationships/hyperlink" Target="https://www.wellingtoncolorado.gov/150/Departments" TargetMode="External" Id="rId555" /><Relationship Type="http://schemas.openxmlformats.org/officeDocument/2006/relationships/hyperlink" Target="https://www.wellingtoncolorado.gov/160/Planning-Commission" TargetMode="External" Id="rId556" /><Relationship Type="http://schemas.openxmlformats.org/officeDocument/2006/relationships/table" Target="/xl/tables/table1.xml" Id="rId557" /></Relationships>
</file>

<file path=xl/worksheets/sheet1.xml><?xml version="1.0" encoding="utf-8"?>
<worksheet xmlns="http://schemas.openxmlformats.org/spreadsheetml/2006/main">
  <sheetPr>
    <outlinePr summaryBelow="1" summaryRight="1"/>
    <pageSetUpPr/>
  </sheetPr>
  <dimension ref="A1:E39"/>
  <sheetViews>
    <sheetView showGridLines="0" workbookViewId="0">
      <selection activeCell="A1" sqref="A1"/>
    </sheetView>
  </sheetViews>
  <sheetFormatPr baseColWidth="8" defaultRowHeight="15"/>
  <cols>
    <col width="32" customWidth="1" style="1439" min="1" max="1"/>
    <col width="35" customWidth="1" style="1439" min="2" max="2"/>
    <col width="18" customWidth="1" style="1439" min="3" max="3"/>
    <col width="18" customWidth="1" style="1439" min="4" max="4"/>
    <col width="14" customWidth="1" style="1439" min="5" max="5"/>
  </cols>
  <sheetData>
    <row r="1" ht="32" customHeight="1" s="1439">
      <c r="A1" s="2279" t="inlineStr">
        <is>
          <t>APPRAISAL ANALYSIS DASHBOARD</t>
        </is>
      </c>
    </row>
    <row r="2" ht="22" customHeight="1" s="1439">
      <c r="A2" s="2280" t="inlineStr">
        <is>
          <t>Adams County Assessor — Industrial Property Analysis</t>
        </is>
      </c>
    </row>
    <row r="3" ht="18" customHeight="1" s="1439">
      <c r="A3" s="2281" t="inlineStr">
        <is>
          <t>PROPERTY QUICK REFERENCE</t>
        </is>
      </c>
    </row>
    <row r="4" ht="18" customHeight="1" s="1439">
      <c r="A4" s="2282" t="inlineStr">
        <is>
          <t>Property Address</t>
        </is>
      </c>
      <c r="B4" s="2283">
        <f>'Property Info'!B4</f>
        <v/>
      </c>
      <c r="C4" s="2284" t="n"/>
    </row>
    <row r="5" ht="18" customHeight="1" s="1439">
      <c r="A5" s="2282" t="inlineStr">
        <is>
          <t>City / County</t>
        </is>
      </c>
      <c r="B5" s="2283">
        <f>'Property Info'!B5&amp;"  |  "&amp;'Property Info'!B6</f>
        <v/>
      </c>
      <c r="C5" s="2284" t="n"/>
    </row>
    <row r="6" ht="18" customHeight="1" s="1439">
      <c r="A6" s="2282" t="inlineStr">
        <is>
          <t>Parcel #</t>
        </is>
      </c>
      <c r="B6" s="2283">
        <f>'Property Info'!B38</f>
        <v/>
      </c>
      <c r="C6" s="2284" t="n"/>
    </row>
    <row r="7" ht="18" customHeight="1" s="1439">
      <c r="A7" s="2282" t="inlineStr">
        <is>
          <t>Appraisal Date</t>
        </is>
      </c>
      <c r="B7" s="2283">
        <f>'Property Info'!B2</f>
        <v/>
      </c>
      <c r="C7" s="2284" t="n"/>
    </row>
    <row r="8" ht="18" customHeight="1" s="1439">
      <c r="A8" s="2282" t="inlineStr">
        <is>
          <t>Land Area</t>
        </is>
      </c>
      <c r="B8" s="2283">
        <f>TEXT('Property Info'!B11,"#,##0")&amp;" SF  ("&amp;TEXT('Property Info'!B12,"0.00")&amp;" AC)"</f>
        <v/>
      </c>
      <c r="C8" s="2284" t="n"/>
    </row>
    <row r="9" ht="18" customHeight="1" s="1439">
      <c r="A9" s="2282" t="inlineStr">
        <is>
          <t>Bldg Size (GBA)</t>
        </is>
      </c>
      <c r="B9" s="2283">
        <f>TEXT('Property Info'!B45,"#,##0")&amp;" SF"</f>
        <v/>
      </c>
      <c r="C9" s="2284" t="n"/>
    </row>
    <row r="10" ht="18" customHeight="1" s="1439">
      <c r="A10" s="2282" t="inlineStr">
        <is>
          <t>Year Built</t>
        </is>
      </c>
      <c r="B10" s="2283">
        <f>TEXT('Property Info'!B43,"0")</f>
        <v/>
      </c>
      <c r="C10" s="2284" t="n"/>
    </row>
    <row r="11" ht="18" customHeight="1" s="1439">
      <c r="A11" s="2282" t="inlineStr">
        <is>
          <t>Quality / Class</t>
        </is>
      </c>
      <c r="B11" s="2283">
        <f>'Property Info'!B40&amp;" / Class "&amp;'Property Info'!B41</f>
        <v/>
      </c>
      <c r="C11" s="2284" t="n"/>
    </row>
    <row r="13" ht="18" customHeight="1" s="1439">
      <c r="A13" s="2281" t="inlineStr">
        <is>
          <t>VALUE SUMMARY</t>
        </is>
      </c>
    </row>
    <row r="14" ht="18" customHeight="1" s="1439">
      <c r="A14" s="2282" t="inlineStr">
        <is>
          <t>Cost Approach</t>
        </is>
      </c>
      <c r="B14" s="2285">
        <f>'Cost Approach'!D33</f>
        <v/>
      </c>
      <c r="C14" s="2284" t="n"/>
    </row>
    <row r="15" ht="18" customHeight="1" s="1439">
      <c r="A15" s="2282" t="inlineStr">
        <is>
          <t>Sales Comparison</t>
        </is>
      </c>
      <c r="B15" s="2285">
        <f>'Basic Sales Grid'!D4</f>
        <v/>
      </c>
      <c r="C15" s="2284" t="n"/>
    </row>
    <row r="16" ht="18" customHeight="1" s="1439">
      <c r="A16" s="2282" t="inlineStr">
        <is>
          <t>Income Approach</t>
        </is>
      </c>
      <c r="B16" s="2285">
        <f>'Income Approach'!D37</f>
        <v/>
      </c>
      <c r="C16" s="2284" t="n"/>
    </row>
    <row r="17" ht="18" customHeight="1" s="1439">
      <c r="A17" s="2282" t="inlineStr">
        <is>
          <t>Assessed Value (Total)</t>
        </is>
      </c>
      <c r="B17" s="2285">
        <f>'Property Info'!B62</f>
        <v/>
      </c>
      <c r="C17" s="2284" t="n"/>
    </row>
    <row r="18" ht="18" customHeight="1" s="1439">
      <c r="A18" s="2282" t="inlineStr">
        <is>
          <t>Annual Taxes</t>
        </is>
      </c>
      <c r="B18" s="2285">
        <f>'Property Info'!B65</f>
        <v/>
      </c>
      <c r="C18" s="2284" t="n"/>
    </row>
    <row r="20" ht="18" customHeight="1" s="1439">
      <c r="A20" s="2286" t="inlineStr">
        <is>
          <t>COMPLETION TRACKER</t>
        </is>
      </c>
    </row>
    <row r="21">
      <c r="A21" s="2287" t="inlineStr">
        <is>
          <t>Section</t>
        </is>
      </c>
      <c r="B21" s="2287" t="inlineStr">
        <is>
          <t>Key Field / Check</t>
        </is>
      </c>
      <c r="C21" s="2287" t="inlineStr">
        <is>
          <t>Status</t>
        </is>
      </c>
      <c r="D21" s="2287" t="inlineStr">
        <is>
          <t>Tab</t>
        </is>
      </c>
      <c r="E21" s="2287" t="inlineStr">
        <is>
          <t>Notes</t>
        </is>
      </c>
    </row>
    <row r="22" ht="18" customHeight="1" s="1439">
      <c r="A22" s="2288" t="inlineStr">
        <is>
          <t>Property Info</t>
        </is>
      </c>
      <c r="B22" s="2289" t="inlineStr">
        <is>
          <t>Address / Parcel entered</t>
        </is>
      </c>
      <c r="C22" s="2290">
        <f>IF(ISBLANK('Property Info'!B4)|ISERROR('Property Info'!B4)|('Property Info'!B4=""),"⬜","✅")</f>
        <v/>
      </c>
      <c r="D22" s="2291" t="inlineStr">
        <is>
          <t>Property Info</t>
        </is>
      </c>
      <c r="E22" s="2291" t="inlineStr"/>
    </row>
    <row r="23" ht="18" customHeight="1" s="1439">
      <c r="A23" s="2288" t="inlineStr">
        <is>
          <t>Property Info</t>
        </is>
      </c>
      <c r="B23" s="2289" t="inlineStr">
        <is>
          <t>Appraisal Date set</t>
        </is>
      </c>
      <c r="C23" s="2290">
        <f>IF(ISBLANK('Property Info'!B2)|ISERROR('Property Info'!B2)|('Property Info'!B2=""),"⬜","✅")</f>
        <v/>
      </c>
      <c r="D23" s="2291" t="inlineStr">
        <is>
          <t>Property Info</t>
        </is>
      </c>
      <c r="E23" s="2291" t="inlineStr"/>
    </row>
    <row r="24" ht="18" customHeight="1" s="1439">
      <c r="A24" s="2288" t="inlineStr">
        <is>
          <t>Property Info</t>
        </is>
      </c>
      <c r="B24" s="2289" t="inlineStr">
        <is>
          <t>Land area entered</t>
        </is>
      </c>
      <c r="C24" s="2290">
        <f>IF(ISBLANK('Property Info'!B11)|ISERROR('Property Info'!B11)|('Property Info'!B11=""),"⬜","✅")</f>
        <v/>
      </c>
      <c r="D24" s="2291" t="inlineStr">
        <is>
          <t>Property Info</t>
        </is>
      </c>
      <c r="E24" s="2291" t="inlineStr">
        <is>
          <t>SF</t>
        </is>
      </c>
    </row>
    <row r="25" ht="18" customHeight="1" s="1439">
      <c r="A25" s="2288" t="inlineStr">
        <is>
          <t>Property Info</t>
        </is>
      </c>
      <c r="B25" s="2289" t="inlineStr">
        <is>
          <t>Building size entered</t>
        </is>
      </c>
      <c r="C25" s="2290">
        <f>IF(ISBLANK('Property Info'!B45)|ISERROR('Property Info'!B45)|('Property Info'!B45=""),"⬜","✅")</f>
        <v/>
      </c>
      <c r="D25" s="2291" t="inlineStr">
        <is>
          <t>Property Info</t>
        </is>
      </c>
      <c r="E25" s="2291" t="inlineStr">
        <is>
          <t>GBA SF</t>
        </is>
      </c>
    </row>
    <row r="26" ht="18" customHeight="1" s="1439">
      <c r="A26" s="2288" t="inlineStr">
        <is>
          <t>Property Info</t>
        </is>
      </c>
      <c r="B26" s="2289" t="inlineStr">
        <is>
          <t>Year built entered</t>
        </is>
      </c>
      <c r="C26" s="2290">
        <f>IF(ISBLANK('Property Info'!B43)|ISERROR('Property Info'!B43)|('Property Info'!B43=""),"⬜","✅")</f>
        <v/>
      </c>
      <c r="D26" s="2291" t="inlineStr">
        <is>
          <t>Property Info</t>
        </is>
      </c>
      <c r="E26" s="2291" t="inlineStr"/>
    </row>
    <row r="27" ht="18" customHeight="1" s="1439">
      <c r="A27" s="2288" t="inlineStr">
        <is>
          <t>Property Info</t>
        </is>
      </c>
      <c r="B27" s="2289" t="inlineStr">
        <is>
          <t>Owner name entered</t>
        </is>
      </c>
      <c r="C27" s="2290">
        <f>IF(ISBLANK('Property Info'!B33)|ISERROR('Property Info'!B33)|('Property Info'!B33=""),"⬜","✅")</f>
        <v/>
      </c>
      <c r="D27" s="2291" t="inlineStr">
        <is>
          <t>Property Info</t>
        </is>
      </c>
      <c r="E27" s="2291" t="inlineStr"/>
    </row>
    <row r="28" ht="18" customHeight="1" s="1439">
      <c r="A28" s="2288" t="inlineStr">
        <is>
          <t>Property Info</t>
        </is>
      </c>
      <c r="B28" s="2289" t="inlineStr">
        <is>
          <t>Assessed values entered</t>
        </is>
      </c>
      <c r="C28" s="2290">
        <f>IF(ISBLANK('Property Info'!B62)|ISERROR('Property Info'!B62)|('Property Info'!B62=""),"⬜","✅")</f>
        <v/>
      </c>
      <c r="D28" s="2291" t="inlineStr">
        <is>
          <t>Property Info</t>
        </is>
      </c>
      <c r="E28" s="2291" t="inlineStr">
        <is>
          <t>Total AV</t>
        </is>
      </c>
    </row>
    <row r="29" ht="18" customHeight="1" s="1439">
      <c r="A29" s="2288" t="inlineStr">
        <is>
          <t>Land Sales</t>
        </is>
      </c>
      <c r="B29" s="2289" t="inlineStr">
        <is>
          <t>Comps entered</t>
        </is>
      </c>
      <c r="C29" s="2290">
        <f>IF(ISBLANK('Land Sales'!C3)|ISERROR('Land Sales'!C3)|('Land Sales'!C3=""),"⬜","✅")</f>
        <v/>
      </c>
      <c r="D29" s="2291" t="inlineStr">
        <is>
          <t>Land Sales</t>
        </is>
      </c>
      <c r="E29" s="2291" t="inlineStr"/>
    </row>
    <row r="30" ht="18" customHeight="1" s="1439">
      <c r="A30" s="2288" t="inlineStr">
        <is>
          <t>Basic Sales Grid</t>
        </is>
      </c>
      <c r="B30" s="2289" t="inlineStr">
        <is>
          <t>Comps entered</t>
        </is>
      </c>
      <c r="C30" s="2290">
        <f>IF(ISBLANK('Basic Sales Grid'!E6)|ISERROR('Basic Sales Grid'!E6)|('Basic Sales Grid'!E6=""),"⬜","✅")</f>
        <v/>
      </c>
      <c r="D30" s="2291" t="inlineStr">
        <is>
          <t>Basic Sales Grid</t>
        </is>
      </c>
      <c r="E30" s="2291" t="inlineStr"/>
    </row>
    <row r="31" ht="18" customHeight="1" s="1439">
      <c r="A31" s="2288" t="inlineStr">
        <is>
          <t>Income Approach</t>
        </is>
      </c>
      <c r="B31" s="2289" t="inlineStr">
        <is>
          <t>Market rent entered</t>
        </is>
      </c>
      <c r="C31" s="2290">
        <f>IF(ISBLANK('Income Approach'!D8)|ISERROR('Income Approach'!D8)|('Income Approach'!D8=""),"⬜","✅")</f>
        <v/>
      </c>
      <c r="D31" s="2291" t="inlineStr">
        <is>
          <t>Income Approach</t>
        </is>
      </c>
      <c r="E31" s="2291" t="inlineStr"/>
    </row>
    <row r="32" ht="18" customHeight="1" s="1439">
      <c r="A32" s="2288" t="inlineStr">
        <is>
          <t>Income Approach</t>
        </is>
      </c>
      <c r="B32" s="2289" t="inlineStr">
        <is>
          <t>Cap rate entered</t>
        </is>
      </c>
      <c r="C32" s="2290">
        <f>IF(ISBLANK('Income Approach'!D27)|ISERROR('Income Approach'!D27)|('Income Approach'!D27=""),"⬜","✅")</f>
        <v/>
      </c>
      <c r="D32" s="2291" t="inlineStr">
        <is>
          <t>Income Approach</t>
        </is>
      </c>
      <c r="E32" s="2291" t="inlineStr"/>
    </row>
    <row r="33" ht="18" customHeight="1" s="1439">
      <c r="A33" s="2288" t="inlineStr">
        <is>
          <t>Cost Approach</t>
        </is>
      </c>
      <c r="B33" s="2289" t="inlineStr">
        <is>
          <t>RCN entered</t>
        </is>
      </c>
      <c r="C33" s="2290">
        <f>IF(ISBLANK('Cost Approach'!D10)|ISERROR('Cost Approach'!D10)|('Cost Approach'!D10=""),"⬜","✅")</f>
        <v/>
      </c>
      <c r="D33" s="2291" t="inlineStr">
        <is>
          <t>Cost Approach</t>
        </is>
      </c>
      <c r="E33" s="2291" t="inlineStr"/>
    </row>
    <row r="34" ht="18" customHeight="1" s="1439">
      <c r="A34" s="2288" t="inlineStr">
        <is>
          <t>H&amp;BU</t>
        </is>
      </c>
      <c r="B34" s="2289" t="inlineStr">
        <is>
          <t>As Vacant narrative reviewed</t>
        </is>
      </c>
      <c r="C34" s="2290">
        <f>IF(ISBLANK('H&amp;BU'!F7)|ISERROR('H&amp;BU'!F7)|('H&amp;BU'!F7=""),"⬜","✅")</f>
        <v/>
      </c>
      <c r="D34" s="2291" t="inlineStr">
        <is>
          <t>H&amp;BU</t>
        </is>
      </c>
      <c r="E34" s="2291" t="inlineStr">
        <is>
          <t>Check col F</t>
        </is>
      </c>
    </row>
    <row r="35" ht="18" customHeight="1" s="1439">
      <c r="A35" s="2288" t="inlineStr">
        <is>
          <t>H&amp;BU</t>
        </is>
      </c>
      <c r="B35" s="2289" t="inlineStr">
        <is>
          <t>As Improved narrative reviewed</t>
        </is>
      </c>
      <c r="C35" s="2290">
        <f>IF(ISBLANK('H&amp;BU'!F15)|ISERROR('H&amp;BU'!F15)|('H&amp;BU'!F15=""),"⬜","✅")</f>
        <v/>
      </c>
      <c r="D35" s="2291" t="inlineStr">
        <is>
          <t>H&amp;BU</t>
        </is>
      </c>
      <c r="E35" s="2291" t="inlineStr">
        <is>
          <t>Check col F</t>
        </is>
      </c>
    </row>
    <row r="36" ht="18" customHeight="1" s="1439">
      <c r="A36" s="2288" t="inlineStr">
        <is>
          <t>Word Export Prep</t>
        </is>
      </c>
      <c r="B36" s="2289" t="inlineStr">
        <is>
          <t>Final value conclusion entered</t>
        </is>
      </c>
      <c r="C36" s="2290">
        <f>IF(ISBLANK('Word Export Prep'!B50)|ISERROR('Word Export Prep'!B50)|('Word Export Prep'!B50=""),"⬜","✅")</f>
        <v/>
      </c>
      <c r="D36" s="2291" t="inlineStr">
        <is>
          <t>Word Export Prep</t>
        </is>
      </c>
      <c r="E36" s="2291" t="inlineStr">
        <is>
          <t>Manual</t>
        </is>
      </c>
    </row>
    <row r="38">
      <c r="A38" s="2292" t="inlineStr">
        <is>
          <t>Completed Items:</t>
        </is>
      </c>
      <c r="C38" s="2293">
        <f>COUNTIF(C22:C36,"✅")</f>
        <v/>
      </c>
    </row>
    <row r="39">
      <c r="A39" s="2292" t="inlineStr">
        <is>
          <t>% Complete:</t>
        </is>
      </c>
      <c r="C39" s="2294">
        <f>COUNTIF(C22:C36,"✅")/15</f>
        <v/>
      </c>
    </row>
  </sheetData>
  <mergeCells count="20">
    <mergeCell ref="B16:C16"/>
    <mergeCell ref="B7:C7"/>
    <mergeCell ref="A1:E1"/>
    <mergeCell ref="B18:C18"/>
    <mergeCell ref="B11:C11"/>
    <mergeCell ref="B14:C14"/>
    <mergeCell ref="B17:C17"/>
    <mergeCell ref="B8:C8"/>
    <mergeCell ref="A3:E3"/>
    <mergeCell ref="A2:E2"/>
    <mergeCell ref="B10:C10"/>
    <mergeCell ref="B9:C9"/>
    <mergeCell ref="B6:C6"/>
    <mergeCell ref="A38:B38"/>
    <mergeCell ref="B15:C15"/>
    <mergeCell ref="A20:E20"/>
    <mergeCell ref="B5:C5"/>
    <mergeCell ref="A13:E13"/>
    <mergeCell ref="B4:C4"/>
    <mergeCell ref="A39:B39"/>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5"/>
  <sheetViews>
    <sheetView topLeftCell="A3" zoomScale="120" zoomScaleNormal="120" workbookViewId="0">
      <selection activeCell="F31" sqref="F31"/>
    </sheetView>
  </sheetViews>
  <sheetFormatPr baseColWidth="8" defaultRowHeight="15"/>
  <cols>
    <col width="32" bestFit="1" customWidth="1" style="1439" min="1" max="1"/>
    <col width="26" bestFit="1" customWidth="1" style="1439" min="2" max="2"/>
    <col width="17.140625" customWidth="1" style="1439" min="3" max="3"/>
    <col width="18.28515625" customWidth="1" style="1439" min="6" max="6"/>
    <col width="32.42578125" bestFit="1" customWidth="1" style="1439" min="7" max="7"/>
  </cols>
  <sheetData>
    <row r="1">
      <c r="A1" t="inlineStr">
        <is>
          <t>Account</t>
        </is>
      </c>
      <c r="B1" s="1136" t="inlineStr">
        <is>
          <t>R0118932</t>
        </is>
      </c>
      <c r="E1" s="1236" t="n"/>
      <c r="F1" s="1237" t="n"/>
      <c r="G1" s="1246" t="inlineStr">
        <is>
          <t>Fill in Highlighted Fields</t>
        </is>
      </c>
    </row>
    <row r="2" ht="15.75" customHeight="1" s="1439" thickBot="1">
      <c r="A2" t="inlineStr">
        <is>
          <t>Occ. Code</t>
        </is>
      </c>
      <c r="B2" s="1137" t="n">
        <v>407</v>
      </c>
      <c r="E2" s="1239" t="n"/>
      <c r="F2" s="362" t="n"/>
      <c r="G2" s="1234" t="inlineStr">
        <is>
          <t>DO NOT UPDATE CELLS IN THIS BOX</t>
        </is>
      </c>
    </row>
    <row r="3">
      <c r="A3" t="inlineStr">
        <is>
          <t>Number of Buildings</t>
        </is>
      </c>
      <c r="B3" s="1137" t="n">
        <v>1</v>
      </c>
      <c r="E3" s="1239" t="n"/>
      <c r="F3" s="362" t="n"/>
      <c r="G3" s="1241" t="n"/>
    </row>
    <row r="4">
      <c r="A4" t="inlineStr">
        <is>
          <t>GBA</t>
        </is>
      </c>
      <c r="B4" s="1138" t="n">
        <v>187720</v>
      </c>
      <c r="E4" s="1239" t="n"/>
      <c r="F4" s="362" t="n"/>
      <c r="G4" s="1242" t="n"/>
    </row>
    <row r="5">
      <c r="A5" t="inlineStr">
        <is>
          <t>Footprint</t>
        </is>
      </c>
      <c r="B5" s="1138" t="n">
        <v>33950</v>
      </c>
      <c r="E5" s="1239" t="n"/>
      <c r="F5" s="362" t="n"/>
      <c r="G5" s="1242" t="n"/>
    </row>
    <row r="6">
      <c r="A6" t="inlineStr">
        <is>
          <t>NRA</t>
        </is>
      </c>
      <c r="B6" s="1138" t="n">
        <v>33750</v>
      </c>
      <c r="E6" s="1239" t="n"/>
      <c r="F6" s="362" t="n"/>
      <c r="G6" s="1242" t="n"/>
    </row>
    <row r="7">
      <c r="A7" t="inlineStr">
        <is>
          <t>SF Basis</t>
        </is>
      </c>
      <c r="B7" s="1138" t="inlineStr">
        <is>
          <t>GBA</t>
        </is>
      </c>
      <c r="C7" t="inlineStr">
        <is>
          <t>←Dropdown</t>
        </is>
      </c>
      <c r="E7" s="1239" t="inlineStr">
        <is>
          <t>GBA</t>
        </is>
      </c>
      <c r="F7" s="362" t="inlineStr">
        <is>
          <t>Gross Building Area</t>
        </is>
      </c>
      <c r="G7" s="1242" t="n"/>
    </row>
    <row r="8">
      <c r="A8" t="inlineStr">
        <is>
          <t>Year Built</t>
        </is>
      </c>
      <c r="B8" s="1136" t="n">
        <v>1999</v>
      </c>
      <c r="E8" s="1239" t="inlineStr">
        <is>
          <t>NRA</t>
        </is>
      </c>
      <c r="F8" s="362" t="inlineStr">
        <is>
          <t>Net Renatable Area</t>
        </is>
      </c>
      <c r="G8" s="1242" t="n"/>
    </row>
    <row r="9">
      <c r="A9" t="inlineStr">
        <is>
          <t>Condition</t>
        </is>
      </c>
      <c r="B9" s="1136" t="inlineStr">
        <is>
          <t>Average</t>
        </is>
      </c>
      <c r="E9" s="1239" t="inlineStr">
        <is>
          <t>GLA</t>
        </is>
      </c>
      <c r="F9" s="362" t="inlineStr">
        <is>
          <t>Gross Leasable Area</t>
        </is>
      </c>
      <c r="G9" s="1242" t="n"/>
    </row>
    <row r="10">
      <c r="A10" t="inlineStr">
        <is>
          <t>Year/Condition</t>
        </is>
      </c>
      <c r="B10" s="1139" t="inlineStr">
        <is>
          <t>1999/Average</t>
        </is>
      </c>
      <c r="E10" s="1239" t="n"/>
      <c r="F10" s="362" t="n"/>
      <c r="G10" s="1242" t="n"/>
    </row>
    <row r="11">
      <c r="A11" t="inlineStr">
        <is>
          <t>Site Size</t>
        </is>
      </c>
      <c r="B11" s="1138" t="n">
        <v>108316</v>
      </c>
      <c r="E11" s="1239" t="n"/>
      <c r="F11" s="362" t="n"/>
      <c r="G11" s="1242" t="n"/>
    </row>
    <row r="12" ht="15.75" customHeight="1" s="1439" thickBot="1">
      <c r="A12" t="inlineStr">
        <is>
          <t>Acres</t>
        </is>
      </c>
      <c r="B12" s="732">
        <f>B11/43560</f>
        <v/>
      </c>
      <c r="E12" s="1243" t="n"/>
      <c r="F12" s="1244" t="n"/>
      <c r="G12" s="1245" t="n"/>
    </row>
    <row r="13">
      <c r="A13" t="inlineStr">
        <is>
          <t>Coverage Ratio</t>
        </is>
      </c>
      <c r="B13" s="733">
        <f>B5/B11</f>
        <v/>
      </c>
      <c r="E13" s="1550" t="n"/>
      <c r="F13" s="1550" t="n"/>
      <c r="G13" s="1550" t="n"/>
    </row>
    <row r="14">
      <c r="A14" t="inlineStr">
        <is>
          <t>Office %</t>
        </is>
      </c>
      <c r="B14" s="1141" t="n">
        <v>0.052</v>
      </c>
      <c r="E14" s="1550" t="n"/>
      <c r="F14" s="1550" t="n"/>
      <c r="G14" s="1550" t="n"/>
    </row>
    <row r="15">
      <c r="A15" t="inlineStr">
        <is>
          <t>Type</t>
        </is>
      </c>
      <c r="B15" s="1136" t="inlineStr">
        <is>
          <t>Distribution Warehouse</t>
        </is>
      </c>
      <c r="E15" s="1550" t="n"/>
      <c r="F15" s="1550" t="n"/>
      <c r="G15" s="1550" t="n"/>
    </row>
    <row r="16">
      <c r="A16" t="inlineStr">
        <is>
          <t>Address</t>
        </is>
      </c>
      <c r="B16" s="1136" t="inlineStr">
        <is>
          <t>6245  Washington Street</t>
        </is>
      </c>
      <c r="E16" s="1550" t="n"/>
      <c r="F16" s="1550" t="n"/>
      <c r="G16" s="1550" t="n"/>
    </row>
    <row r="17">
      <c r="A17" t="inlineStr">
        <is>
          <t>City</t>
        </is>
      </c>
      <c r="B17" s="1136" t="inlineStr">
        <is>
          <t>Unincorporated Adams County, CO</t>
        </is>
      </c>
      <c r="E17" s="1550" t="n"/>
      <c r="F17" s="1550" t="n"/>
      <c r="G17" s="1550" t="n"/>
    </row>
    <row r="18">
      <c r="A18" t="inlineStr">
        <is>
          <t>County</t>
        </is>
      </c>
      <c r="B18" s="465" t="inlineStr">
        <is>
          <t>Adams County</t>
        </is>
      </c>
      <c r="E18" s="1550" t="n"/>
      <c r="F18" s="1550" t="n"/>
      <c r="G18" s="1550" t="n"/>
    </row>
    <row r="19">
      <c r="A19" t="inlineStr">
        <is>
          <t>Assumed Occupancy</t>
        </is>
      </c>
      <c r="B19" s="1141" t="n">
        <v>1</v>
      </c>
      <c r="E19" s="1550" t="n"/>
      <c r="F19" s="1550" t="n"/>
      <c r="G19" s="1550" t="n"/>
    </row>
    <row r="20">
      <c r="A20" t="inlineStr">
        <is>
          <t>Assessor's Assigned Value</t>
        </is>
      </c>
      <c r="B20" s="1690" t="n">
        <v>3916200</v>
      </c>
      <c r="C20" s="1691" t="n"/>
      <c r="D20" s="1692" t="n"/>
      <c r="E20" s="1247" t="n"/>
      <c r="F20" s="1550" t="n"/>
      <c r="G20" s="1550" t="n"/>
    </row>
    <row r="21">
      <c r="A21" t="inlineStr">
        <is>
          <t>Petitioner's Value</t>
        </is>
      </c>
      <c r="B21" s="1690" t="n">
        <v>3060000</v>
      </c>
      <c r="C21" s="1691" t="n"/>
      <c r="E21" s="1550" t="n"/>
      <c r="F21" s="1550" t="n"/>
      <c r="G21" s="1550" t="n"/>
    </row>
    <row r="22">
      <c r="A22" t="inlineStr">
        <is>
          <t>Recent Sale Date</t>
        </is>
      </c>
      <c r="B22" s="1143" t="n">
        <v>42675</v>
      </c>
      <c r="E22" s="1550" t="n"/>
      <c r="F22" s="1550" t="n"/>
      <c r="G22" s="1550" t="n"/>
    </row>
    <row r="23">
      <c r="A23" t="inlineStr">
        <is>
          <t>Recent Sale Price</t>
        </is>
      </c>
      <c r="B23" s="1690" t="n">
        <v>2880000</v>
      </c>
      <c r="C23" s="1691" t="n"/>
      <c r="E23" s="1550" t="n"/>
      <c r="F23" s="1550" t="n"/>
      <c r="G23" s="1550" t="n"/>
    </row>
    <row r="24">
      <c r="A24" t="inlineStr">
        <is>
          <t>Sale Type</t>
        </is>
      </c>
      <c r="B24" s="1136" t="inlineStr">
        <is>
          <t>Investment</t>
        </is>
      </c>
      <c r="E24" s="1550" t="n"/>
      <c r="F24" s="1550" t="n"/>
      <c r="G24" s="1550" t="n"/>
    </row>
    <row r="25">
      <c r="A25" t="inlineStr">
        <is>
          <t>Value Premise</t>
        </is>
      </c>
      <c r="B25" s="1693" t="inlineStr">
        <is>
          <t>Fee Simple</t>
        </is>
      </c>
      <c r="E25" s="1550" t="n"/>
      <c r="F25" s="1550" t="n"/>
      <c r="G25" s="1550" t="n"/>
    </row>
    <row r="26">
      <c r="A26" t="inlineStr">
        <is>
          <t>Date of Value</t>
        </is>
      </c>
      <c r="B26" s="1143" t="n">
        <v>44012</v>
      </c>
    </row>
    <row r="27">
      <c r="A27" t="inlineStr">
        <is>
          <t>Report Date</t>
        </is>
      </c>
      <c r="B27" s="1143" t="n">
        <v>45127</v>
      </c>
    </row>
    <row r="28">
      <c r="A28" t="inlineStr">
        <is>
          <t>Hearing Date</t>
        </is>
      </c>
      <c r="B28" s="1144" t="n">
        <v>45192</v>
      </c>
    </row>
    <row r="29">
      <c r="A29" t="inlineStr">
        <is>
          <t>Zoning</t>
        </is>
      </c>
      <c r="B29" s="1140" t="inlineStr">
        <is>
          <t>I-1 (Light Industrial)</t>
        </is>
      </c>
    </row>
    <row r="30">
      <c r="A30" t="inlineStr">
        <is>
          <t>Zoning Authority</t>
        </is>
      </c>
      <c r="B30" s="1140" t="inlineStr">
        <is>
          <t>Adams County</t>
        </is>
      </c>
    </row>
    <row r="32" ht="20" customHeight="1" s="1439">
      <c r="A32" s="2295" t="inlineStr">
        <is>
          <t>OWNER &amp; LEGAL INFORMATION</t>
        </is>
      </c>
    </row>
    <row r="33" ht="18" customHeight="1" s="1439">
      <c r="A33" s="2296" t="inlineStr">
        <is>
          <t>Owner Name</t>
        </is>
      </c>
      <c r="B33" s="2297" t="n"/>
      <c r="C33" s="2298" t="n"/>
      <c r="D33" s="2284" t="n"/>
    </row>
    <row r="34" ht="18" customHeight="1" s="1439">
      <c r="A34" s="2296" t="inlineStr">
        <is>
          <t>Owner Address</t>
        </is>
      </c>
      <c r="B34" s="2297" t="n"/>
      <c r="C34" s="2298" t="n"/>
      <c r="D34" s="2284" t="n"/>
    </row>
    <row r="35" ht="18" customHeight="1" s="1439">
      <c r="A35" s="2296" t="inlineStr">
        <is>
          <t>Owner City/State/Zip</t>
        </is>
      </c>
      <c r="B35" s="2297" t="n"/>
      <c r="C35" s="2298" t="n"/>
      <c r="D35" s="2284" t="n"/>
    </row>
    <row r="36" ht="18" customHeight="1" s="1439">
      <c r="A36" s="2296" t="inlineStr">
        <is>
          <t>Legal Description</t>
        </is>
      </c>
      <c r="B36" s="2297" t="n"/>
      <c r="C36" s="2298" t="n"/>
      <c r="D36" s="2284" t="n"/>
    </row>
    <row r="37" ht="18" customHeight="1" s="1439">
      <c r="A37" s="2296" t="inlineStr">
        <is>
          <t>Subdivision / Plat</t>
        </is>
      </c>
      <c r="B37" s="2297" t="n"/>
      <c r="C37" s="2298" t="n"/>
      <c r="D37" s="2284" t="n"/>
    </row>
    <row r="38" ht="18" customHeight="1" s="1439">
      <c r="A38" s="2296" t="inlineStr">
        <is>
          <t>Parcel / Schedule #</t>
        </is>
      </c>
      <c r="B38" s="2297" t="n"/>
      <c r="C38" s="2298" t="n"/>
      <c r="D38" s="2284" t="n"/>
    </row>
    <row r="39" ht="20" customHeight="1" s="1439">
      <c r="A39" s="2295" t="inlineStr">
        <is>
          <t>BUILDING DETAILS  (from RealWare)</t>
        </is>
      </c>
    </row>
    <row r="40" ht="18" customHeight="1" s="1439">
      <c r="A40" s="2296" t="inlineStr">
        <is>
          <t>Quality Class</t>
        </is>
      </c>
      <c r="B40" s="2297" t="n"/>
      <c r="C40" s="2298" t="n"/>
      <c r="D40" s="2284" t="n"/>
    </row>
    <row r="41" ht="18" customHeight="1" s="1439">
      <c r="A41" s="2296" t="inlineStr">
        <is>
          <t>Construction Class</t>
        </is>
      </c>
      <c r="B41" s="2297" t="n"/>
      <c r="C41" s="2298" t="n"/>
      <c r="D41" s="2284" t="n"/>
    </row>
    <row r="42" ht="18" customHeight="1" s="1439">
      <c r="A42" s="2296" t="inlineStr">
        <is>
          <t>Number of Stories</t>
        </is>
      </c>
      <c r="B42" s="2297" t="n"/>
      <c r="C42" s="2298" t="n"/>
      <c r="D42" s="2284" t="n"/>
    </row>
    <row r="43" ht="18" customHeight="1" s="1439">
      <c r="A43" s="2296" t="inlineStr">
        <is>
          <t>Year Built</t>
        </is>
      </c>
      <c r="B43" s="2297" t="n"/>
      <c r="C43" s="2298" t="n"/>
      <c r="D43" s="2284" t="n"/>
    </row>
    <row r="44" ht="18" customHeight="1" s="1439">
      <c r="A44" s="2296" t="inlineStr">
        <is>
          <t>Effective Year Built</t>
        </is>
      </c>
      <c r="B44" s="2297" t="n"/>
      <c r="C44" s="2298" t="n"/>
      <c r="D44" s="2284" t="n"/>
    </row>
    <row r="45" ht="18" customHeight="1" s="1439">
      <c r="A45" s="2296" t="inlineStr">
        <is>
          <t>Gross Building Area (SF)</t>
        </is>
      </c>
      <c r="B45" s="2297" t="n"/>
      <c r="C45" s="2298" t="n"/>
      <c r="D45" s="2284" t="n"/>
    </row>
    <row r="46" ht="18" customHeight="1" s="1439">
      <c r="A46" s="2296" t="inlineStr">
        <is>
          <t>Net Rentable Area (SF)</t>
        </is>
      </c>
      <c r="B46" s="2297" t="n"/>
      <c r="C46" s="2298" t="n"/>
      <c r="D46" s="2284" t="n"/>
    </row>
    <row r="47" ht="18" customHeight="1" s="1439">
      <c r="A47" s="2296" t="inlineStr">
        <is>
          <t>Clear Height (ft)</t>
        </is>
      </c>
      <c r="B47" s="2297" t="n"/>
      <c r="C47" s="2298" t="n"/>
      <c r="D47" s="2284" t="n"/>
    </row>
    <row r="48" ht="18" customHeight="1" s="1439">
      <c r="A48" s="2296" t="inlineStr">
        <is>
          <t>Dock Doors (#)</t>
        </is>
      </c>
      <c r="B48" s="2297" t="n"/>
      <c r="C48" s="2298" t="n"/>
      <c r="D48" s="2284" t="n"/>
    </row>
    <row r="49" ht="18" customHeight="1" s="1439">
      <c r="A49" s="2296" t="inlineStr">
        <is>
          <t>Drive-In Doors (#)</t>
        </is>
      </c>
      <c r="B49" s="2297" t="n"/>
      <c r="C49" s="2298" t="n"/>
      <c r="D49" s="2284" t="n"/>
    </row>
    <row r="50" ht="18" customHeight="1" s="1439">
      <c r="A50" s="2296" t="inlineStr">
        <is>
          <t>Sprinkler System</t>
        </is>
      </c>
      <c r="B50" s="2297" t="n"/>
      <c r="C50" s="2298" t="n"/>
      <c r="D50" s="2284" t="n"/>
    </row>
    <row r="51" ht="18" customHeight="1" s="1439">
      <c r="A51" s="2296" t="inlineStr">
        <is>
          <t>HVAC Type</t>
        </is>
      </c>
      <c r="B51" s="2297" t="n"/>
      <c r="C51" s="2298" t="n"/>
      <c r="D51" s="2284" t="n"/>
    </row>
    <row r="52" ht="18" customHeight="1" s="1439">
      <c r="A52" s="2296" t="inlineStr">
        <is>
          <t>Parking Spaces</t>
        </is>
      </c>
      <c r="B52" s="2297" t="n"/>
      <c r="C52" s="2298" t="n"/>
      <c r="D52" s="2284" t="n"/>
    </row>
    <row r="53" ht="18" customHeight="1" s="1439">
      <c r="A53" s="2296" t="inlineStr">
        <is>
          <t>Condition</t>
        </is>
      </c>
      <c r="B53" s="2297" t="n"/>
      <c r="C53" s="2298" t="n"/>
      <c r="D53" s="2284" t="n"/>
    </row>
    <row r="54" ht="20" customHeight="1" s="1439">
      <c r="A54" s="2295" t="inlineStr">
        <is>
          <t>SITE DETAILS  (from RealWare)</t>
        </is>
      </c>
    </row>
    <row r="55" ht="18" customHeight="1" s="1439">
      <c r="A55" s="2296" t="inlineStr">
        <is>
          <t>Flood Zone Designation</t>
        </is>
      </c>
      <c r="B55" s="2297" t="n"/>
      <c r="C55" s="2298" t="n"/>
      <c r="D55" s="2284" t="n"/>
    </row>
    <row r="56" ht="18" customHeight="1" s="1439">
      <c r="A56" s="2296" t="inlineStr">
        <is>
          <t>FEMA Map Panel #</t>
        </is>
      </c>
      <c r="B56" s="2297" t="n"/>
      <c r="C56" s="2298" t="n"/>
      <c r="D56" s="2284" t="n"/>
    </row>
    <row r="57" ht="18" customHeight="1" s="1439">
      <c r="A57" s="2296" t="inlineStr">
        <is>
          <t>Zoning District</t>
        </is>
      </c>
      <c r="B57" s="2297" t="n"/>
      <c r="C57" s="2298" t="n"/>
      <c r="D57" s="2284" t="n"/>
    </row>
    <row r="58" ht="18" customHeight="1" s="1439">
      <c r="A58" s="2296" t="inlineStr">
        <is>
          <t>Zoning Jurisdiction</t>
        </is>
      </c>
      <c r="B58" s="2297" t="n"/>
      <c r="C58" s="2298" t="n"/>
      <c r="D58" s="2284" t="n"/>
    </row>
    <row r="59" ht="20" customHeight="1" s="1439">
      <c r="A59" s="2295" t="inlineStr">
        <is>
          <t>ASSESSED VALUES  (from RealWare)</t>
        </is>
      </c>
    </row>
    <row r="60" ht="18" customHeight="1" s="1439">
      <c r="A60" s="2296" t="inlineStr">
        <is>
          <t>Land Assessed Value</t>
        </is>
      </c>
      <c r="B60" s="2299" t="n"/>
      <c r="C60" s="2298" t="n"/>
      <c r="D60" s="2284" t="n"/>
    </row>
    <row r="61" ht="18" customHeight="1" s="1439">
      <c r="A61" s="2296" t="inlineStr">
        <is>
          <t>Building Assessed Value</t>
        </is>
      </c>
      <c r="B61" s="2299" t="n"/>
      <c r="C61" s="2298" t="n"/>
      <c r="D61" s="2284" t="n"/>
    </row>
    <row r="62" ht="18" customHeight="1" s="1439">
      <c r="A62" s="2296" t="inlineStr">
        <is>
          <t>Total Assessed Value</t>
        </is>
      </c>
      <c r="B62" s="2300">
        <f>IF(AND(ISNUMBER(B60),ISNUMBER(B61)),B60+B61,"")</f>
        <v/>
      </c>
      <c r="C62" s="2298" t="n"/>
      <c r="D62" s="2284" t="n"/>
    </row>
    <row r="63" ht="18" customHeight="1" s="1439">
      <c r="A63" s="2296" t="inlineStr">
        <is>
          <t>Prior Year Total AV</t>
        </is>
      </c>
      <c r="B63" s="2299" t="n"/>
      <c r="C63" s="2298" t="n"/>
      <c r="D63" s="2284" t="n"/>
    </row>
    <row r="64" ht="18" customHeight="1" s="1439">
      <c r="A64" s="2296" t="inlineStr">
        <is>
          <t>Tax Rate (mill levy)</t>
        </is>
      </c>
      <c r="B64" s="2301" t="n"/>
      <c r="C64" s="2298" t="n"/>
      <c r="D64" s="2284" t="n"/>
    </row>
    <row r="65" ht="18" customHeight="1" s="1439">
      <c r="A65" s="2296" t="inlineStr">
        <is>
          <t>Annual Real Estate Taxes</t>
        </is>
      </c>
      <c r="B65" s="2300">
        <f>IF(AND(ISNUMBER(B62),ISNUMBER(B64)),B62*B64/1000,"")</f>
        <v/>
      </c>
      <c r="C65" s="2298" t="n"/>
      <c r="D65" s="2284" t="n"/>
    </row>
  </sheetData>
  <mergeCells count="34">
    <mergeCell ref="B42:D42"/>
    <mergeCell ref="B60:D60"/>
    <mergeCell ref="B61:D61"/>
    <mergeCell ref="B57:D57"/>
    <mergeCell ref="B44:D44"/>
    <mergeCell ref="B53:D53"/>
    <mergeCell ref="B38:D38"/>
    <mergeCell ref="B34:D34"/>
    <mergeCell ref="B37:D37"/>
    <mergeCell ref="B49:D49"/>
    <mergeCell ref="A39:D39"/>
    <mergeCell ref="B40:D40"/>
    <mergeCell ref="A59:D59"/>
    <mergeCell ref="B65:D65"/>
    <mergeCell ref="B55:D55"/>
    <mergeCell ref="B51:D51"/>
    <mergeCell ref="B64:D64"/>
    <mergeCell ref="B33:D33"/>
    <mergeCell ref="B36:D36"/>
    <mergeCell ref="B45:D45"/>
    <mergeCell ref="B63:D63"/>
    <mergeCell ref="B41:D41"/>
    <mergeCell ref="B35:D35"/>
    <mergeCell ref="B50:D50"/>
    <mergeCell ref="A54:D54"/>
    <mergeCell ref="B62:D62"/>
    <mergeCell ref="B47:D47"/>
    <mergeCell ref="B46:D46"/>
    <mergeCell ref="B56:D56"/>
    <mergeCell ref="B58:D58"/>
    <mergeCell ref="B52:D52"/>
    <mergeCell ref="B43:D43"/>
    <mergeCell ref="A32:D32"/>
    <mergeCell ref="B48:D48"/>
  </mergeCells>
  <dataValidations count="7">
    <dataValidation sqref="B7" showDropDown="0" showInputMessage="1" showErrorMessage="1" allowBlank="1" type="list">
      <formula1>$E$7:$E$9</formula1>
    </dataValidation>
    <dataValidation sqref="B40" showDropDown="0" showInputMessage="0" showErrorMessage="1" allowBlank="0" errorTitle="Invalid value" error="Please select from the list." type="list">
      <formula1>"Excellent,Good,Average,Fair,Poor"</formula1>
    </dataValidation>
    <dataValidation sqref="B41" showDropDown="0" showInputMessage="0" showErrorMessage="1" allowBlank="0" errorTitle="Invalid value" error="Please select from the list." type="list">
      <formula1>"A,B,C,D,S,W"</formula1>
    </dataValidation>
    <dataValidation sqref="B50" showDropDown="0" showInputMessage="0" showErrorMessage="1" allowBlank="0" errorTitle="Invalid value" error="Please select from the list." type="list">
      <formula1>"Yes,No,Partial"</formula1>
    </dataValidation>
    <dataValidation sqref="B51" showDropDown="0" showInputMessage="0" showErrorMessage="1" allowBlank="0" errorTitle="Invalid value" error="Please select from the list." type="list">
      <formula1>"Full HVAC,Partial,None,Evaporative"</formula1>
    </dataValidation>
    <dataValidation sqref="B53" showDropDown="0" showInputMessage="0" showErrorMessage="1" allowBlank="0" errorTitle="Invalid value" error="Please select from the list." type="list">
      <formula1>"Excellent,Good,Average,Fair,Poor"</formula1>
    </dataValidation>
    <dataValidation sqref="B55" showDropDown="0" showInputMessage="0" showErrorMessage="1" allowBlank="0" errorTitle="Invalid value" error="Please select from the list." type="list">
      <formula1>"X,AE,A,AO,VE,D"</formula1>
    </dataValidation>
  </dataValidations>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AF164"/>
  <sheetViews>
    <sheetView zoomScale="70" zoomScaleNormal="70" workbookViewId="0">
      <selection activeCell="M13" sqref="M13"/>
    </sheetView>
  </sheetViews>
  <sheetFormatPr baseColWidth="8" defaultRowHeight="15"/>
  <cols>
    <col width="9.140625" customWidth="1" style="1450" min="1" max="1"/>
    <col width="33.85546875" bestFit="1" customWidth="1" style="1439" min="2" max="2"/>
    <col width="51" customWidth="1" style="1439" min="3" max="3"/>
    <col width="33.42578125" customWidth="1" style="1439" min="4" max="4"/>
    <col width="13" bestFit="1" customWidth="1" style="1439" min="5" max="5"/>
    <col width="12.140625" customWidth="1" style="1439" min="6" max="6"/>
    <col width="33.7109375" customWidth="1" style="1439" min="7" max="7"/>
    <col width="11.140625" customWidth="1" style="1439" min="8" max="12"/>
    <col width="43.85546875" bestFit="1" customWidth="1" style="1439" min="13" max="13"/>
    <col width="14.28515625" customWidth="1" style="1439" min="14" max="16"/>
    <col width="27.7109375" customWidth="1" style="1439" min="17" max="17"/>
    <col width="38.28515625" customWidth="1" style="1439" min="18" max="18"/>
    <col width="57.5703125" customWidth="1" style="1439" min="19" max="19"/>
    <col width="27.140625" customWidth="1" style="1439" min="20" max="20"/>
    <col width="29.28515625" customWidth="1" style="1439" min="21" max="21"/>
    <col width="12" bestFit="1" customWidth="1" style="1439" min="22" max="22"/>
    <col width="10.28515625" customWidth="1" style="1439" min="23" max="23"/>
    <col width="6.28515625" customWidth="1" style="1439" min="24" max="24"/>
    <col width="26.85546875" bestFit="1" customWidth="1" style="1439" min="25" max="25"/>
    <col width="16.42578125" customWidth="1" style="1439" min="26" max="28"/>
    <col width="30.28515625" customWidth="1" style="1439" min="29" max="29"/>
    <col width="15" customWidth="1" style="1439" min="30" max="32"/>
    <col width="25.28515625" bestFit="1" customWidth="1" style="1439" min="33" max="33"/>
    <col width="6.7109375" bestFit="1" customWidth="1" style="1439" min="34" max="34"/>
    <col width="21.140625" customWidth="1" style="1439" min="35" max="36"/>
  </cols>
  <sheetData>
    <row r="1" customFormat="1" s="1450">
      <c r="A1" s="1450" t="inlineStr">
        <is>
          <t>Note:</t>
        </is>
      </c>
      <c r="B1" s="1450" t="inlineStr">
        <is>
          <t>FILL ONLY HIGHLIGHTED CELLS</t>
        </is>
      </c>
    </row>
    <row r="2" customFormat="1" s="1450"/>
    <row r="3">
      <c r="B3" s="1465" t="inlineStr">
        <is>
          <t>EXECUTIVE SUMMARY</t>
        </is>
      </c>
      <c r="D3" s="1450" t="n"/>
      <c r="E3" s="1450" t="n"/>
      <c r="F3" s="1450" t="n"/>
      <c r="G3" s="1450" t="n"/>
      <c r="H3" s="1450" t="n"/>
      <c r="I3" s="1450" t="n"/>
      <c r="J3" s="1450" t="n"/>
      <c r="K3" s="1450" t="n"/>
      <c r="L3" s="1450" t="n"/>
      <c r="M3" s="1450" t="n"/>
      <c r="N3" s="1450" t="n"/>
      <c r="O3" s="1450" t="n"/>
      <c r="P3" s="1450" t="n"/>
      <c r="Q3" s="1450" t="n"/>
      <c r="R3" s="1450" t="n"/>
      <c r="S3" s="1450" t="n"/>
      <c r="T3" s="1450" t="n"/>
    </row>
    <row r="4">
      <c r="B4" s="1152" t="inlineStr">
        <is>
          <t>Account Number</t>
        </is>
      </c>
      <c r="C4" s="1153">
        <f>'Property Info'!B1</f>
        <v/>
      </c>
      <c r="D4" s="1450" t="n"/>
      <c r="E4" s="1450" t="n"/>
      <c r="F4" s="1450" t="n"/>
      <c r="G4" s="1450" t="n"/>
      <c r="H4" s="1450" t="n"/>
      <c r="I4" s="1450" t="n"/>
      <c r="J4" s="1450" t="n"/>
      <c r="K4" s="1450" t="n"/>
      <c r="L4" s="1450" t="n"/>
      <c r="M4" s="1450" t="n"/>
      <c r="N4" s="1450" t="n"/>
      <c r="O4" s="1450" t="n"/>
      <c r="P4" s="1450" t="n"/>
      <c r="Q4" s="1450" t="n"/>
      <c r="R4" s="1450" t="n"/>
      <c r="S4" s="1450" t="n"/>
      <c r="T4" s="1450" t="n"/>
    </row>
    <row r="5">
      <c r="B5" s="1152" t="inlineStr">
        <is>
          <t>Address</t>
        </is>
      </c>
      <c r="C5" s="1153">
        <f>'Property Info'!B16</f>
        <v/>
      </c>
      <c r="D5" s="1450" t="n"/>
      <c r="E5" s="1450" t="n"/>
      <c r="F5" s="1450" t="n"/>
      <c r="G5" s="1450" t="n"/>
      <c r="H5" s="1450" t="n"/>
      <c r="I5" s="1450" t="n"/>
      <c r="J5" s="1450" t="n"/>
      <c r="K5" s="1450" t="n"/>
      <c r="L5" s="1450" t="n"/>
      <c r="M5" s="1450" t="n"/>
      <c r="N5" s="1450" t="n"/>
      <c r="O5" s="1450" t="n"/>
      <c r="P5" s="1450" t="n"/>
      <c r="Q5" s="1450" t="n"/>
      <c r="R5" s="1450" t="n"/>
      <c r="S5" s="1450" t="n"/>
      <c r="T5" s="1450" t="n"/>
    </row>
    <row r="6">
      <c r="B6" s="1152" t="inlineStr">
        <is>
          <t>County</t>
        </is>
      </c>
      <c r="C6" s="1153">
        <f>'Property Info'!B18</f>
        <v/>
      </c>
      <c r="D6" s="1450" t="n"/>
      <c r="E6" s="1450" t="n"/>
      <c r="F6" s="1450" t="n"/>
      <c r="G6" s="1450" t="n"/>
      <c r="H6" s="1450" t="n"/>
      <c r="I6" s="1450" t="n"/>
      <c r="J6" s="1450" t="n"/>
      <c r="K6" s="1450" t="n"/>
      <c r="L6" s="1450" t="n"/>
      <c r="M6" s="1450" t="n"/>
      <c r="N6" s="1450" t="n"/>
      <c r="O6" s="1450" t="n"/>
      <c r="P6" s="1450" t="n"/>
      <c r="Q6" s="1450" t="n"/>
      <c r="R6" s="1450" t="n"/>
      <c r="S6" s="1450" t="n"/>
      <c r="T6" s="1450" t="n"/>
    </row>
    <row r="7">
      <c r="B7" s="1152" t="inlineStr">
        <is>
          <t>City, State</t>
        </is>
      </c>
      <c r="C7" s="1153">
        <f>'Property Info'!B17</f>
        <v/>
      </c>
      <c r="D7" s="1450" t="n"/>
      <c r="E7" s="1450" t="n"/>
      <c r="F7" s="1450" t="n"/>
      <c r="G7" s="1450" t="n"/>
      <c r="H7" s="1450" t="n"/>
      <c r="I7" s="1450" t="n"/>
      <c r="J7" s="1450" t="n"/>
      <c r="K7" s="1450" t="n"/>
      <c r="L7" s="1450" t="n"/>
      <c r="M7" s="1450" t="n"/>
      <c r="N7" s="1450" t="n"/>
      <c r="O7" s="1450" t="n"/>
      <c r="P7" s="1450" t="n"/>
      <c r="Q7" s="1450" t="n"/>
      <c r="R7" s="1450" t="n"/>
      <c r="S7" s="1450" t="n"/>
      <c r="T7" s="1450" t="n"/>
    </row>
    <row r="8">
      <c r="B8" s="1152" t="inlineStr">
        <is>
          <t>Effective Date</t>
        </is>
      </c>
      <c r="C8" s="1694">
        <f>'Property Info'!B26</f>
        <v/>
      </c>
      <c r="D8" s="1450" t="n"/>
      <c r="E8" s="1450" t="n"/>
      <c r="F8" s="1450" t="n"/>
      <c r="G8" s="1450" t="n"/>
      <c r="H8" s="1450" t="n"/>
      <c r="I8" s="1450" t="n"/>
      <c r="J8" s="1450" t="n"/>
      <c r="K8" s="1450" t="n"/>
      <c r="L8" s="1450" t="n"/>
      <c r="M8" s="1450" t="n"/>
      <c r="N8" s="1450" t="n"/>
      <c r="O8" s="1450" t="n"/>
      <c r="P8" s="1450" t="n"/>
      <c r="Q8" s="1450" t="n"/>
      <c r="R8" s="1450" t="n"/>
      <c r="S8" s="1450" t="n"/>
      <c r="T8" s="1450" t="n"/>
    </row>
    <row r="9">
      <c r="B9" s="1152" t="inlineStr">
        <is>
          <t>Appraisal Date</t>
        </is>
      </c>
      <c r="C9" s="1694">
        <f>'Property Info'!B27</f>
        <v/>
      </c>
      <c r="D9" s="1450" t="n"/>
      <c r="E9" s="1450" t="n"/>
      <c r="F9" s="1450" t="n"/>
      <c r="G9" s="1450" t="n"/>
      <c r="H9" s="1450" t="n"/>
      <c r="I9" s="1450" t="n"/>
      <c r="J9" s="1450" t="n"/>
      <c r="K9" s="1450" t="n"/>
      <c r="L9" s="1450" t="n"/>
      <c r="M9" s="1450" t="n"/>
      <c r="N9" s="1450" t="n"/>
      <c r="O9" s="1450" t="n"/>
      <c r="P9" s="1450" t="n"/>
      <c r="Q9" s="1450" t="n"/>
      <c r="R9" s="1450" t="n"/>
      <c r="S9" s="1450" t="n"/>
      <c r="T9" s="1450" t="n"/>
    </row>
    <row r="10">
      <c r="B10" s="1152" t="inlineStr">
        <is>
          <t>Hearing Date</t>
        </is>
      </c>
      <c r="C10" s="1694">
        <f>'Property Info'!B28</f>
        <v/>
      </c>
      <c r="D10" s="1450" t="n"/>
      <c r="E10" s="1450" t="n"/>
      <c r="F10" s="1450" t="n"/>
      <c r="G10" s="1450" t="n"/>
      <c r="H10" s="1450" t="n"/>
      <c r="I10" s="1450" t="n"/>
      <c r="J10" s="1450" t="n"/>
      <c r="K10" s="1450" t="n"/>
      <c r="L10" s="1450" t="n"/>
      <c r="M10" s="1450" t="n"/>
      <c r="N10" s="1450" t="n"/>
      <c r="O10" s="1450" t="n"/>
      <c r="P10" s="1450" t="n"/>
      <c r="Q10" s="1450" t="n"/>
      <c r="R10" s="1450" t="n"/>
      <c r="S10" s="1450" t="n"/>
      <c r="T10" s="1450" t="n"/>
    </row>
    <row r="11" ht="2.25" customHeight="1" s="1439">
      <c r="B11" s="1155" t="n"/>
      <c r="C11" s="1156" t="n"/>
      <c r="D11" s="1450" t="n"/>
      <c r="E11" s="1450" t="n"/>
      <c r="F11" s="1450" t="n"/>
      <c r="G11" s="1450" t="n"/>
      <c r="H11" s="1450" t="n"/>
      <c r="I11" s="1450" t="n"/>
      <c r="J11" s="1450" t="n"/>
      <c r="K11" s="1450" t="n"/>
      <c r="L11" s="1450" t="n"/>
      <c r="M11" s="1450" t="n"/>
      <c r="N11" s="1450" t="n"/>
      <c r="O11" s="1450" t="n"/>
      <c r="P11" s="1450" t="n"/>
      <c r="Q11" s="1450" t="n"/>
      <c r="R11" s="1450" t="n"/>
      <c r="S11" s="1450" t="n"/>
      <c r="T11" s="1450" t="n"/>
    </row>
    <row r="12">
      <c r="B12" s="1152" t="inlineStr">
        <is>
          <t>Property Type</t>
        </is>
      </c>
      <c r="C12" s="1153">
        <f>'Property Info'!B15</f>
        <v/>
      </c>
      <c r="D12" s="1450" t="n"/>
      <c r="E12" s="1450" t="n"/>
      <c r="F12" s="1450" t="n"/>
      <c r="G12" s="1450" t="n"/>
      <c r="H12" s="1450" t="n"/>
      <c r="I12" s="1450" t="n"/>
      <c r="J12" s="1450" t="n"/>
      <c r="K12" s="1450" t="n"/>
      <c r="L12" s="1450" t="n"/>
      <c r="M12" s="1450" t="n"/>
      <c r="N12" s="1450" t="n"/>
      <c r="O12" s="1450" t="n"/>
      <c r="P12" s="1450" t="n"/>
      <c r="Q12" s="1450" t="n"/>
      <c r="R12" s="1450" t="n"/>
      <c r="S12" s="1450" t="n"/>
      <c r="T12" s="1450" t="n"/>
    </row>
    <row r="13">
      <c r="B13" s="1152" t="inlineStr">
        <is>
          <t>Property Size</t>
        </is>
      </c>
      <c r="C13" s="1157" t="n"/>
      <c r="D13" s="1450" t="n"/>
      <c r="E13" s="1450" t="n"/>
      <c r="F13" s="1450" t="n"/>
      <c r="G13" s="1450" t="n"/>
      <c r="H13" s="1450" t="n"/>
      <c r="I13" s="1450" t="n"/>
      <c r="J13" s="1450" t="n"/>
      <c r="K13" s="1450" t="n"/>
      <c r="L13" s="1450" t="n"/>
      <c r="M13" s="1450" t="n"/>
      <c r="N13" s="1450" t="n"/>
      <c r="O13" s="1450" t="n"/>
      <c r="P13" s="1450" t="n"/>
      <c r="Q13" s="1450" t="n"/>
      <c r="R13" s="1450" t="n"/>
      <c r="S13" s="1450" t="n"/>
      <c r="T13" s="1450" t="n"/>
    </row>
    <row r="14">
      <c r="B14" s="1233">
        <f>'Property Info'!B7</f>
        <v/>
      </c>
      <c r="C14" s="1157">
        <f>IF(B14="GBA", 'Property Info'!B4,IF(B14="NRA",'Property Info'!B6,'Property Info'!B4))</f>
        <v/>
      </c>
      <c r="D14" s="1450" t="n"/>
      <c r="E14" s="1450" t="n"/>
      <c r="F14" s="1450" t="n"/>
      <c r="G14" s="1450" t="n"/>
      <c r="H14" s="1450" t="n"/>
      <c r="I14" s="1450" t="n"/>
      <c r="J14" s="1450" t="n"/>
      <c r="K14" s="1450" t="n"/>
      <c r="L14" s="1450" t="n"/>
      <c r="M14" s="1450" t="n"/>
      <c r="N14" s="1450" t="n"/>
      <c r="O14" s="1450" t="n"/>
      <c r="P14" s="1450" t="n"/>
      <c r="Q14" s="1450" t="n"/>
      <c r="R14" s="1450" t="n"/>
      <c r="S14" s="1450" t="n"/>
      <c r="T14" s="1450" t="n"/>
    </row>
    <row r="15">
      <c r="B15" s="1152" t="inlineStr">
        <is>
          <t>Number of Buildings</t>
        </is>
      </c>
      <c r="C15" s="1158">
        <f>'Property Info'!B3</f>
        <v/>
      </c>
      <c r="D15" s="1450" t="n"/>
      <c r="E15" s="1450" t="n"/>
      <c r="F15" s="1450" t="n"/>
      <c r="G15" s="1450" t="n"/>
      <c r="H15" s="1450" t="n"/>
      <c r="I15" s="1450" t="n"/>
      <c r="J15" s="1450" t="n"/>
      <c r="K15" s="1450" t="n"/>
      <c r="L15" s="1450" t="n"/>
      <c r="M15" s="1450" t="n"/>
      <c r="N15" s="1450" t="n"/>
      <c r="O15" s="1450" t="n"/>
      <c r="P15" s="1450" t="n"/>
      <c r="Q15" s="1450" t="n"/>
      <c r="R15" s="1450" t="n"/>
      <c r="S15" s="1450" t="n"/>
      <c r="T15" s="1450" t="n"/>
    </row>
    <row r="16">
      <c r="B16" s="1152" t="inlineStr">
        <is>
          <t>Year Built/Condition</t>
        </is>
      </c>
      <c r="C16" s="1153">
        <f>'Property Info'!B10</f>
        <v/>
      </c>
      <c r="D16" s="1450" t="n"/>
      <c r="E16" s="1450" t="n"/>
      <c r="F16" s="1450" t="n"/>
      <c r="G16" s="1450" t="n"/>
      <c r="H16" s="1450" t="n"/>
      <c r="I16" s="1450" t="n"/>
      <c r="J16" s="1450" t="n"/>
      <c r="K16" s="1450" t="n"/>
      <c r="L16" s="1450" t="n"/>
      <c r="M16" s="1450" t="n"/>
      <c r="N16" s="1450" t="n"/>
      <c r="O16" s="1450" t="n"/>
      <c r="P16" s="1450" t="n"/>
      <c r="Q16" s="1450" t="n"/>
      <c r="R16" s="1450" t="n"/>
      <c r="S16" s="1450" t="n"/>
      <c r="T16" s="1450" t="n"/>
    </row>
    <row r="17" hidden="1" s="1439">
      <c r="B17" s="1152" t="inlineStr">
        <is>
          <t>Condition</t>
        </is>
      </c>
      <c r="C17" s="1159" t="inlineStr">
        <is>
          <t>Average</t>
        </is>
      </c>
      <c r="D17" s="1450" t="n"/>
      <c r="E17" s="1450" t="n"/>
      <c r="F17" s="1450" t="n"/>
      <c r="G17" s="1450" t="n"/>
      <c r="H17" s="1450" t="n"/>
      <c r="I17" s="1450" t="n"/>
      <c r="J17" s="1450" t="n"/>
      <c r="K17" s="1450" t="n"/>
      <c r="L17" s="1450" t="n"/>
      <c r="M17" s="1450" t="n"/>
      <c r="N17" s="1450" t="n"/>
      <c r="O17" s="1450" t="n"/>
      <c r="P17" s="1450" t="n"/>
      <c r="Q17" s="1450" t="n"/>
      <c r="R17" s="1450" t="n"/>
      <c r="S17" s="1450" t="n"/>
      <c r="T17" s="1450" t="n"/>
    </row>
    <row r="18">
      <c r="B18" s="1152" t="inlineStr">
        <is>
          <t>Site Size (SF)</t>
        </is>
      </c>
      <c r="C18" s="1157">
        <f>'Property Info'!B11</f>
        <v/>
      </c>
      <c r="D18" s="1450" t="n"/>
      <c r="E18" s="1450" t="n"/>
      <c r="F18" s="1450" t="n"/>
      <c r="G18" s="1450" t="n"/>
      <c r="H18" s="1450" t="n"/>
      <c r="I18" s="1450" t="n"/>
      <c r="J18" s="1450" t="n"/>
      <c r="K18" s="1450" t="n"/>
      <c r="L18" s="1450" t="n"/>
      <c r="M18" s="1450" t="n"/>
      <c r="N18" s="1450" t="n"/>
      <c r="O18" s="1450" t="n"/>
      <c r="P18" s="1450" t="n"/>
      <c r="Q18" s="1450" t="n"/>
      <c r="R18" s="1450" t="n"/>
      <c r="S18" s="1450" t="n"/>
      <c r="T18" s="1450" t="n"/>
    </row>
    <row r="19">
      <c r="B19" s="1152" t="inlineStr">
        <is>
          <t>Property Rights Appraised</t>
        </is>
      </c>
      <c r="C19" s="1153">
        <f>'Property Info'!B25</f>
        <v/>
      </c>
      <c r="D19" s="1450" t="n"/>
      <c r="E19" s="1450" t="n"/>
      <c r="F19" s="1450" t="n"/>
      <c r="G19" s="1450" t="n"/>
      <c r="H19" s="1450" t="n"/>
      <c r="I19" s="1450" t="n"/>
      <c r="J19" s="1450" t="n"/>
      <c r="K19" s="1450" t="n"/>
      <c r="L19" s="1450" t="n"/>
      <c r="M19" s="1450" t="n"/>
      <c r="N19" s="1450" t="n"/>
      <c r="O19" s="1450" t="n"/>
      <c r="P19" s="1450" t="n"/>
      <c r="Q19" s="1450" t="n"/>
      <c r="R19" s="1450" t="n"/>
      <c r="S19" s="1450" t="n"/>
      <c r="T19" s="1450" t="n"/>
    </row>
    <row r="20">
      <c r="B20" s="1152" t="inlineStr">
        <is>
          <t>Assumed Occupancy</t>
        </is>
      </c>
      <c r="C20" s="1160">
        <f>'Property Info'!B19</f>
        <v/>
      </c>
      <c r="D20" s="1450" t="n"/>
      <c r="E20" s="1450" t="n"/>
      <c r="F20" s="1450" t="n"/>
      <c r="G20" s="1450" t="n"/>
      <c r="H20" s="1450" t="n"/>
      <c r="I20" s="1450" t="n"/>
      <c r="J20" s="1450" t="n"/>
      <c r="K20" s="1450" t="n"/>
      <c r="L20" s="1450" t="n"/>
      <c r="M20" s="1450" t="n"/>
      <c r="N20" s="1450" t="n"/>
      <c r="O20" s="1450" t="n"/>
      <c r="P20" s="1450" t="n"/>
      <c r="Q20" s="1450" t="n"/>
      <c r="R20" s="1450" t="n"/>
      <c r="S20" s="1450" t="n"/>
      <c r="T20" s="1450" t="n"/>
    </row>
    <row r="21">
      <c r="B21" s="1161" t="inlineStr">
        <is>
          <t>Stabilized Occupancy</t>
        </is>
      </c>
      <c r="C21" s="1162">
        <f>'Income Approach'!D22</f>
        <v/>
      </c>
      <c r="D21" s="1450" t="n"/>
      <c r="E21" s="1450" t="n"/>
      <c r="F21" s="1450" t="n"/>
      <c r="G21" s="1450" t="n"/>
      <c r="H21" s="1450" t="n"/>
      <c r="I21" s="1450" t="n"/>
      <c r="J21" s="1450" t="n"/>
      <c r="K21" s="1450" t="n"/>
      <c r="L21" s="1450" t="n"/>
      <c r="M21" s="1450" t="n"/>
      <c r="N21" s="1450" t="n"/>
      <c r="O21" s="1450" t="n"/>
      <c r="P21" s="1450" t="n"/>
      <c r="Q21" s="1450" t="n"/>
      <c r="R21" s="1450" t="n"/>
      <c r="S21" s="1450" t="n"/>
      <c r="T21" s="1450" t="n"/>
    </row>
    <row r="22">
      <c r="B22" s="1152" t="n"/>
      <c r="C22" s="1160" t="n"/>
      <c r="D22" s="1450" t="n"/>
      <c r="E22" s="1450" t="n"/>
      <c r="F22" s="1450" t="n"/>
      <c r="G22" s="1450" t="n"/>
      <c r="H22" s="1450" t="n"/>
      <c r="I22" s="1450" t="n"/>
      <c r="J22" s="1450" t="n"/>
      <c r="K22" s="1450" t="n"/>
      <c r="L22" s="1450" t="n"/>
      <c r="M22" s="1450" t="n"/>
      <c r="N22" s="1450" t="n"/>
      <c r="O22" s="1450" t="n"/>
      <c r="P22" s="1450" t="n"/>
      <c r="Q22" s="1450" t="n"/>
      <c r="R22" s="1450" t="n"/>
      <c r="S22" s="1450" t="n"/>
      <c r="T22" s="1450" t="n"/>
    </row>
    <row r="23">
      <c r="B23" s="1450" t="n"/>
      <c r="C23" s="1450" t="n"/>
      <c r="D23" s="1472" t="inlineStr">
        <is>
          <t xml:space="preserve">PETITION SCENARIO </t>
        </is>
      </c>
      <c r="E23" s="1468" t="n"/>
      <c r="F23" s="1468" t="n"/>
      <c r="G23" s="1450" t="n"/>
      <c r="H23" s="1450" t="n"/>
      <c r="I23" s="1450" t="n"/>
      <c r="J23" s="1450" t="n"/>
      <c r="K23" s="1450" t="n"/>
      <c r="L23" s="1450" t="n"/>
      <c r="M23" s="1450" t="n"/>
      <c r="N23" s="1450" t="n"/>
      <c r="O23" s="1450" t="n"/>
      <c r="P23" s="1450" t="n"/>
      <c r="Q23" s="1450" t="n"/>
      <c r="R23" s="1450" t="n"/>
      <c r="S23" s="1450" t="n"/>
      <c r="T23" s="1450" t="n"/>
    </row>
    <row r="24">
      <c r="B24" s="1450" t="n"/>
      <c r="C24" s="1450" t="n"/>
      <c r="D24" s="1440" t="n"/>
      <c r="E24" s="1440" t="inlineStr">
        <is>
          <t>$</t>
        </is>
      </c>
      <c r="F24" s="1440" t="inlineStr">
        <is>
          <t>$/SF</t>
        </is>
      </c>
      <c r="G24" s="1450" t="n"/>
      <c r="H24" s="1450" t="n"/>
      <c r="I24" s="1450" t="n"/>
      <c r="J24" s="1450" t="n"/>
      <c r="K24" s="1450" t="n"/>
      <c r="L24" s="1450" t="n"/>
      <c r="M24" s="1450" t="n"/>
      <c r="N24" s="1450" t="n"/>
      <c r="O24" s="1450" t="n"/>
      <c r="P24" s="1450" t="n"/>
      <c r="Q24" s="1450" t="n"/>
      <c r="R24" s="1450" t="n"/>
      <c r="S24" s="1450" t="n"/>
      <c r="T24" s="1450" t="n"/>
    </row>
    <row r="25">
      <c r="B25" s="1450" t="n"/>
      <c r="C25" s="1450" t="n"/>
      <c r="D25" s="1164" t="inlineStr">
        <is>
          <t>Assessor's Assigned Value</t>
        </is>
      </c>
      <c r="E25" s="1695">
        <f>'Basic Sales Grid'!D51</f>
        <v/>
      </c>
      <c r="F25" s="1696">
        <f>E25/C14</f>
        <v/>
      </c>
      <c r="G25" s="1450" t="n"/>
      <c r="H25" s="1450" t="n"/>
      <c r="I25" s="1450" t="n"/>
      <c r="J25" s="1450" t="n"/>
      <c r="K25" s="1450" t="n"/>
      <c r="L25" s="1450" t="n"/>
      <c r="M25" s="1450" t="n"/>
      <c r="N25" s="1450" t="n"/>
      <c r="O25" s="1450" t="n"/>
      <c r="P25" s="1450" t="n"/>
      <c r="Q25" s="1450" t="n"/>
      <c r="R25" s="1450" t="n"/>
      <c r="S25" s="1450" t="n"/>
      <c r="T25" s="1450" t="n"/>
    </row>
    <row r="26">
      <c r="B26" s="1450" t="n"/>
      <c r="C26" s="1450" t="n"/>
      <c r="D26" s="1167" t="inlineStr">
        <is>
          <t>Petitioner’s Requested Value</t>
        </is>
      </c>
      <c r="E26" s="1697">
        <f>'Basic Sales Grid'!D52</f>
        <v/>
      </c>
      <c r="F26" s="1698">
        <f>E26/C14</f>
        <v/>
      </c>
      <c r="G26" s="1450" t="n"/>
      <c r="H26" s="1450" t="n"/>
      <c r="I26" s="1450" t="n"/>
      <c r="J26" s="1450" t="n"/>
      <c r="K26" s="1450" t="n"/>
      <c r="L26" s="1450" t="n"/>
      <c r="M26" s="1450" t="n"/>
      <c r="N26" s="1450" t="n"/>
      <c r="O26" s="1450" t="n"/>
      <c r="P26" s="1450" t="n"/>
      <c r="Q26" s="1450" t="n"/>
      <c r="R26" s="1450" t="n"/>
      <c r="S26" s="1450" t="n"/>
      <c r="T26" s="1450" t="n"/>
    </row>
    <row r="27">
      <c r="B27" s="1450" t="n"/>
      <c r="C27" s="1450" t="n"/>
      <c r="D27" s="1450" t="n"/>
      <c r="E27" s="1450" t="n"/>
      <c r="F27" s="1450" t="n"/>
      <c r="G27" s="1450" t="n"/>
      <c r="H27" s="1450" t="n"/>
      <c r="I27" s="1450" t="n"/>
      <c r="J27" s="1450" t="n"/>
      <c r="K27" s="1450" t="n"/>
      <c r="L27" s="1450" t="n"/>
      <c r="M27" s="1450" t="n"/>
      <c r="N27" s="1450" t="n"/>
      <c r="O27" s="1450" t="n"/>
      <c r="P27" s="1450" t="n"/>
      <c r="Q27" s="1450" t="n"/>
      <c r="R27" s="1450" t="n"/>
      <c r="S27" s="1450" t="n"/>
      <c r="T27" s="1450" t="n"/>
    </row>
    <row r="28">
      <c r="B28" s="1450" t="n"/>
      <c r="C28" s="1450" t="n"/>
      <c r="D28" s="1450" t="n"/>
      <c r="E28" s="1450" t="n"/>
      <c r="F28" s="1450" t="n"/>
      <c r="G28" s="1471" t="inlineStr">
        <is>
          <t>APPRAISAL INFORMATION</t>
        </is>
      </c>
      <c r="M28" s="1170" t="n"/>
      <c r="N28" s="1170" t="n"/>
      <c r="O28" s="1170" t="n"/>
      <c r="P28" s="1170" t="n"/>
      <c r="Q28" s="1170" t="n"/>
      <c r="R28" s="1170" t="n"/>
      <c r="S28" s="1170" t="n"/>
      <c r="T28" s="1450" t="n"/>
    </row>
    <row r="29" ht="31.5" customHeight="1" s="1439">
      <c r="B29" s="1450" t="n"/>
      <c r="C29" s="1450" t="n"/>
      <c r="D29" s="1450" t="n"/>
      <c r="E29" s="1450" t="n"/>
      <c r="F29" s="1450" t="n"/>
      <c r="G29" s="1171" t="inlineStr">
        <is>
          <t>Intended User</t>
        </is>
      </c>
      <c r="H29" s="1448" t="inlineStr">
        <is>
          <t>Adams County Board of Equalization, Adams County Attorney, Colorado Board of Assessment Appeals</t>
        </is>
      </c>
      <c r="M29" s="1482" t="n"/>
      <c r="N29" s="1482" t="n"/>
      <c r="O29" s="1482" t="n"/>
      <c r="P29" s="1482" t="n"/>
      <c r="Q29" s="1482" t="n"/>
      <c r="R29" s="1482" t="n"/>
      <c r="S29" s="1482" t="n"/>
      <c r="T29" s="1450" t="n"/>
    </row>
    <row r="30" hidden="1" s="1439">
      <c r="B30" s="1450" t="n"/>
      <c r="C30" s="1450" t="n"/>
      <c r="D30" s="1450" t="n"/>
      <c r="E30" s="1450" t="n"/>
      <c r="F30" s="1450" t="n"/>
      <c r="G30" s="1171" t="n"/>
      <c r="H30" s="1460">
        <f>clCompanyAddressStreet1&amp;", "&amp;clCompanyAddressStreet2</f>
        <v/>
      </c>
      <c r="L30" s="1173" t="n"/>
      <c r="M30" s="1173" t="n"/>
      <c r="N30" s="1173" t="n"/>
      <c r="O30" s="1173" t="n"/>
      <c r="P30" s="1173" t="n"/>
      <c r="Q30" s="1173" t="n"/>
      <c r="R30" s="1173" t="n"/>
      <c r="S30" s="1173" t="n"/>
      <c r="T30" s="1450" t="n"/>
    </row>
    <row r="31" hidden="1" s="1439">
      <c r="B31" s="1450" t="n"/>
      <c r="C31" s="1450" t="n"/>
      <c r="D31" s="1450" t="n"/>
      <c r="E31" s="1450" t="n"/>
      <c r="F31" s="1450" t="n"/>
      <c r="G31" s="1171" t="n"/>
      <c r="H31" s="1460">
        <f>clCompanyAddressCity&amp;", "&amp;clCompanyAddressState&amp;"  "&amp;clCompanyAddressZip</f>
        <v/>
      </c>
      <c r="L31" s="1173" t="n"/>
      <c r="M31" s="1173" t="n"/>
      <c r="N31" s="1173" t="n"/>
      <c r="O31" s="1173" t="n"/>
      <c r="P31" s="1173" t="n"/>
      <c r="Q31" s="1173" t="n"/>
      <c r="R31" s="1173" t="n"/>
      <c r="S31" s="1173" t="n"/>
      <c r="T31" s="1450" t="n"/>
    </row>
    <row r="32" hidden="1" s="1439">
      <c r="B32" s="1450" t="n"/>
      <c r="C32" s="1450" t="n"/>
      <c r="D32" s="1450" t="n"/>
      <c r="E32" s="1450" t="n"/>
      <c r="F32" s="1450" t="n"/>
      <c r="G32" s="1171" t="inlineStr">
        <is>
          <t>Intended User(s)</t>
        </is>
      </c>
      <c r="H32" s="1461">
        <f>H29</f>
        <v/>
      </c>
      <c r="L32" s="1174" t="n"/>
      <c r="M32" s="1173" t="n"/>
      <c r="N32" s="1173" t="n"/>
      <c r="O32" s="1173" t="n"/>
      <c r="P32" s="1173" t="n"/>
      <c r="Q32" s="1173" t="n"/>
      <c r="R32" s="1173" t="n"/>
      <c r="S32" s="1173" t="n"/>
      <c r="T32" s="1450" t="n"/>
    </row>
    <row r="33" ht="15" customHeight="1" s="1439">
      <c r="B33" s="1450" t="n"/>
      <c r="C33" s="1450" t="n"/>
      <c r="D33" s="1450" t="n"/>
      <c r="E33" s="1450" t="n"/>
      <c r="F33" s="1450" t="n"/>
      <c r="G33" s="1171" t="inlineStr">
        <is>
          <t>Intended Use</t>
        </is>
      </c>
      <c r="H33" s="1448" t="inlineStr">
        <is>
          <t>Aid in tax appeal decision</t>
        </is>
      </c>
      <c r="M33" s="1482" t="n"/>
      <c r="N33" s="1482" t="n"/>
      <c r="O33" s="1482" t="n"/>
      <c r="P33" s="1482" t="n"/>
      <c r="Q33" s="1482" t="n"/>
      <c r="R33" s="1482" t="n"/>
      <c r="S33" s="1482" t="n"/>
      <c r="T33" s="1450" t="n"/>
    </row>
    <row r="34" ht="20.25" customHeight="1" s="1439">
      <c r="B34" s="1450" t="n"/>
      <c r="C34" s="1450" t="n"/>
      <c r="D34" s="1450" t="n"/>
      <c r="E34" s="1450" t="n"/>
      <c r="F34" s="1450" t="n"/>
      <c r="G34" s="1171" t="inlineStr">
        <is>
          <t>Values Concluded</t>
        </is>
      </c>
      <c r="H34" s="1448" t="inlineStr">
        <is>
          <t xml:space="preserve">Retrospective Market Value </t>
        </is>
      </c>
      <c r="M34" s="1482" t="n"/>
      <c r="N34" s="1482" t="n"/>
      <c r="O34" s="1482" t="n"/>
      <c r="P34" s="1482" t="n"/>
      <c r="Q34" s="1482" t="n"/>
      <c r="R34" s="1482" t="n"/>
      <c r="S34" s="1482" t="n"/>
      <c r="T34" s="1450" t="n"/>
    </row>
    <row r="35" ht="29.25" customHeight="1" s="1439">
      <c r="B35" s="1450" t="n"/>
      <c r="C35" s="1450" t="n"/>
      <c r="D35" s="1450" t="n"/>
      <c r="E35" s="1450" t="n"/>
      <c r="F35" s="1450" t="n"/>
      <c r="G35" s="1171" t="inlineStr">
        <is>
          <t>Property Rights Appraised / Premise</t>
        </is>
      </c>
      <c r="H35" s="1448" t="inlineStr">
        <is>
          <t>Retrospective Market Value of the Fee Simple interest in the subject property, As Is as of June 30, 2020</t>
        </is>
      </c>
      <c r="M35" s="1482" t="n"/>
      <c r="N35" s="1482" t="n"/>
      <c r="O35" s="1482" t="n"/>
      <c r="P35" s="1482" t="n"/>
      <c r="Q35" s="1482" t="n"/>
      <c r="R35" s="1482" t="n"/>
      <c r="S35" s="1482" t="n"/>
      <c r="T35" s="1450" t="n"/>
    </row>
    <row r="36" ht="18" customHeight="1" s="1439">
      <c r="B36" s="1450" t="n"/>
      <c r="C36" s="1450" t="n"/>
      <c r="D36" s="1450" t="n"/>
      <c r="E36" s="1450" t="n"/>
      <c r="F36" s="1450" t="n"/>
      <c r="G36" s="1171" t="inlineStr">
        <is>
          <t>Premise Summary</t>
        </is>
      </c>
      <c r="H36" s="1448" t="inlineStr">
        <is>
          <t>Retrospective Market Value As Is  - June 30, 2020</t>
        </is>
      </c>
      <c r="M36" s="1482" t="n"/>
      <c r="N36" s="1482" t="n"/>
      <c r="O36" s="1482" t="n"/>
      <c r="P36" s="1482" t="n"/>
      <c r="Q36" s="1482" t="n"/>
      <c r="R36" s="1482" t="n"/>
      <c r="S36" s="1482" t="n"/>
      <c r="T36" s="1450" t="n"/>
    </row>
    <row r="37">
      <c r="B37" s="1450" t="n"/>
      <c r="C37" s="1450" t="n"/>
      <c r="D37" s="1450" t="n"/>
      <c r="E37" s="1450" t="n"/>
      <c r="F37" s="1450" t="n"/>
      <c r="G37" s="1171" t="inlineStr">
        <is>
          <t>Date of Inspection</t>
        </is>
      </c>
      <c r="H37" s="1699" t="n">
        <v>45079</v>
      </c>
      <c r="M37" s="1700" t="n"/>
      <c r="N37" s="1700" t="n"/>
      <c r="O37" s="1700" t="n"/>
      <c r="P37" s="1700" t="n"/>
      <c r="Q37" s="1700" t="n"/>
      <c r="R37" s="1700" t="n"/>
      <c r="S37" s="1700" t="n"/>
      <c r="T37" s="1450" t="n"/>
    </row>
    <row r="38">
      <c r="B38" s="1450" t="n"/>
      <c r="C38" s="1450" t="n"/>
      <c r="D38" s="1450" t="n"/>
      <c r="E38" s="1450" t="n"/>
      <c r="F38" s="1450" t="n"/>
      <c r="G38" s="1171" t="inlineStr">
        <is>
          <t>Report Date</t>
        </is>
      </c>
      <c r="H38" s="1700">
        <f>'Property Info'!B27</f>
        <v/>
      </c>
      <c r="M38" s="1700" t="n"/>
      <c r="N38" s="1700" t="n"/>
      <c r="O38" s="1700" t="n"/>
      <c r="P38" s="1700" t="n"/>
      <c r="Q38" s="1700" t="n"/>
      <c r="R38" s="1700" t="n"/>
      <c r="S38" s="1700" t="n"/>
      <c r="T38" s="1450" t="n"/>
    </row>
    <row r="39">
      <c r="B39" s="1450" t="n"/>
      <c r="C39" s="1450" t="n"/>
      <c r="D39" s="1450" t="n"/>
      <c r="E39" s="1450" t="n"/>
      <c r="F39" s="1450" t="n"/>
      <c r="G39" s="1171" t="inlineStr">
        <is>
          <t>Marketing Time</t>
        </is>
      </c>
      <c r="H39" s="1701" t="inlineStr">
        <is>
          <t>12 months</t>
        </is>
      </c>
      <c r="M39" s="1701" t="n"/>
      <c r="N39" s="1701" t="n"/>
      <c r="O39" s="1701" t="n"/>
      <c r="P39" s="1701" t="n"/>
      <c r="Q39" s="1701" t="n"/>
      <c r="R39" s="1701" t="n"/>
      <c r="S39" s="1701" t="n"/>
      <c r="T39" s="1450" t="n"/>
    </row>
    <row r="40">
      <c r="B40" s="1450" t="n"/>
      <c r="C40" s="1450" t="n"/>
      <c r="D40" s="1450" t="n"/>
      <c r="E40" s="1450" t="n"/>
      <c r="F40" s="1450" t="n"/>
      <c r="G40" s="1171" t="inlineStr">
        <is>
          <t>Exposure Time</t>
        </is>
      </c>
      <c r="H40" s="1701" t="inlineStr">
        <is>
          <t>12 months</t>
        </is>
      </c>
      <c r="M40" s="1701" t="n"/>
      <c r="N40" s="1701" t="n"/>
      <c r="O40" s="1701" t="n"/>
      <c r="P40" s="1701" t="n"/>
      <c r="Q40" s="1701" t="n"/>
      <c r="R40" s="1701" t="n"/>
      <c r="S40" s="1701" t="n"/>
      <c r="T40" s="1450" t="n"/>
    </row>
    <row r="41">
      <c r="B41" s="1450" t="n"/>
      <c r="C41" s="1450" t="n"/>
      <c r="D41" s="1450" t="n"/>
      <c r="E41" s="1450" t="n"/>
      <c r="F41" s="1450" t="n"/>
      <c r="G41" s="1171" t="inlineStr">
        <is>
          <t>Owner of Record</t>
        </is>
      </c>
      <c r="H41" s="1448" t="n"/>
      <c r="M41" s="1482" t="n"/>
      <c r="N41" s="1482" t="n"/>
      <c r="O41" s="1482" t="n"/>
      <c r="P41" s="1482" t="n"/>
      <c r="Q41" s="1482" t="n"/>
      <c r="R41" s="1482" t="n"/>
      <c r="S41" s="1482" t="n"/>
      <c r="T41" s="1450" t="n"/>
    </row>
    <row r="42" ht="67.5" customHeight="1" s="1439">
      <c r="B42" s="1450" t="n"/>
      <c r="C42" s="1450" t="n"/>
      <c r="D42" s="1450" t="n"/>
      <c r="E42" s="1450" t="n"/>
      <c r="F42" s="1450" t="n"/>
      <c r="G42" s="1171" t="inlineStr">
        <is>
          <t>Property Contact(s)</t>
        </is>
      </c>
      <c r="H42" s="1448" t="inlineStr">
        <is>
          <t xml:space="preserve">Mr. Patrick de Jongh and Mr. Michael Kaufman, taxpayer representatives, were interviewed by phone and email throughout the appraisal process and intended our inspection of the subject property. </t>
        </is>
      </c>
      <c r="M42" s="1482" t="n"/>
      <c r="N42" s="1482" t="n"/>
      <c r="O42" s="1482" t="n"/>
      <c r="P42" s="1482" t="n"/>
      <c r="Q42" s="1482" t="n"/>
      <c r="R42" s="1482" t="n"/>
      <c r="S42" s="1482" t="n"/>
      <c r="T42" s="1450" t="n"/>
    </row>
    <row r="43">
      <c r="B43" s="1450" t="n"/>
      <c r="C43" s="1450" t="n"/>
      <c r="D43" s="1450" t="n"/>
      <c r="E43" s="1450" t="n"/>
      <c r="F43" s="1450" t="n"/>
      <c r="G43" s="1171" t="inlineStr">
        <is>
          <t>Most Probable Purchaser</t>
        </is>
      </c>
      <c r="H43" s="1482">
        <f>pdMostProbablePurchaser</f>
        <v/>
      </c>
      <c r="M43" s="1482" t="n"/>
      <c r="N43" s="1482" t="n"/>
      <c r="O43" s="1482" t="n"/>
      <c r="P43" s="1482" t="n"/>
      <c r="Q43" s="1482" t="n"/>
      <c r="R43" s="1482" t="n"/>
      <c r="S43" s="1482" t="n"/>
      <c r="T43" s="1450" t="n"/>
    </row>
    <row r="44">
      <c r="B44" s="1450" t="n"/>
      <c r="C44" s="1450" t="n"/>
      <c r="D44" s="1450" t="n"/>
      <c r="E44" s="1450" t="n"/>
      <c r="F44" s="1450" t="n"/>
      <c r="G44" s="1171" t="inlineStr">
        <is>
          <t>Highest and Best Use</t>
        </is>
      </c>
      <c r="H44" s="1460" t="n"/>
      <c r="I44" s="1178" t="n"/>
      <c r="J44" s="1178" t="n"/>
      <c r="K44" s="1178" t="n"/>
      <c r="L44" s="1178" t="n"/>
      <c r="M44" s="1178" t="n"/>
      <c r="N44" s="1178" t="n"/>
      <c r="O44" s="1178" t="n"/>
      <c r="P44" s="1178" t="n"/>
      <c r="Q44" s="1178" t="n"/>
      <c r="R44" s="1178" t="n"/>
      <c r="S44" s="1178" t="n"/>
      <c r="T44" s="1450" t="n"/>
    </row>
    <row r="45" ht="15" customHeight="1" s="1439">
      <c r="B45" s="1450" t="n"/>
      <c r="C45" s="1450" t="n"/>
      <c r="D45" s="1450" t="n"/>
      <c r="E45" s="1450" t="n"/>
      <c r="F45" s="1450" t="n"/>
      <c r="G45" s="1179" t="inlineStr">
        <is>
          <t>If Vacant</t>
        </is>
      </c>
      <c r="H45" s="1448" t="inlineStr">
        <is>
          <t xml:space="preserve">Light Industrial Development </t>
        </is>
      </c>
      <c r="M45" s="1482" t="n"/>
      <c r="N45" s="1482" t="n"/>
      <c r="O45" s="1482" t="n"/>
      <c r="P45" s="1482" t="n"/>
      <c r="Q45" s="1482" t="n"/>
      <c r="R45" s="1482" t="n"/>
      <c r="S45" s="1482" t="n"/>
      <c r="T45" s="1450" t="n"/>
    </row>
    <row r="46" ht="15" customHeight="1" s="1439">
      <c r="B46" s="1450" t="n"/>
      <c r="C46" s="1450" t="n"/>
      <c r="D46" s="1450" t="n"/>
      <c r="E46" s="1450" t="n"/>
      <c r="F46" s="1450" t="n"/>
      <c r="G46" s="1180" t="inlineStr">
        <is>
          <t>As Improved</t>
        </is>
      </c>
      <c r="H46" s="1483">
        <f>pdHBUAsImproved</f>
        <v/>
      </c>
      <c r="I46" s="1458" t="n"/>
      <c r="J46" s="1458" t="n"/>
      <c r="K46" s="1458" t="n"/>
      <c r="L46" s="1458" t="n"/>
      <c r="M46" s="1482" t="n"/>
      <c r="N46" s="1482" t="n"/>
      <c r="O46" s="1482" t="n"/>
      <c r="P46" s="1482" t="n"/>
      <c r="Q46" s="1482" t="n"/>
      <c r="R46" s="1482" t="n"/>
      <c r="S46" s="1482" t="n"/>
      <c r="T46" s="1450" t="n"/>
    </row>
    <row r="47">
      <c r="B47" s="1450" t="n"/>
      <c r="C47" s="1450" t="n"/>
      <c r="D47" s="1450" t="n"/>
      <c r="E47" s="1450" t="n"/>
      <c r="F47" s="1450" t="n"/>
      <c r="G47" s="1179" t="n"/>
      <c r="H47" s="1460" t="n"/>
      <c r="I47" s="1173" t="n"/>
      <c r="J47" s="1173" t="n"/>
      <c r="K47" s="1173" t="n"/>
      <c r="L47" s="1173" t="n"/>
      <c r="M47" s="1173" t="n"/>
      <c r="N47" s="1173" t="n"/>
      <c r="O47" s="1173" t="n"/>
      <c r="P47" s="1173" t="n"/>
      <c r="Q47" s="1173" t="n"/>
      <c r="R47" s="1173" t="n"/>
      <c r="S47" s="1173" t="n"/>
      <c r="T47" s="1450" t="n"/>
    </row>
    <row r="48">
      <c r="B48" s="1450" t="n"/>
      <c r="C48" s="1450" t="n"/>
      <c r="D48" s="1450" t="n"/>
      <c r="E48" s="1450" t="n"/>
      <c r="F48" s="1450" t="n"/>
      <c r="G48" s="1179" t="n"/>
      <c r="H48" s="1460" t="n"/>
      <c r="I48" s="1173" t="n"/>
      <c r="J48" s="1173" t="n"/>
      <c r="K48" s="1173" t="n"/>
      <c r="L48" s="1173" t="n"/>
      <c r="M48" s="1173" t="n"/>
      <c r="N48" s="1173" t="n"/>
      <c r="O48" s="1173" t="n"/>
      <c r="P48" s="1173" t="n"/>
      <c r="Q48" s="1173" t="n"/>
      <c r="R48" s="1173" t="n"/>
      <c r="S48" s="1173" t="n"/>
      <c r="T48" s="1450" t="n"/>
    </row>
    <row r="49">
      <c r="B49" s="1450" t="n"/>
      <c r="C49" s="1450" t="n"/>
      <c r="D49" s="1450" t="n"/>
      <c r="E49" s="1450" t="n"/>
      <c r="F49" s="1450" t="n"/>
      <c r="G49" s="1179" t="n"/>
      <c r="H49" s="1460" t="n"/>
      <c r="I49" s="1173" t="n"/>
      <c r="J49" s="1173" t="n"/>
      <c r="K49" s="1173" t="n"/>
      <c r="L49" s="1173" t="n"/>
      <c r="M49" s="1474" t="inlineStr">
        <is>
          <t>SCOPE OF THE INVESTIGATION</t>
        </is>
      </c>
      <c r="R49" s="1409" t="n"/>
      <c r="S49" s="1409" t="n"/>
    </row>
    <row r="50" customFormat="1" s="1450">
      <c r="G50" s="1179" t="n"/>
      <c r="H50" s="1460" t="n"/>
      <c r="I50" s="1173" t="n"/>
      <c r="J50" s="1173" t="n"/>
      <c r="K50" s="1173" t="n"/>
      <c r="L50" s="1173" t="n"/>
      <c r="M50" s="1470" t="inlineStr">
        <is>
          <t>General and Market Data Analyzed</t>
        </is>
      </c>
      <c r="N50" s="1456" t="inlineStr">
        <is>
          <t>§  Regional economic data and trends</t>
        </is>
      </c>
      <c r="R50" s="1456" t="n"/>
      <c r="S50" s="1456" t="n"/>
    </row>
    <row r="51" customFormat="1" s="1450">
      <c r="G51" s="1179" t="n"/>
      <c r="H51" s="1460" t="n"/>
      <c r="I51" s="1173" t="n"/>
      <c r="J51" s="1173" t="n"/>
      <c r="K51" s="1173" t="n"/>
      <c r="L51" s="1173" t="n"/>
      <c r="N51" s="1456" t="inlineStr">
        <is>
          <t>§  Market analysis data specific to the subject property type</t>
        </is>
      </c>
      <c r="R51" s="1456" t="n"/>
      <c r="S51" s="1456" t="n"/>
    </row>
    <row r="52" customFormat="1" s="1450">
      <c r="G52" s="1179" t="n"/>
      <c r="H52" s="1460" t="n"/>
      <c r="I52" s="1173" t="n"/>
      <c r="J52" s="1173" t="n"/>
      <c r="K52" s="1173" t="n"/>
      <c r="L52" s="1173" t="n"/>
      <c r="N52" s="1456" t="inlineStr">
        <is>
          <t>§  Published survey data</t>
        </is>
      </c>
      <c r="R52" s="1456" t="n"/>
      <c r="S52" s="1456" t="n"/>
    </row>
    <row r="53" customFormat="1" s="1450">
      <c r="G53" s="1179" t="n"/>
      <c r="H53" s="1460" t="n"/>
      <c r="I53" s="1173" t="n"/>
      <c r="J53" s="1173" t="n"/>
      <c r="K53" s="1173" t="n"/>
      <c r="L53" s="1173" t="n"/>
      <c r="N53" s="1456" t="inlineStr">
        <is>
          <t>§  Neighborhood demographic data</t>
        </is>
      </c>
      <c r="R53" s="1456" t="n"/>
      <c r="S53" s="1456" t="n"/>
    </row>
    <row r="54" customFormat="1" s="1450">
      <c r="G54" s="1179" t="n"/>
      <c r="H54" s="1460" t="n"/>
      <c r="I54" s="1173" t="n"/>
      <c r="J54" s="1173" t="n"/>
      <c r="K54" s="1173" t="n"/>
      <c r="L54" s="1173" t="n"/>
      <c r="N54" s="1456" t="inlineStr">
        <is>
          <t>§  Comparable cost, sale, rental, expense, and capitalization rate data</t>
        </is>
      </c>
      <c r="R54" s="1456" t="n"/>
      <c r="S54" s="1456" t="n"/>
    </row>
    <row r="55" customFormat="1" s="1450">
      <c r="G55" s="1179" t="n"/>
      <c r="H55" s="1460" t="n"/>
      <c r="I55" s="1173" t="n"/>
      <c r="J55" s="1173" t="n"/>
      <c r="K55" s="1173" t="n"/>
      <c r="L55" s="1173" t="n"/>
      <c r="N55" s="1456" t="inlineStr">
        <is>
          <t>§  Floodplain status</t>
        </is>
      </c>
      <c r="R55" s="1456" t="n"/>
      <c r="S55" s="1456" t="n"/>
    </row>
    <row r="56" customFormat="1" s="1450">
      <c r="G56" s="1179" t="n"/>
      <c r="H56" s="1460" t="n"/>
      <c r="I56" s="1173" t="n"/>
      <c r="J56" s="1173" t="n"/>
      <c r="K56" s="1173" t="n"/>
      <c r="L56" s="1173" t="n"/>
      <c r="N56" s="1456" t="inlineStr">
        <is>
          <t>§  Zoning information</t>
        </is>
      </c>
      <c r="R56" s="1456" t="n"/>
      <c r="S56" s="1456" t="n"/>
    </row>
    <row r="57" customFormat="1" s="1450">
      <c r="G57" s="1179" t="n"/>
      <c r="H57" s="1460" t="n"/>
      <c r="I57" s="1173" t="n"/>
      <c r="J57" s="1173" t="n"/>
      <c r="K57" s="1173" t="n"/>
      <c r="L57" s="1173" t="n"/>
      <c r="N57" s="1456" t="inlineStr">
        <is>
          <t>§  Assessor’s information</t>
        </is>
      </c>
      <c r="R57" s="1456" t="n"/>
      <c r="S57" s="1456" t="n"/>
    </row>
    <row r="58" customFormat="1" s="1450">
      <c r="G58" s="1179" t="n"/>
      <c r="H58" s="1460" t="n"/>
      <c r="I58" s="1173" t="n"/>
      <c r="J58" s="1173" t="n"/>
      <c r="K58" s="1173" t="n"/>
      <c r="L58" s="1173" t="n"/>
      <c r="N58" s="1456" t="inlineStr">
        <is>
          <t>§  Interviewed professionals knowledgeable about the subject’s property type and market</t>
        </is>
      </c>
      <c r="R58" s="1456" t="n"/>
      <c r="S58" s="1456" t="n"/>
    </row>
    <row r="59" ht="15" customFormat="1" customHeight="1" s="1450">
      <c r="G59" s="1179" t="n"/>
      <c r="H59" s="1460" t="n"/>
      <c r="I59" s="1173" t="n"/>
      <c r="J59" s="1173" t="n"/>
      <c r="K59" s="1173" t="n"/>
      <c r="L59" s="1173" t="n"/>
      <c r="M59" s="1470" t="inlineStr">
        <is>
          <t>Inspection Details</t>
        </is>
      </c>
      <c r="N59" s="1449" t="inlineStr">
        <is>
          <t>The interior and exterior of the subject was inspected.</t>
        </is>
      </c>
      <c r="R59" s="1449" t="n"/>
      <c r="S59" s="1449" t="n"/>
    </row>
    <row r="60" customFormat="1" s="1450">
      <c r="G60" s="1179" t="n"/>
      <c r="H60" s="1460" t="n"/>
      <c r="I60" s="1173" t="n"/>
      <c r="J60" s="1173" t="n"/>
      <c r="K60" s="1173" t="n"/>
      <c r="L60" s="1173" t="n"/>
      <c r="M60" s="1470" t="inlineStr">
        <is>
          <t>Data Sources</t>
        </is>
      </c>
      <c r="N60" s="1449" t="n"/>
      <c r="R60" s="1449" t="n"/>
      <c r="S60" s="1449" t="n"/>
    </row>
    <row r="61" customFormat="1" s="1450">
      <c r="G61" s="1179" t="n"/>
      <c r="H61" s="1460" t="n"/>
      <c r="I61" s="1173" t="n"/>
      <c r="J61" s="1173" t="n"/>
      <c r="K61" s="1173" t="n"/>
      <c r="L61" s="1173" t="n"/>
      <c r="M61" s="1206" t="inlineStr">
        <is>
          <t>Site Size</t>
        </is>
      </c>
      <c r="N61" s="1476" t="inlineStr">
        <is>
          <t>Adams County Assessor Records, Appraiser Measurement</t>
        </is>
      </c>
      <c r="R61" s="1449" t="n"/>
      <c r="S61" s="1449" t="n"/>
    </row>
    <row r="62" customFormat="1" s="1450">
      <c r="G62" s="1179" t="n"/>
      <c r="H62" s="1460" t="n"/>
      <c r="I62" s="1173" t="n"/>
      <c r="J62" s="1173" t="n"/>
      <c r="K62" s="1173" t="n"/>
      <c r="L62" s="1173" t="n"/>
      <c r="M62" s="1206" t="inlineStr">
        <is>
          <t>Building Size</t>
        </is>
      </c>
      <c r="N62" s="1462" t="inlineStr">
        <is>
          <t>Adams County Assessor Records, Appraiser Measurement</t>
        </is>
      </c>
      <c r="R62" s="1449" t="n"/>
      <c r="S62" s="1449" t="n"/>
    </row>
    <row r="63" customFormat="1" s="1450">
      <c r="G63" s="1179" t="n"/>
      <c r="H63" s="1460" t="n"/>
      <c r="I63" s="1173" t="n"/>
      <c r="J63" s="1173" t="n"/>
      <c r="K63" s="1173" t="n"/>
      <c r="L63" s="1173" t="n"/>
      <c r="M63" s="1206" t="inlineStr">
        <is>
          <t>Zoning information</t>
        </is>
      </c>
      <c r="N63" s="1462" t="inlineStr">
        <is>
          <t>Adams County Planning Department</t>
        </is>
      </c>
      <c r="R63" s="1449" t="n"/>
      <c r="S63" s="1449" t="n"/>
    </row>
    <row r="64" customFormat="1" s="1450">
      <c r="G64" s="1179" t="n"/>
      <c r="H64" s="1460" t="n"/>
      <c r="I64" s="1173" t="n"/>
      <c r="J64" s="1173" t="n"/>
      <c r="K64" s="1173" t="n"/>
      <c r="L64" s="1173" t="n"/>
      <c r="M64" s="1206" t="inlineStr">
        <is>
          <t>Flood Status</t>
        </is>
      </c>
      <c r="N64" s="1462" t="inlineStr">
        <is>
          <t>FEMA Flood Map Service Center</t>
        </is>
      </c>
      <c r="R64" s="1449" t="n"/>
      <c r="S64" s="1449" t="n"/>
    </row>
    <row r="65" customFormat="1" s="1450">
      <c r="G65" s="1179" t="n"/>
      <c r="H65" s="1460" t="n"/>
      <c r="I65" s="1173" t="n"/>
      <c r="J65" s="1173" t="n"/>
      <c r="K65" s="1173" t="n"/>
      <c r="L65" s="1173" t="n"/>
      <c r="M65" s="1206" t="inlineStr">
        <is>
          <t>Demographics</t>
        </is>
      </c>
      <c r="N65" s="1462" t="inlineStr">
        <is>
          <t>CoStar Market Reports</t>
        </is>
      </c>
      <c r="R65" s="1449" t="n"/>
      <c r="S65" s="1449" t="n"/>
    </row>
    <row r="66" customFormat="1" s="1450">
      <c r="G66" s="1179" t="n"/>
      <c r="H66" s="1460" t="n"/>
      <c r="I66" s="1173" t="n"/>
      <c r="J66" s="1173" t="n"/>
      <c r="K66" s="1173" t="n"/>
      <c r="L66" s="1173" t="n"/>
      <c r="M66" s="1206" t="inlineStr">
        <is>
          <t>Land Sales</t>
        </is>
      </c>
      <c r="N66" s="1462" t="inlineStr">
        <is>
          <t>CoStar, MLS, Adams County Sales Data, Local Brokers</t>
        </is>
      </c>
      <c r="R66" s="1449" t="n"/>
      <c r="S66" s="1449" t="n"/>
    </row>
    <row r="67" customFormat="1" s="1450">
      <c r="G67" s="1179" t="n"/>
      <c r="H67" s="1460" t="n"/>
      <c r="I67" s="1173" t="n"/>
      <c r="J67" s="1173" t="n"/>
      <c r="K67" s="1173" t="n"/>
      <c r="L67" s="1173" t="n"/>
      <c r="M67" s="1206" t="inlineStr">
        <is>
          <t>Cost Estimate Data</t>
        </is>
      </c>
      <c r="N67" s="1462" t="inlineStr">
        <is>
          <t>Marshall &amp; Swift Cost Estimator</t>
        </is>
      </c>
      <c r="R67" s="1449" t="n"/>
      <c r="S67" s="1449" t="n"/>
    </row>
    <row r="68" customFormat="1" s="1450">
      <c r="G68" s="1179" t="n"/>
      <c r="H68" s="1460" t="n"/>
      <c r="I68" s="1173" t="n"/>
      <c r="J68" s="1173" t="n"/>
      <c r="K68" s="1173" t="n"/>
      <c r="L68" s="1173" t="n"/>
      <c r="M68" s="1206" t="inlineStr">
        <is>
          <t>Comparable Improved Sales</t>
        </is>
      </c>
      <c r="N68" s="1462" t="inlineStr">
        <is>
          <t>CoStar, MLS, Adams County Sales Data, Local Brokers</t>
        </is>
      </c>
      <c r="R68" s="1449" t="n"/>
      <c r="S68" s="1449" t="n"/>
    </row>
    <row r="69" customFormat="1" s="1450">
      <c r="G69" s="1179" t="n"/>
      <c r="H69" s="1460" t="n"/>
      <c r="I69" s="1173" t="n"/>
      <c r="J69" s="1173" t="n"/>
      <c r="K69" s="1173" t="n"/>
      <c r="L69" s="1173" t="n"/>
      <c r="M69" s="1206" t="inlineStr">
        <is>
          <t>Comparable Improved Rents</t>
        </is>
      </c>
      <c r="N69" s="1462" t="inlineStr">
        <is>
          <t>CoStar, MLS, Adams County Lease Data, Local Brokers</t>
        </is>
      </c>
      <c r="R69" s="1449" t="n"/>
      <c r="S69" s="1449" t="n"/>
    </row>
    <row r="70" ht="15" customFormat="1" customHeight="1" s="1450">
      <c r="K70" s="1482" t="n"/>
      <c r="L70" s="1482" t="n"/>
      <c r="M70" s="1475" t="inlineStr">
        <is>
          <t>Property Specific Data Requested and Received</t>
        </is>
      </c>
      <c r="N70" s="1482" t="n"/>
      <c r="R70" s="1482" t="n"/>
      <c r="S70" s="1482" t="n"/>
    </row>
    <row r="71" ht="15" customFormat="1" customHeight="1" s="1450">
      <c r="K71" s="1482" t="n"/>
      <c r="L71" s="1482" t="n"/>
      <c r="N71" s="1448" t="inlineStr">
        <is>
          <t>Lease, Lease Addendum</t>
        </is>
      </c>
      <c r="R71" s="1482" t="n"/>
      <c r="S71" s="1482" t="n"/>
    </row>
    <row r="72" customFormat="1" s="1450">
      <c r="K72" s="1482" t="n"/>
      <c r="L72" s="1482" t="n"/>
      <c r="N72" s="1448" t="inlineStr">
        <is>
          <t>Estimated financial analysis</t>
        </is>
      </c>
      <c r="R72" s="1482" t="n"/>
      <c r="S72" s="1482" t="n"/>
    </row>
    <row r="73" customFormat="1" s="1450">
      <c r="K73" s="1482" t="n"/>
      <c r="L73" s="1482" t="n"/>
      <c r="N73" s="1448" t="inlineStr">
        <is>
          <t>Property Expenses (2019, 2020)</t>
        </is>
      </c>
      <c r="R73" s="1482" t="n"/>
      <c r="S73" s="1482" t="n"/>
    </row>
    <row r="74" hidden="1" ht="15" customFormat="1" customHeight="1" s="1450">
      <c r="K74" s="1482" t="n"/>
      <c r="L74" s="1482" t="n"/>
      <c r="N74" s="1448" t="n"/>
      <c r="R74" s="1482" t="n"/>
      <c r="S74" s="1482" t="n"/>
    </row>
    <row r="75" customFormat="1" s="1450">
      <c r="K75" s="1482" t="n"/>
      <c r="L75" s="1482" t="n"/>
      <c r="M75" s="1171" t="inlineStr">
        <is>
          <t>Data Requested, but not Provided</t>
        </is>
      </c>
      <c r="N75" s="1448" t="n"/>
      <c r="R75" s="1482" t="n"/>
      <c r="S75" s="1482" t="n"/>
    </row>
    <row r="76" ht="15" customFormat="1" customHeight="1" s="1450">
      <c r="K76" s="1182" t="n"/>
      <c r="L76" s="1182" t="n"/>
      <c r="M76" s="1179" t="n"/>
      <c r="N76" s="1448" t="inlineStr">
        <is>
          <t>Rent Roll</t>
        </is>
      </c>
      <c r="O76" s="1448" t="n"/>
      <c r="P76" s="1448" t="n"/>
      <c r="Q76" s="1448" t="n"/>
      <c r="R76" s="1482" t="n"/>
      <c r="S76" s="1482" t="n"/>
    </row>
    <row r="77" customFormat="1" s="1450">
      <c r="K77" s="1482" t="n"/>
      <c r="L77" s="1482" t="n"/>
      <c r="M77" s="1179" t="n"/>
      <c r="N77" s="1448" t="inlineStr">
        <is>
          <t>Building Plans</t>
        </is>
      </c>
      <c r="O77" s="1448" t="n"/>
      <c r="P77" s="1448" t="n"/>
      <c r="Q77" s="1448" t="n"/>
      <c r="R77" s="1482" t="n"/>
      <c r="S77" s="1482" t="n"/>
    </row>
    <row r="78" ht="15" customFormat="1" customHeight="1" s="1450">
      <c r="K78" s="1482" t="n"/>
      <c r="L78" s="1482" t="n"/>
      <c r="M78" s="1179" t="n"/>
      <c r="N78" s="1448" t="inlineStr">
        <is>
          <t>Environmental survey</t>
        </is>
      </c>
      <c r="R78" s="1482" t="n"/>
      <c r="S78" s="1482" t="n"/>
    </row>
    <row r="79" ht="15" customFormat="1" customHeight="1" s="1450">
      <c r="K79" s="1482" t="n"/>
      <c r="L79" s="1482" t="n"/>
      <c r="M79" s="1180" t="n"/>
      <c r="N79" s="1483" t="inlineStr">
        <is>
          <t>ALTA Survey</t>
        </is>
      </c>
      <c r="O79" s="1458" t="n"/>
      <c r="P79" s="1458" t="n"/>
      <c r="Q79" s="1458" t="n"/>
      <c r="R79" s="1482" t="n"/>
      <c r="S79" s="1482" t="n"/>
    </row>
    <row r="80" ht="15" customFormat="1" customHeight="1" s="1450">
      <c r="K80" s="1482" t="n"/>
      <c r="L80" s="1482" t="n"/>
      <c r="M80" s="1179" t="n"/>
      <c r="N80" s="1482" t="n"/>
      <c r="O80" s="1482" t="n"/>
      <c r="P80" s="1482" t="n"/>
      <c r="Q80" s="1482" t="n"/>
      <c r="R80" s="1482" t="n"/>
      <c r="S80" s="1482" t="n"/>
    </row>
    <row r="81">
      <c r="D81" s="1402" t="n"/>
      <c r="R81" s="1471" t="inlineStr">
        <is>
          <t>EXTRAORDINARY ASSUMPTION(S) AND HYPOTHETICAL CONDITION(S)</t>
        </is>
      </c>
    </row>
    <row r="82" ht="63" customFormat="1" customHeight="1" s="1450">
      <c r="R82" s="145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row>
    <row r="83" customFormat="1" s="1450">
      <c r="E83" s="1403" t="n"/>
      <c r="F83" s="1404" t="n"/>
      <c r="R83" s="1053" t="inlineStr">
        <is>
          <t>Extraordinary Assumption(s)</t>
        </is>
      </c>
      <c r="S83" s="1459" t="n"/>
    </row>
    <row r="84" customFormat="1" s="1450">
      <c r="A84" s="1407">
        <f>IF(R84="","X","")</f>
        <v/>
      </c>
      <c r="E84" s="1403" t="n"/>
      <c r="Q84" s="1450" t="n">
        <v>1</v>
      </c>
      <c r="R84" s="1454" t="inlineStr">
        <is>
          <t>This appraisal employs no extroidinary assumptions.</t>
        </is>
      </c>
    </row>
    <row r="85" customFormat="1" s="1450">
      <c r="A85" s="1407">
        <f>IF(R85="","X","")</f>
        <v/>
      </c>
      <c r="E85" s="1403" t="n"/>
      <c r="Q85" s="1450" t="n">
        <v>2</v>
      </c>
      <c r="R85" s="1454">
        <f>IFERROR(IF(INDEX([14]!TableCondLang[#Data],MATCH($E85,[14]!TableCondLang[Row_Num],0),COLUMN([14]!TableCondLang[Discriminator])-1)="Extraordinary",INDEX([14]!TableCondLang[#Data],MATCH($E85,[14]!TableCondLang[Row_Num],0),COLUMN([14]!TableCondLang[Description])-1),""),"")</f>
        <v/>
      </c>
    </row>
    <row r="86" customFormat="1" s="1450">
      <c r="A86" s="1407">
        <f>IF(R86="","X","")</f>
        <v/>
      </c>
      <c r="E86" s="1403" t="n"/>
      <c r="Q86" s="1450" t="n">
        <v>3</v>
      </c>
      <c r="R86" s="1454">
        <f>IFERROR(IF(INDEX([14]!TableCondLang[#Data],MATCH($E86,[14]!TableCondLang[Row_Num],0),COLUMN([14]!TableCondLang[Discriminator])-1)="Extraordinary",INDEX([14]!TableCondLang[#Data],MATCH($E86,[14]!TableCondLang[Row_Num],0),COLUMN([14]!TableCondLang[Description])-1),""),"")</f>
        <v/>
      </c>
    </row>
    <row r="87" customFormat="1" s="1450">
      <c r="A87" s="1407">
        <f>IF(R87="","X","")</f>
        <v/>
      </c>
      <c r="E87" s="1403" t="n"/>
      <c r="Q87" s="1450" t="n">
        <v>4</v>
      </c>
      <c r="R87" s="1454">
        <f>IFERROR(IF(INDEX([14]!TableCondLang[#Data],MATCH($E87,[14]!TableCondLang[Row_Num],0),COLUMN([14]!TableCondLang[Discriminator])-1)="Extraordinary",INDEX([14]!TableCondLang[#Data],MATCH($E87,[14]!TableCondLang[Row_Num],0),COLUMN([14]!TableCondLang[Description])-1),""),"")</f>
        <v/>
      </c>
    </row>
    <row r="88" customFormat="1" s="1450">
      <c r="A88" s="1407">
        <f>IF(S88="","X","")</f>
        <v/>
      </c>
      <c r="E88" s="1403" t="n"/>
      <c r="S88" s="1459">
        <f>IFERROR(IF(INDEX([14]!TableCondLang[#Data],MATCH($E88,[14]!TableCondLang[Row_Num],0),COLUMN([14]!TableCondLang[Discriminator])-1)="Extraordinary",INDEX([14]!TableCondLang[#Data],MATCH($E88,[14]!TableCondLang[Row_Num],0),COLUMN([14]!TableCondLang[Description])-1),""),"")</f>
        <v/>
      </c>
    </row>
    <row r="89" customFormat="1" s="1450">
      <c r="A89" s="1407">
        <f>IF(S89="","X","")</f>
        <v/>
      </c>
      <c r="E89" s="1403" t="n"/>
      <c r="R89" s="1053" t="inlineStr">
        <is>
          <t>Hypothetical Condition(s)</t>
        </is>
      </c>
      <c r="S89" s="1459">
        <f>IFERROR(IF(INDEX([14]!TableCondLang[#Data],MATCH($E89,[14]!TableCondLang[Row_Num],0),COLUMN([14]!TableCondLang[Discriminator])-1)="Extraordinary",INDEX([14]!TableCondLang[#Data],MATCH($E89,[14]!TableCondLang[Row_Num],0),COLUMN([14]!TableCondLang[Description])-1),""),"")</f>
        <v/>
      </c>
    </row>
    <row r="90" customFormat="1" s="1450">
      <c r="A90" s="1407">
        <f>IF(R90="","X","")</f>
        <v/>
      </c>
      <c r="E90" s="1403" t="n"/>
      <c r="Q90" s="1450" t="n">
        <v>1</v>
      </c>
      <c r="R90" s="1454" t="inlineStr">
        <is>
          <t>This appraisal employs no hypothetical conditions.</t>
        </is>
      </c>
    </row>
    <row r="91" customFormat="1" s="1450">
      <c r="A91" s="1407">
        <f>IF(R91="","X","")</f>
        <v/>
      </c>
      <c r="E91" s="1403" t="n"/>
      <c r="Q91" s="1450" t="n">
        <v>2</v>
      </c>
      <c r="R91" s="1454">
        <f>IFERROR(IF(INDEX([14]!TableCondLang[#Data],MATCH($E91,[14]!TableCondLang[Row_Num],0),COLUMN([14]!TableCondLang[Discriminator])-1)="Extraordinary",INDEX([14]!TableCondLang[#Data],MATCH($E91,[14]!TableCondLang[Row_Num],0),COLUMN([14]!TableCondLang[Description])-1),""),"")</f>
        <v/>
      </c>
    </row>
    <row r="92" customFormat="1" s="1450">
      <c r="A92" s="1407">
        <f>IF(R92="","X","")</f>
        <v/>
      </c>
      <c r="E92" s="1403" t="n"/>
      <c r="Q92" s="1450" t="n">
        <v>3</v>
      </c>
      <c r="R92" s="1481">
        <f>IFERROR(IF(INDEX([14]!TableCondLang[#Data],MATCH($E92,[14]!TableCondLang[Row_Num],0),COLUMN([14]!TableCondLang[Discriminator])-1)="Extraordinary",INDEX([14]!TableCondLang[#Data],MATCH($E92,[14]!TableCondLang[Row_Num],0),COLUMN([14]!TableCondLang[Description])-1),""),"")</f>
        <v/>
      </c>
    </row>
    <row r="93" customFormat="1" s="1450">
      <c r="A93" s="1407">
        <f>IF(R93="","X","")</f>
        <v/>
      </c>
      <c r="E93" s="1403" t="n"/>
      <c r="F93" s="1405" t="n"/>
      <c r="G93" s="1406" t="n"/>
      <c r="Q93" s="1450" t="n">
        <v>4</v>
      </c>
      <c r="R93" s="1464">
        <f>IFERROR(IF(INDEX([14]!TableCondLang[#Data],MATCH($E93,[14]!TableCondLang[Row_Num],0),COLUMN([14]!TableCondLang[Discriminator])-1)="Extraordinary",INDEX([14]!TableCondLang[#Data],MATCH($E93,[14]!TableCondLang[Row_Num],0),COLUMN([14]!TableCondLang[Description])-1),""),"")</f>
        <v/>
      </c>
      <c r="S93" s="1458" t="n"/>
    </row>
    <row r="94" customFormat="1" s="1450">
      <c r="A94" s="1407">
        <f>IF(R94="","X","")</f>
        <v/>
      </c>
      <c r="E94" s="1403" t="n"/>
      <c r="F94" s="1405" t="n"/>
      <c r="G94" s="1406" t="n"/>
      <c r="R94" s="1484">
        <f>IFERROR(IF(INDEX([14]!TableCondLang[#Data],MATCH($E94,[14]!TableCondLang[Row_Num],0),COLUMN([14]!TableCondLang[Discriminator])-1)="Extraordinary",INDEX([14]!TableCondLang[#Data],MATCH($E94,[14]!TableCondLang[Row_Num],0),COLUMN([14]!TableCondLang[Description])-1),""),"")</f>
        <v/>
      </c>
    </row>
    <row r="95">
      <c r="G95" s="1179" t="n"/>
      <c r="H95" s="1486" t="n"/>
      <c r="K95" s="1450" t="n"/>
      <c r="L95" s="1450" t="n"/>
      <c r="M95" s="1450" t="n"/>
      <c r="N95" s="1450" t="n"/>
      <c r="O95" s="1450" t="n"/>
      <c r="P95" s="1450" t="n"/>
      <c r="Q95" s="1450" t="n"/>
      <c r="R95" s="1450" t="n"/>
      <c r="S95" s="1450" t="n"/>
      <c r="T95" s="1471" t="inlineStr">
        <is>
          <t>PROPERTY OVERVIEW</t>
        </is>
      </c>
    </row>
    <row r="96" ht="15" customHeight="1" s="1439">
      <c r="N96" s="1450" t="n"/>
      <c r="O96" s="1450" t="n"/>
      <c r="P96" s="1450" t="n"/>
      <c r="Q96" s="1450" t="n"/>
      <c r="R96" s="1450" t="n"/>
      <c r="S96" s="1450" t="n"/>
      <c r="T96" s="808" t="inlineStr">
        <is>
          <t>Property Name</t>
        </is>
      </c>
      <c r="U96" s="1451" t="inlineStr">
        <is>
          <t>Single-Tenant Industrial Building</t>
        </is>
      </c>
    </row>
    <row r="97">
      <c r="N97" s="1450" t="n"/>
      <c r="O97" s="1450" t="n"/>
      <c r="P97" s="1450" t="n"/>
      <c r="Q97" s="1450" t="n"/>
      <c r="R97" s="1450" t="n"/>
      <c r="S97" s="1450" t="n"/>
      <c r="T97" s="808" t="inlineStr">
        <is>
          <t>Address</t>
        </is>
      </c>
      <c r="U97" s="1445">
        <f>'Property Info'!B16</f>
        <v/>
      </c>
    </row>
    <row r="98">
      <c r="N98" s="1450" t="n"/>
      <c r="O98" s="1450" t="n"/>
      <c r="P98" s="1450" t="n"/>
      <c r="Q98" s="1450" t="n"/>
      <c r="R98" s="1450" t="n"/>
      <c r="S98" s="1450" t="n"/>
      <c r="T98" s="808" t="n"/>
      <c r="U98" s="1445">
        <f>'Property Info'!B17</f>
        <v/>
      </c>
    </row>
    <row r="99" ht="30.75" customHeight="1" s="1439">
      <c r="N99" s="1450" t="n"/>
      <c r="O99" s="1450" t="n"/>
      <c r="P99" s="1450" t="n"/>
      <c r="Q99" s="1450" t="n"/>
      <c r="R99" s="1450" t="n"/>
      <c r="S99" s="1450" t="n"/>
      <c r="T99" s="808" t="inlineStr">
        <is>
          <t>Location</t>
        </is>
      </c>
      <c r="U99" s="1451" t="inlineStr">
        <is>
          <t xml:space="preserve">North side of West 62nd Avenue, west of Washington Street, in unincorporated Adams County, Colorado. </t>
        </is>
      </c>
    </row>
    <row r="100">
      <c r="N100" s="1450" t="n"/>
      <c r="O100" s="1450" t="n"/>
      <c r="P100" s="1450" t="n"/>
      <c r="Q100" s="1450" t="n"/>
      <c r="R100" s="1450" t="n"/>
      <c r="S100" s="1450" t="n"/>
      <c r="T100" s="808" t="inlineStr">
        <is>
          <t>Property Description</t>
        </is>
      </c>
      <c r="U100" s="1445">
        <f>U96</f>
        <v/>
      </c>
    </row>
    <row r="101" hidden="1" ht="15" customHeight="1" s="1439">
      <c r="N101" s="1450" t="n"/>
      <c r="O101" s="1450" t="n"/>
      <c r="P101" s="1450" t="n"/>
      <c r="Q101" s="1450" t="n"/>
      <c r="R101" s="1450" t="n"/>
      <c r="S101" s="1450" t="n"/>
      <c r="T101" s="1147" t="inlineStr">
        <is>
          <t>and</t>
        </is>
      </c>
      <c r="U101" s="1451">
        <f>'[7]Improvement Description_2'!C31&amp;" ("&amp;'[7]Improvement Description_2'!C32&amp;")
"&amp;'[7]Improvement Description_2'!C33</f>
        <v/>
      </c>
    </row>
    <row r="102">
      <c r="N102" s="1450" t="n"/>
      <c r="O102" s="1450" t="n"/>
      <c r="P102" s="1450" t="n"/>
      <c r="Q102" s="1450" t="n"/>
      <c r="R102" s="1450" t="n"/>
      <c r="S102" s="1450" t="n"/>
      <c r="T102" s="808" t="inlineStr">
        <is>
          <t>County</t>
        </is>
      </c>
      <c r="U102" s="1479">
        <f>'Property Info'!B18</f>
        <v/>
      </c>
    </row>
    <row r="103">
      <c r="N103" s="1450" t="n"/>
      <c r="O103" s="1450" t="n"/>
      <c r="P103" s="1450" t="n"/>
      <c r="Q103" s="1450" t="n"/>
      <c r="R103" s="1450" t="n"/>
      <c r="S103" s="1450" t="n"/>
      <c r="T103" s="808" t="inlineStr">
        <is>
          <t>Account Number(s)</t>
        </is>
      </c>
      <c r="U103" s="1479">
        <f>'Property Info'!B1</f>
        <v/>
      </c>
    </row>
    <row r="104" ht="49.5" customHeight="1" s="1439">
      <c r="N104" s="1450" t="n"/>
      <c r="O104" s="1450" t="n"/>
      <c r="P104" s="1450" t="n"/>
      <c r="Q104" s="1450" t="n"/>
      <c r="R104" s="1470" t="n"/>
      <c r="S104" s="1470" t="n"/>
      <c r="T104" s="1148" t="inlineStr">
        <is>
          <t>Note:</t>
        </is>
      </c>
      <c r="U104" s="1469" t="inlineStr">
        <is>
          <t xml:space="preserve">Property has a mailing address for the City of Denver, but is located in unincorporated Adams County and is governed by County regulations. </t>
        </is>
      </c>
    </row>
    <row r="105" hidden="1" ht="15" customHeight="1" s="1439">
      <c r="N105" s="1450" t="n"/>
      <c r="O105" s="1450" t="n"/>
      <c r="P105" s="1450" t="n"/>
      <c r="Q105" s="1450" t="n"/>
      <c r="R105" s="1450" t="n"/>
      <c r="S105" s="1450" t="n"/>
      <c r="T105" s="826" t="inlineStr">
        <is>
          <t>Census Tract No.</t>
        </is>
      </c>
      <c r="U105" s="1445">
        <f>pdCensusTract</f>
        <v/>
      </c>
    </row>
    <row r="106">
      <c r="N106" s="1450" t="n"/>
      <c r="O106" s="1450" t="n"/>
      <c r="P106" s="1450" t="n"/>
      <c r="Q106" s="1450" t="n"/>
      <c r="R106" s="1450" t="n"/>
      <c r="S106" s="1450" t="n"/>
      <c r="T106" s="808" t="inlineStr">
        <is>
          <t>Legal Description</t>
        </is>
      </c>
      <c r="U106" s="1451" t="inlineStr">
        <is>
          <t>SUB:SAL LOT:1</t>
        </is>
      </c>
    </row>
    <row r="107">
      <c r="N107" s="1450" t="n"/>
      <c r="O107" s="1450" t="n"/>
      <c r="P107" s="1450" t="n"/>
      <c r="Q107" s="1450" t="n"/>
      <c r="R107" s="1450" t="n"/>
      <c r="S107" s="1450" t="n"/>
      <c r="T107" s="808" t="inlineStr">
        <is>
          <t>Site Area</t>
        </is>
      </c>
      <c r="U107" s="1479" t="n"/>
      <c r="V107" s="1148" t="n"/>
      <c r="W107" s="1148" t="n"/>
      <c r="X107" s="1148" t="n"/>
    </row>
    <row r="108">
      <c r="N108" s="1450" t="n"/>
      <c r="O108" s="1450" t="n"/>
      <c r="P108" s="1450" t="n"/>
      <c r="Q108" s="1450" t="n"/>
      <c r="R108" s="1450" t="n"/>
      <c r="S108" s="1450" t="n"/>
      <c r="T108" s="1209" t="inlineStr">
        <is>
          <t>Primary Site</t>
        </is>
      </c>
      <c r="U108" s="1702">
        <f>'Property Info'!B11</f>
        <v/>
      </c>
      <c r="V108" s="1703">
        <f>U108/43560</f>
        <v/>
      </c>
      <c r="W108" s="1148" t="n"/>
      <c r="X108" s="1148" t="n"/>
    </row>
    <row r="109">
      <c r="N109" s="1450" t="n"/>
      <c r="O109" s="1450" t="n"/>
      <c r="P109" s="1450" t="n"/>
      <c r="Q109" s="1450" t="n"/>
      <c r="R109" s="1450" t="n"/>
      <c r="S109" s="1450" t="n"/>
      <c r="T109" s="1209" t="inlineStr">
        <is>
          <t>Excess Land</t>
        </is>
      </c>
      <c r="U109" s="1702" t="n">
        <v>0</v>
      </c>
      <c r="V109" s="1703">
        <f>U109/43560</f>
        <v/>
      </c>
      <c r="W109" s="1148" t="n"/>
      <c r="X109" s="1148" t="n"/>
    </row>
    <row r="110">
      <c r="N110" s="1450" t="n"/>
      <c r="O110" s="1450" t="n"/>
      <c r="P110" s="1450" t="n"/>
      <c r="Q110" s="1450" t="n"/>
      <c r="R110" s="1450" t="n"/>
      <c r="S110" s="1450" t="n"/>
      <c r="T110" s="1209" t="inlineStr">
        <is>
          <t>Surplus Land</t>
        </is>
      </c>
      <c r="U110" s="1702" t="n">
        <v>0</v>
      </c>
      <c r="V110" s="1703">
        <f>U110/43560</f>
        <v/>
      </c>
      <c r="W110" s="1148" t="n"/>
      <c r="X110" s="1148" t="n"/>
    </row>
    <row r="111">
      <c r="N111" s="1450" t="n"/>
      <c r="O111" s="1450" t="n"/>
      <c r="P111" s="1450" t="n"/>
      <c r="Q111" s="1450" t="n"/>
      <c r="R111" s="1450" t="n"/>
      <c r="S111" s="1450" t="n"/>
      <c r="T111" s="826" t="inlineStr">
        <is>
          <t>Total</t>
        </is>
      </c>
      <c r="U111" s="1704">
        <f>SUM(U108:U110)</f>
        <v/>
      </c>
      <c r="V111" s="1705">
        <f>U111/43560</f>
        <v/>
      </c>
      <c r="W111" s="1148" t="n"/>
      <c r="X111" s="1148" t="n"/>
    </row>
    <row r="112">
      <c r="N112" s="1450" t="n"/>
      <c r="O112" s="1450" t="n"/>
      <c r="P112" s="1450" t="n"/>
      <c r="Q112" s="1450" t="n"/>
      <c r="R112" s="1450" t="n"/>
      <c r="S112" s="1450" t="n"/>
      <c r="T112" s="826" t="inlineStr">
        <is>
          <t>Zoning</t>
        </is>
      </c>
      <c r="U112" s="1445">
        <f>'Property Info'!B29</f>
        <v/>
      </c>
    </row>
    <row r="113">
      <c r="N113" s="1450" t="n"/>
      <c r="O113" s="1450" t="n"/>
      <c r="P113" s="1450" t="n"/>
      <c r="Q113" s="1450" t="n"/>
      <c r="R113" s="1450" t="n"/>
      <c r="S113" s="1450" t="n"/>
      <c r="T113" s="826" t="inlineStr">
        <is>
          <t>Flood Status</t>
        </is>
      </c>
      <c r="U113" s="1445">
        <f>'Site Information'!C17</f>
        <v/>
      </c>
    </row>
    <row r="114">
      <c r="N114" s="1450" t="n"/>
      <c r="O114" s="1450" t="n"/>
      <c r="P114" s="1450" t="n"/>
      <c r="Q114" s="1450" t="n"/>
      <c r="R114" s="1450" t="n"/>
      <c r="S114" s="1450" t="n"/>
      <c r="T114" s="826" t="inlineStr">
        <is>
          <t>Year Built</t>
        </is>
      </c>
      <c r="U114" s="1445">
        <f>'Property Info'!B8</f>
        <v/>
      </c>
    </row>
    <row r="115" hidden="1" s="1439">
      <c r="N115" s="1450" t="n"/>
      <c r="O115" s="1450" t="n"/>
      <c r="P115" s="1450" t="n"/>
      <c r="Q115" s="1450" t="n"/>
      <c r="R115" s="1450" t="n"/>
      <c r="S115" s="1450" t="n"/>
      <c r="T115" s="1147" t="inlineStr">
        <is>
          <t>and</t>
        </is>
      </c>
      <c r="U115" s="1451">
        <f>'[7]Improvement Description_2'!C34</f>
        <v/>
      </c>
    </row>
    <row r="116">
      <c r="N116" s="1450" t="n"/>
      <c r="O116" s="1450" t="n"/>
      <c r="P116" s="1450" t="n"/>
      <c r="Q116" s="1450" t="n"/>
      <c r="R116" s="1450" t="n"/>
      <c r="S116" s="1450" t="n"/>
      <c r="T116" s="826" t="inlineStr">
        <is>
          <t>Year Renovated</t>
        </is>
      </c>
      <c r="U116" s="1451" t="n">
        <v>2009</v>
      </c>
    </row>
    <row r="117" hidden="1" s="1439">
      <c r="N117" s="1450" t="n"/>
      <c r="O117" s="1450" t="n"/>
      <c r="P117" s="1450" t="n"/>
      <c r="Q117" s="1450" t="n"/>
      <c r="R117" s="1450" t="n"/>
      <c r="S117" s="1450" t="n"/>
      <c r="T117" s="1147" t="inlineStr">
        <is>
          <t>and</t>
        </is>
      </c>
      <c r="U117" s="1445">
        <f>IF(OR('[7]Improvement Description_2'!C35=0,'[7]Improvement Description_2'!C35=""),"N/A",'[7]Improvement Description_2'!C35)</f>
        <v/>
      </c>
    </row>
    <row r="118">
      <c r="N118" s="1450" t="n"/>
      <c r="O118" s="1450" t="n"/>
      <c r="P118" s="1450" t="n"/>
      <c r="Q118" s="1450" t="n"/>
      <c r="R118" s="1450" t="n"/>
      <c r="S118" s="1450" t="n"/>
      <c r="T118" s="826" t="inlineStr">
        <is>
          <t>Type of Construction</t>
        </is>
      </c>
      <c r="U118" s="1451" t="inlineStr">
        <is>
          <t>Masonry, steel-frame</t>
        </is>
      </c>
    </row>
    <row r="119" hidden="1" s="1439">
      <c r="N119" s="1450" t="n"/>
      <c r="O119" s="1450" t="n"/>
      <c r="P119" s="1450" t="n"/>
      <c r="Q119" s="1450" t="n"/>
      <c r="R119" s="1450" t="n"/>
      <c r="S119" s="1450" t="n"/>
      <c r="T119" s="1147" t="inlineStr">
        <is>
          <t>and</t>
        </is>
      </c>
      <c r="U119" s="1445">
        <f>'[7]Improvement Description_2'!C85</f>
        <v/>
      </c>
    </row>
    <row r="120">
      <c r="N120" s="1450" t="n"/>
      <c r="O120" s="1450" t="n"/>
      <c r="P120" s="1450" t="n"/>
      <c r="Q120" s="1450" t="n"/>
      <c r="R120" s="1450" t="n"/>
      <c r="S120" s="1450" t="n"/>
      <c r="T120" s="826" t="inlineStr">
        <is>
          <t>Number of Buildings</t>
        </is>
      </c>
      <c r="U120" s="1473">
        <f>'Property Info'!B3</f>
        <v/>
      </c>
    </row>
    <row r="121" hidden="1" s="1439">
      <c r="N121" s="1450" t="n"/>
      <c r="O121" s="1450" t="n"/>
      <c r="P121" s="1450" t="n"/>
      <c r="Q121" s="1450" t="n"/>
      <c r="R121" s="1450" t="n"/>
      <c r="S121" s="1450" t="n"/>
      <c r="T121" s="1147" t="inlineStr">
        <is>
          <t>and</t>
        </is>
      </c>
      <c r="U121" s="1445">
        <f>'[7]Improvement Description_2'!C36</f>
        <v/>
      </c>
    </row>
    <row r="122">
      <c r="N122" s="1450" t="n"/>
      <c r="O122" s="1450" t="n"/>
      <c r="P122" s="1450" t="n"/>
      <c r="Q122" s="1450" t="n"/>
      <c r="R122" s="1450" t="n"/>
      <c r="S122" s="1450" t="n"/>
      <c r="T122" s="826" t="inlineStr">
        <is>
          <t>Gross Leasable Area (SF)</t>
        </is>
      </c>
      <c r="U122" s="1706">
        <f>'Property Info'!B4</f>
        <v/>
      </c>
    </row>
    <row r="123" hidden="1" s="1439">
      <c r="N123" s="1450" t="n"/>
      <c r="O123" s="1450" t="n"/>
      <c r="P123" s="1450" t="n"/>
      <c r="Q123" s="1450" t="n"/>
      <c r="R123" s="1450" t="n"/>
      <c r="S123" s="1450" t="n"/>
      <c r="T123" s="1147" t="inlineStr">
        <is>
          <t>and</t>
        </is>
      </c>
      <c r="U123" s="1706">
        <f>'[7]Improvement Description_2'!C39</f>
        <v/>
      </c>
    </row>
    <row r="124" hidden="1" s="1439">
      <c r="N124" s="1450" t="n"/>
      <c r="O124" s="1450" t="n"/>
      <c r="P124" s="1450" t="n"/>
      <c r="Q124" s="1450" t="n"/>
      <c r="R124" s="1450" t="n"/>
      <c r="S124" s="1450" t="n"/>
      <c r="T124" s="826" t="inlineStr">
        <is>
          <t>Net Rentable Area (SF)</t>
        </is>
      </c>
      <c r="U124" s="1706">
        <f>'Property Info'!B6</f>
        <v/>
      </c>
    </row>
    <row r="125" hidden="1" ht="14.25" customHeight="1" s="1439">
      <c r="N125" s="1450" t="n"/>
      <c r="O125" s="1450" t="n"/>
      <c r="P125" s="1450" t="n"/>
      <c r="Q125" s="1450" t="n"/>
      <c r="R125" s="1450" t="n"/>
      <c r="S125" s="1450" t="n"/>
      <c r="T125" s="1147" t="inlineStr">
        <is>
          <t>and</t>
        </is>
      </c>
      <c r="U125" s="1706">
        <f>'[7]Improvement Description_2'!C40</f>
        <v/>
      </c>
    </row>
    <row r="126">
      <c r="N126" s="1450" t="n"/>
      <c r="O126" s="1450" t="n"/>
      <c r="P126" s="1450" t="n"/>
      <c r="Q126" s="1450" t="n"/>
      <c r="R126" s="1470" t="n"/>
      <c r="S126" s="1470" t="n"/>
      <c r="T126" s="826" t="inlineStr">
        <is>
          <t>Total Number of Units</t>
        </is>
      </c>
      <c r="U126" s="1451" t="n">
        <v>1</v>
      </c>
    </row>
    <row r="127">
      <c r="N127" s="1450" t="n"/>
      <c r="O127" s="1450" t="n"/>
      <c r="P127" s="1450" t="n"/>
      <c r="Q127" s="1450" t="n"/>
      <c r="R127" s="1470" t="n"/>
      <c r="S127" s="1470" t="n"/>
      <c r="T127" s="826" t="inlineStr">
        <is>
          <t>Total Number of Tenants</t>
        </is>
      </c>
      <c r="U127" s="1451" t="n">
        <v>1</v>
      </c>
    </row>
    <row r="128">
      <c r="N128" s="1450" t="n"/>
      <c r="O128" s="1450" t="n"/>
      <c r="P128" s="1450" t="n"/>
      <c r="Q128" s="1450" t="n"/>
      <c r="R128" s="1450" t="n"/>
      <c r="S128" s="1450" t="n"/>
      <c r="T128" s="826" t="inlineStr">
        <is>
          <t>Assumed Occupancy</t>
        </is>
      </c>
      <c r="U128" s="1485">
        <f>'Property Info'!B19</f>
        <v/>
      </c>
    </row>
    <row r="129">
      <c r="N129" s="1450" t="n"/>
      <c r="O129" s="1450" t="n"/>
      <c r="P129" s="1450" t="n"/>
      <c r="Q129" s="1450" t="n"/>
      <c r="R129" s="1450" t="n"/>
      <c r="S129" s="1450" t="n"/>
      <c r="T129" s="826" t="inlineStr">
        <is>
          <t>Overall Condition</t>
        </is>
      </c>
      <c r="U129" s="1445">
        <f>'Property Info'!B9</f>
        <v/>
      </c>
    </row>
    <row r="130">
      <c r="N130" s="1450" t="n"/>
      <c r="O130" s="1450" t="n"/>
      <c r="P130" s="1450" t="n"/>
      <c r="Q130" s="1450" t="n"/>
      <c r="R130" s="1450" t="n"/>
      <c r="S130" s="1450" t="n"/>
      <c r="T130" s="826" t="inlineStr">
        <is>
          <t>Overall Quality</t>
        </is>
      </c>
      <c r="U130" s="1473">
        <f>Export030823!U2</f>
        <v/>
      </c>
    </row>
    <row r="131">
      <c r="T131" s="886" t="inlineStr">
        <is>
          <t>Overall Design/Functionality</t>
        </is>
      </c>
      <c r="U131" s="1477">
        <f>Export030823!X2</f>
        <v/>
      </c>
      <c r="V131" s="1458" t="n"/>
      <c r="W131" s="1458" t="n"/>
      <c r="X131" s="1458" t="n"/>
    </row>
    <row r="132" customFormat="1" s="1450">
      <c r="Y132" s="1480" t="inlineStr">
        <is>
          <t>FILL IN ENTIRE TABLE HERE</t>
        </is>
      </c>
      <c r="Z132" s="1458" t="n"/>
      <c r="AA132" s="1458" t="n"/>
      <c r="AB132" s="1458" t="n"/>
    </row>
    <row r="133">
      <c r="Y133" s="1467" t="inlineStr">
        <is>
          <t>APPEAL HISTORY</t>
        </is>
      </c>
      <c r="Z133" s="1468" t="n"/>
      <c r="AA133" s="1468" t="n"/>
      <c r="AB133" s="1468" t="n"/>
    </row>
    <row r="134">
      <c r="Y134" s="417" t="inlineStr">
        <is>
          <t>Docket #:</t>
        </is>
      </c>
      <c r="Z134" s="1478" t="inlineStr">
        <is>
          <t>2022BAA1194</t>
        </is>
      </c>
    </row>
    <row r="135">
      <c r="Y135" s="1190" t="n"/>
      <c r="Z135" s="1191" t="inlineStr">
        <is>
          <t>Land</t>
        </is>
      </c>
      <c r="AA135" s="1191" t="inlineStr">
        <is>
          <t>Improvements</t>
        </is>
      </c>
      <c r="AB135" s="1191" t="inlineStr">
        <is>
          <t>Total</t>
        </is>
      </c>
    </row>
    <row r="136">
      <c r="Y136" s="824" t="inlineStr">
        <is>
          <t>Assessor's Assigned Value</t>
        </is>
      </c>
      <c r="Z136" s="1707" t="n">
        <v>758212</v>
      </c>
      <c r="AA136" s="1708">
        <f>3916200-Z136</f>
        <v/>
      </c>
      <c r="AB136" s="1708">
        <f>SUM(Z136:AA136)</f>
        <v/>
      </c>
    </row>
    <row r="137">
      <c r="Y137" s="824" t="inlineStr">
        <is>
          <t>Petitioners Estimated Value</t>
        </is>
      </c>
      <c r="Z137" s="1707" t="n">
        <v>758212</v>
      </c>
      <c r="AA137" s="1708">
        <f>3060000-Z137</f>
        <v/>
      </c>
      <c r="AB137" s="1708">
        <f>SUM(Z137:AA137)</f>
        <v/>
      </c>
    </row>
    <row r="138" ht="13.5" customHeight="1" s="1439">
      <c r="Y138" s="417" t="inlineStr">
        <is>
          <t>Adjustment by Assessor</t>
        </is>
      </c>
      <c r="Z138" s="1707" t="n">
        <v>0</v>
      </c>
      <c r="AA138" s="1708" t="n">
        <v>0</v>
      </c>
      <c r="AB138" s="1708">
        <f>SUM(Z138:AA138)</f>
        <v/>
      </c>
    </row>
    <row r="139" ht="6.75" customHeight="1" s="1439">
      <c r="Y139" s="417" t="n"/>
      <c r="Z139" s="1707" t="n"/>
      <c r="AA139" s="1708" t="n"/>
      <c r="AB139" s="1708" t="n"/>
    </row>
    <row r="140" ht="15" customHeight="1" s="1439">
      <c r="Y140" s="417" t="inlineStr">
        <is>
          <t>BOE Assigned Value</t>
        </is>
      </c>
      <c r="Z140" s="1707">
        <f>Z136</f>
        <v/>
      </c>
      <c r="AA140" s="1708">
        <f>AA136</f>
        <v/>
      </c>
      <c r="AB140" s="1708">
        <f>SUM(Z140:AA140)</f>
        <v/>
      </c>
    </row>
    <row r="141" ht="15" customHeight="1" s="1439">
      <c r="Y141" s="1194" t="inlineStr">
        <is>
          <t>BOE #</t>
        </is>
      </c>
      <c r="Z141" s="1453" t="n">
        <v>126437</v>
      </c>
      <c r="AB141" s="1709" t="n"/>
    </row>
    <row r="142" ht="15" customHeight="1" s="1439">
      <c r="Y142" s="1196" t="inlineStr">
        <is>
          <t>Adjustment by BOE</t>
        </is>
      </c>
      <c r="Z142" s="1707" t="n">
        <v>0</v>
      </c>
      <c r="AA142" s="1708" t="n">
        <v>0</v>
      </c>
      <c r="AB142" s="1708">
        <f>SUM(Z142:AA142)</f>
        <v/>
      </c>
    </row>
    <row r="143">
      <c r="Y143" s="1197" t="inlineStr">
        <is>
          <t>Current Actual Value</t>
        </is>
      </c>
      <c r="Z143" s="1710">
        <f>Z136</f>
        <v/>
      </c>
      <c r="AA143" s="1711">
        <f>AA136</f>
        <v/>
      </c>
      <c r="AB143" s="1711">
        <f>SUM(Z143:AA143)</f>
        <v/>
      </c>
      <c r="AC143" s="1480" t="inlineStr">
        <is>
          <t>FILL IN ENTIRE TABLE HERE</t>
        </is>
      </c>
      <c r="AD143" s="1458" t="n"/>
      <c r="AE143" s="1458" t="n"/>
      <c r="AF143" s="1458" t="n"/>
    </row>
    <row r="144" hidden="1" s="1439">
      <c r="Y144" s="417" t="inlineStr">
        <is>
          <t>Current Assessed Value</t>
        </is>
      </c>
      <c r="Z144" s="1712" t="n"/>
      <c r="AA144" s="1713" t="n"/>
      <c r="AB144" s="1708">
        <f>SUM(Z144:AA144)</f>
        <v/>
      </c>
    </row>
    <row r="145" hidden="1" s="1439">
      <c r="Y145" s="1189" t="inlineStr">
        <is>
          <t>Current Assessed Value</t>
        </is>
      </c>
      <c r="Z145" s="1714" t="n"/>
      <c r="AA145" s="1715" t="n"/>
      <c r="AB145" s="1711">
        <f>SUM(Z145:AA145)</f>
        <v/>
      </c>
    </row>
    <row r="146" hidden="1" s="1439">
      <c r="Y146" s="417" t="n"/>
      <c r="Z146" s="1463" t="n"/>
    </row>
    <row r="147">
      <c r="Y147" s="417" t="n"/>
      <c r="Z147" s="1124" t="n"/>
      <c r="AA147" s="1184" t="n"/>
      <c r="AB147" s="1184" t="n"/>
      <c r="AC147" s="1474" t="inlineStr">
        <is>
          <t>SUBJECT SALE HISTORY</t>
        </is>
      </c>
    </row>
    <row r="148">
      <c r="Y148" s="824" t="n"/>
      <c r="Z148" s="1716" t="n"/>
      <c r="AA148" s="1717" t="n"/>
      <c r="AB148" s="1184" t="n"/>
      <c r="AC148" s="1065" t="n"/>
      <c r="AD148" s="1204" t="inlineStr">
        <is>
          <t>Status</t>
        </is>
      </c>
      <c r="AE148" s="1204" t="inlineStr">
        <is>
          <t>Price</t>
        </is>
      </c>
      <c r="AF148" s="1204" t="inlineStr">
        <is>
          <t>Price PSF</t>
        </is>
      </c>
    </row>
    <row r="149">
      <c r="Y149" s="824" t="n"/>
      <c r="Z149" s="1716" t="n"/>
      <c r="AA149" s="1717" t="n"/>
      <c r="AB149" s="1184" t="n"/>
      <c r="AC149" s="889" t="inlineStr">
        <is>
          <t>Subject Listed for Sale/Price</t>
        </is>
      </c>
      <c r="AD149" s="1718">
        <f>IF(AE149="N/A","N/A","Currently Listed")</f>
        <v/>
      </c>
      <c r="AE149" s="1719">
        <f>IF('[7]Property History'!T115&gt;0,'[7]Property History'!T115,"N/A")</f>
        <v/>
      </c>
      <c r="AF149" s="1720">
        <f>IFERROR(AE149/GBA,0)</f>
        <v/>
      </c>
    </row>
    <row r="150">
      <c r="Y150" s="824" t="n"/>
      <c r="Z150" s="1716" t="n"/>
      <c r="AA150" s="1717" t="n"/>
      <c r="AB150" s="1184" t="n"/>
      <c r="AC150" s="889" t="inlineStr">
        <is>
          <t>Subject Under Contract/Price</t>
        </is>
      </c>
      <c r="AD150" s="1718">
        <f>IF('[7]Property History'!T122="","N/A",'[7]Property History'!T122)</f>
        <v/>
      </c>
      <c r="AE150" s="1719">
        <f>IF('[7]Property History'!T123&gt;0,'[7]Property History'!T123,"N/A")</f>
        <v/>
      </c>
      <c r="AF150" s="1720">
        <f>IFERROR(AE150/GBA,0)</f>
        <v/>
      </c>
    </row>
    <row r="151">
      <c r="Y151" s="824" t="n"/>
      <c r="Z151" s="1721" t="n"/>
      <c r="AA151" s="1722" t="n"/>
      <c r="AB151" s="1184" t="n"/>
      <c r="AC151" s="889" t="inlineStr">
        <is>
          <t>Recent Sale</t>
        </is>
      </c>
      <c r="AD151" s="1718">
        <f>IF('[7]Property History'!T132="","N/A",'[7]Property History'!T132)</f>
        <v/>
      </c>
      <c r="AE151" s="1719">
        <f>IF('[7]Property History'!T134&gt;0,'[7]Property History'!T134,"N/A")</f>
        <v/>
      </c>
      <c r="AF151" s="1720">
        <f>IFERROR(AE151/GBA,0)</f>
        <v/>
      </c>
    </row>
    <row r="152">
      <c r="Y152" s="824" t="n"/>
      <c r="Z152" s="1446" t="n"/>
      <c r="AC152" s="1205" t="inlineStr">
        <is>
          <t>Recent Sale</t>
        </is>
      </c>
      <c r="AD152" s="1723">
        <f>IF('[7]Property History'!T132="","N/A",'[7]Property History'!T132)</f>
        <v/>
      </c>
      <c r="AE152" s="1724">
        <f>IF('[7]Property History'!T134&gt;0,'[7]Property History'!T134,"N/A")</f>
        <v/>
      </c>
      <c r="AF152" s="1725">
        <f>IFERROR(AE152/GBA,0)</f>
        <v/>
      </c>
    </row>
    <row r="153">
      <c r="Y153" s="824" t="n"/>
      <c r="Z153" s="1446" t="n"/>
    </row>
    <row r="154">
      <c r="Y154" s="1183" t="n"/>
      <c r="Z154" s="1446" t="n"/>
    </row>
    <row r="155">
      <c r="Y155" s="824" t="n"/>
      <c r="Z155" s="1726" t="n"/>
    </row>
    <row r="156">
      <c r="Y156" s="1183" t="n"/>
      <c r="Z156" s="1726" t="n"/>
    </row>
    <row r="157">
      <c r="Y157" s="824" t="n"/>
      <c r="Z157" s="1726" t="n"/>
    </row>
    <row r="158">
      <c r="Y158" s="1183" t="n"/>
      <c r="Z158" s="1726" t="n"/>
    </row>
    <row r="159">
      <c r="Y159" s="824" t="n"/>
      <c r="Z159" s="1446" t="n"/>
    </row>
    <row r="160">
      <c r="Y160" s="824" t="n"/>
      <c r="Z160" s="1446" t="n"/>
    </row>
    <row r="161">
      <c r="Y161" s="824" t="n"/>
      <c r="Z161" s="1727" t="n"/>
    </row>
    <row r="162">
      <c r="Y162" s="824" t="n"/>
      <c r="Z162" s="1446" t="n"/>
    </row>
    <row r="163">
      <c r="Y163" s="824" t="n"/>
      <c r="Z163" s="1446" t="n"/>
    </row>
    <row r="164">
      <c r="Y164" s="1189" t="n"/>
      <c r="Z164" s="1457" t="n"/>
      <c r="AA164" s="1458" t="n"/>
      <c r="AB164" s="1458" t="n"/>
    </row>
  </sheetData>
  <mergeCells count="115">
    <mergeCell ref="Z156:AB156"/>
    <mergeCell ref="R92:S92"/>
    <mergeCell ref="U118:X118"/>
    <mergeCell ref="G28:L28"/>
    <mergeCell ref="H43:L43"/>
    <mergeCell ref="M49:Q49"/>
    <mergeCell ref="H41:L41"/>
    <mergeCell ref="R94:S94"/>
    <mergeCell ref="R84:S84"/>
    <mergeCell ref="U128:X128"/>
    <mergeCell ref="H95:J95"/>
    <mergeCell ref="Z152:AB152"/>
    <mergeCell ref="N75:Q75"/>
    <mergeCell ref="U96:X96"/>
    <mergeCell ref="N53:Q53"/>
    <mergeCell ref="D23:F23"/>
    <mergeCell ref="U105:X105"/>
    <mergeCell ref="Z158:AB158"/>
    <mergeCell ref="U120:X120"/>
    <mergeCell ref="AC147:AF147"/>
    <mergeCell ref="M70:M74"/>
    <mergeCell ref="N61:Q61"/>
    <mergeCell ref="Z160:AB160"/>
    <mergeCell ref="U122:X122"/>
    <mergeCell ref="U131:X131"/>
    <mergeCell ref="U100:X100"/>
    <mergeCell ref="T95:X95"/>
    <mergeCell ref="Z159:AB159"/>
    <mergeCell ref="U106:X106"/>
    <mergeCell ref="U115:X115"/>
    <mergeCell ref="Z134:AB134"/>
    <mergeCell ref="U102:X102"/>
    <mergeCell ref="Z164:AB164"/>
    <mergeCell ref="H29:L29"/>
    <mergeCell ref="R82:S82"/>
    <mergeCell ref="B3:C3"/>
    <mergeCell ref="H38:L38"/>
    <mergeCell ref="H40:L40"/>
    <mergeCell ref="N65:Q65"/>
    <mergeCell ref="N74:Q74"/>
    <mergeCell ref="U119:X119"/>
    <mergeCell ref="N50:Q50"/>
    <mergeCell ref="N51:Q51"/>
    <mergeCell ref="Y133:AB133"/>
    <mergeCell ref="R86:S86"/>
    <mergeCell ref="N66:Q66"/>
    <mergeCell ref="U104:X104"/>
    <mergeCell ref="M50:M58"/>
    <mergeCell ref="N68:Q68"/>
    <mergeCell ref="U97:X97"/>
    <mergeCell ref="N52:Q52"/>
    <mergeCell ref="R81:S81"/>
    <mergeCell ref="H42:L42"/>
    <mergeCell ref="N67:Q67"/>
    <mergeCell ref="N69:Q69"/>
    <mergeCell ref="N78:Q78"/>
    <mergeCell ref="U121:X121"/>
    <mergeCell ref="Z161:AB161"/>
    <mergeCell ref="U114:X114"/>
    <mergeCell ref="U129:X129"/>
    <mergeCell ref="U123:X123"/>
    <mergeCell ref="R90:S90"/>
    <mergeCell ref="N70:Q70"/>
    <mergeCell ref="N79:Q79"/>
    <mergeCell ref="H46:L46"/>
    <mergeCell ref="N54:Q54"/>
    <mergeCell ref="Z162:AB162"/>
    <mergeCell ref="Z153:AB153"/>
    <mergeCell ref="N63:Q63"/>
    <mergeCell ref="U124:X124"/>
    <mergeCell ref="H45:L45"/>
    <mergeCell ref="Z146:AB146"/>
    <mergeCell ref="N56:Q56"/>
    <mergeCell ref="R91:S91"/>
    <mergeCell ref="R85:S85"/>
    <mergeCell ref="Z163:AB163"/>
    <mergeCell ref="U125:X125"/>
    <mergeCell ref="H33:L33"/>
    <mergeCell ref="U112:X112"/>
    <mergeCell ref="N59:Q59"/>
    <mergeCell ref="U127:X127"/>
    <mergeCell ref="H35:L35"/>
    <mergeCell ref="Z155:AB155"/>
    <mergeCell ref="N60:Q60"/>
    <mergeCell ref="U98:X98"/>
    <mergeCell ref="Z141:AA141"/>
    <mergeCell ref="U113:X113"/>
    <mergeCell ref="Z157:AB157"/>
    <mergeCell ref="H34:L34"/>
    <mergeCell ref="R87:S87"/>
    <mergeCell ref="H39:L39"/>
    <mergeCell ref="H30:K30"/>
    <mergeCell ref="N55:Q55"/>
    <mergeCell ref="H36:L36"/>
    <mergeCell ref="U99:X99"/>
    <mergeCell ref="H31:K31"/>
    <mergeCell ref="N72:Q72"/>
    <mergeCell ref="U101:X101"/>
    <mergeCell ref="H37:L37"/>
    <mergeCell ref="N62:Q62"/>
    <mergeCell ref="Y132:AB132"/>
    <mergeCell ref="N71:Q71"/>
    <mergeCell ref="N58:Q58"/>
    <mergeCell ref="U126:X126"/>
    <mergeCell ref="Z154:AB154"/>
    <mergeCell ref="N64:Q64"/>
    <mergeCell ref="R93:S93"/>
    <mergeCell ref="N73:Q73"/>
    <mergeCell ref="U116:X116"/>
    <mergeCell ref="H32:K32"/>
    <mergeCell ref="U130:X130"/>
    <mergeCell ref="AC143:AF143"/>
    <mergeCell ref="U103:X103"/>
    <mergeCell ref="U117:X117"/>
    <mergeCell ref="N57:Q5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B2:P37"/>
  <sheetViews>
    <sheetView topLeftCell="E16" zoomScale="175" zoomScaleNormal="175" workbookViewId="0">
      <selection activeCell="F32" sqref="F32"/>
    </sheetView>
  </sheetViews>
  <sheetFormatPr baseColWidth="8" defaultRowHeight="15"/>
  <cols>
    <col width="32.42578125" customWidth="1" style="1439" min="2" max="2"/>
    <col width="14.85546875" customWidth="1" style="1439" min="3" max="3"/>
    <col width="21.85546875" bestFit="1" customWidth="1" style="1439" min="4" max="4"/>
    <col width="14" bestFit="1" customWidth="1" style="1439" min="5" max="5"/>
    <col width="23.28515625" customWidth="1" style="1439" min="6" max="6"/>
    <col width="19.42578125" customWidth="1" style="1439" min="7" max="9"/>
    <col width="13.5703125" customWidth="1" style="1439" min="13" max="13"/>
  </cols>
  <sheetData>
    <row r="2">
      <c r="B2" s="1488" t="inlineStr">
        <is>
          <t>MARKET DATA</t>
        </is>
      </c>
    </row>
    <row r="3">
      <c r="B3" s="889" t="inlineStr">
        <is>
          <t>Surrounding Area</t>
        </is>
      </c>
      <c r="C3" s="1212" t="inlineStr">
        <is>
          <t xml:space="preserve">Industrial </t>
        </is>
      </c>
      <c r="D3" s="889" t="inlineStr">
        <is>
          <t>Market Trend</t>
        </is>
      </c>
      <c r="E3" s="1489" t="inlineStr">
        <is>
          <t>Growth</t>
        </is>
      </c>
    </row>
    <row r="4">
      <c r="B4" s="889" t="inlineStr">
        <is>
          <t>Overall Real Estate Values</t>
        </is>
      </c>
      <c r="C4" s="1212" t="inlineStr">
        <is>
          <t xml:space="preserve">Increasing </t>
        </is>
      </c>
      <c r="D4" s="889" t="inlineStr">
        <is>
          <t>Neighborhood Vacancy</t>
        </is>
      </c>
      <c r="E4" s="1214" t="n">
        <v>0.053</v>
      </c>
    </row>
    <row r="5" ht="15" customHeight="1" s="1439">
      <c r="B5" s="889" t="inlineStr">
        <is>
          <t>Predominant Property Use(s)</t>
        </is>
      </c>
      <c r="C5" s="1454" t="inlineStr">
        <is>
          <t>Industrial
Neighborhood Retail
Lodging</t>
        </is>
      </c>
      <c r="D5" s="889" t="inlineStr">
        <is>
          <t>Estimated Marketing</t>
        </is>
      </c>
      <c r="E5" s="1489" t="inlineStr">
        <is>
          <t>12 months</t>
        </is>
      </c>
    </row>
    <row r="6" ht="30.75" customHeight="1" s="1439">
      <c r="D6" s="889" t="inlineStr">
        <is>
          <t>Estimated Exposure</t>
        </is>
      </c>
      <c r="E6" s="1489" t="inlineStr">
        <is>
          <t>12 months</t>
        </is>
      </c>
    </row>
    <row r="7">
      <c r="B7" s="889" t="inlineStr">
        <is>
          <t>Market Subsector(s)</t>
        </is>
      </c>
      <c r="C7" s="1073" t="inlineStr">
        <is>
          <t>Adams County</t>
        </is>
      </c>
      <c r="D7" s="1490" t="inlineStr">
        <is>
          <t>Q1 2019-Q2 2020</t>
        </is>
      </c>
      <c r="E7" s="1491" t="n"/>
      <c r="F7" t="inlineStr">
        <is>
          <t>←Change this</t>
        </is>
      </c>
    </row>
    <row r="8">
      <c r="B8" s="1489" t="inlineStr">
        <is>
          <t>Vacancy - CoStar - Industrial 20,000 SF-50,000 SF</t>
        </is>
      </c>
      <c r="D8" s="1492" t="n">
        <v>0.07000000000000001</v>
      </c>
      <c r="E8" s="1493" t="n"/>
      <c r="F8" t="inlineStr">
        <is>
          <t>←From Income</t>
        </is>
      </c>
    </row>
    <row r="9">
      <c r="B9" s="889" t="n"/>
      <c r="C9" s="1073" t="inlineStr">
        <is>
          <t>Denver CBSA</t>
        </is>
      </c>
      <c r="D9" s="1490">
        <f>D7</f>
        <v/>
      </c>
      <c r="E9" s="1491" t="n"/>
      <c r="F9" t="inlineStr">
        <is>
          <t>←Change This</t>
        </is>
      </c>
    </row>
    <row r="10">
      <c r="B10" s="1495" t="inlineStr">
        <is>
          <t>Vacancy - CoStar - Industrial 20,000 SF-50,000 SF</t>
        </is>
      </c>
      <c r="C10" s="1458" t="n"/>
      <c r="D10" s="1498" t="n">
        <v>0.043</v>
      </c>
      <c r="E10" s="1499" t="n"/>
      <c r="F10" t="inlineStr">
        <is>
          <t>←From Income</t>
        </is>
      </c>
    </row>
    <row r="11">
      <c r="F11" s="1488" t="inlineStr">
        <is>
          <t>NEIGHBORHOOD DATA</t>
        </is>
      </c>
    </row>
    <row r="12" ht="173.25" customHeight="1" s="1439">
      <c r="F12" s="896" t="inlineStr">
        <is>
          <t>Market Area Comments</t>
        </is>
      </c>
      <c r="G12" s="1454" t="inlineStr">
        <is>
          <t xml:space="preserve">The subject property is located north of East 62nd Avenue, approximately 289 feet west of Washington Street, in unincorporated Adams County, Colorado. The immediate area is developed with light to medium intensity industrial properties, similar to the subject. The majority of the area is zoned I-1 (Light Industrial), allowing for warehousing, storage, distribution, and light-intensity industrial activity. A visual inspection the neighborhood indicates significant new development and redevelopment over the past five years. Local street/sidewalk infrastructure and municipal services have also been updated over that time.  </t>
        </is>
      </c>
    </row>
    <row r="13">
      <c r="F13" s="1497" t="inlineStr">
        <is>
          <t>Surrounding Uses</t>
        </is>
      </c>
      <c r="G13" s="1051" t="inlineStr">
        <is>
          <t>North:</t>
        </is>
      </c>
      <c r="H13" s="1489" t="inlineStr">
        <is>
          <t>Industrial Lots</t>
        </is>
      </c>
    </row>
    <row r="14">
      <c r="G14" s="1051" t="inlineStr">
        <is>
          <t>South:</t>
        </is>
      </c>
      <c r="H14" s="1489" t="inlineStr">
        <is>
          <t>Light Industrial</t>
        </is>
      </c>
    </row>
    <row r="15">
      <c r="G15" s="1051" t="inlineStr">
        <is>
          <t>East:</t>
        </is>
      </c>
      <c r="H15" s="1489" t="inlineStr">
        <is>
          <t xml:space="preserve">Industrial Storage Lot </t>
        </is>
      </c>
    </row>
    <row r="16">
      <c r="F16" s="1458" t="n"/>
      <c r="G16" s="1052" t="inlineStr">
        <is>
          <t>West:</t>
        </is>
      </c>
      <c r="H16" s="1495" t="inlineStr">
        <is>
          <t>Light Industrial</t>
        </is>
      </c>
      <c r="I16" s="1458" t="n"/>
    </row>
    <row r="17" hidden="1" ht="15" customHeight="1" s="1439">
      <c r="F17" s="897" t="inlineStr">
        <is>
          <t>Property Contact Interview</t>
        </is>
      </c>
      <c r="G17" s="1496">
        <f>clInspectionContactName</f>
        <v/>
      </c>
      <c r="H17" s="1458" t="n"/>
      <c r="I17" s="1458" t="n"/>
    </row>
    <row r="18" ht="51.75" customHeight="1" s="1439">
      <c r="I18" s="1343" t="inlineStr">
        <is>
          <t>CHANGE →</t>
        </is>
      </c>
      <c r="J18" s="1494" t="inlineStr">
        <is>
          <t>Average Sale Price - Denver Market Industrial - 10,000 SF-50,000 SF</t>
        </is>
      </c>
      <c r="N18" s="1494" t="inlineStr">
        <is>
          <t>Average Sale Price - Adams County Industrial - 10,000 SF-50,000 SF</t>
        </is>
      </c>
    </row>
    <row r="19" ht="25.5" customHeight="1" s="1439">
      <c r="J19" s="1340" t="inlineStr">
        <is>
          <t>Period</t>
        </is>
      </c>
      <c r="K19" s="1341" t="inlineStr">
        <is>
          <t>Avg. Price ($/SF)</t>
        </is>
      </c>
      <c r="L19" s="1341" t="inlineStr">
        <is>
          <t>% Change - Q2 2020</t>
        </is>
      </c>
      <c r="M19" s="1342" t="inlineStr">
        <is>
          <t>←CHANGE →</t>
        </is>
      </c>
      <c r="N19" s="1340" t="inlineStr">
        <is>
          <t>Period</t>
        </is>
      </c>
      <c r="O19" s="1341" t="inlineStr">
        <is>
          <t>Avg. Price ($/SF)</t>
        </is>
      </c>
      <c r="P19" s="1341" t="inlineStr">
        <is>
          <t>% Change - Q2 2020</t>
        </is>
      </c>
    </row>
    <row r="20" ht="15" customHeight="1" s="1439">
      <c r="I20" t="inlineStr">
        <is>
          <t>Pase from CoStar→</t>
        </is>
      </c>
      <c r="J20" s="601" t="inlineStr">
        <is>
          <t>2023 Q2 QTD</t>
        </is>
      </c>
      <c r="K20" s="1728" t="n">
        <v>147</v>
      </c>
      <c r="L20" s="603" t="n"/>
      <c r="N20" s="601" t="inlineStr">
        <is>
          <t>2023 Q2 QTD</t>
        </is>
      </c>
      <c r="O20" s="1728" t="n">
        <v>147</v>
      </c>
      <c r="P20" s="603" t="n"/>
    </row>
    <row r="21">
      <c r="J21" s="601" t="inlineStr">
        <is>
          <t>2023 Q1</t>
        </is>
      </c>
      <c r="K21" s="1728" t="n">
        <v>143</v>
      </c>
      <c r="L21" s="1729">
        <f>($C$18-K21)/K21</f>
        <v/>
      </c>
      <c r="N21" s="601" t="inlineStr">
        <is>
          <t>2023 Q1</t>
        </is>
      </c>
      <c r="O21" s="1728" t="n">
        <v>143</v>
      </c>
      <c r="P21" s="1729" t="n"/>
    </row>
    <row r="22">
      <c r="J22" s="601" t="inlineStr">
        <is>
          <t>2022 Q4</t>
        </is>
      </c>
      <c r="K22" s="1728" t="n">
        <v>142</v>
      </c>
      <c r="L22" s="1729">
        <f>($C$18-K22)/K22</f>
        <v/>
      </c>
      <c r="N22" s="601" t="inlineStr">
        <is>
          <t>2022 Q4</t>
        </is>
      </c>
      <c r="O22" s="1728" t="n">
        <v>142</v>
      </c>
      <c r="P22" s="1729" t="n"/>
    </row>
    <row r="23">
      <c r="J23" s="601" t="inlineStr">
        <is>
          <t>2022 Q3</t>
        </is>
      </c>
      <c r="K23" s="1728" t="n">
        <v>141</v>
      </c>
      <c r="L23" s="1729">
        <f>($C$18-K23)/K23</f>
        <v/>
      </c>
      <c r="N23" s="601" t="inlineStr">
        <is>
          <t>2022 Q3</t>
        </is>
      </c>
      <c r="O23" s="1728" t="n">
        <v>141</v>
      </c>
      <c r="P23" s="1729" t="n"/>
    </row>
    <row r="24">
      <c r="J24" s="601" t="inlineStr">
        <is>
          <t>2022 Q2</t>
        </is>
      </c>
      <c r="K24" s="1728" t="n">
        <v>139</v>
      </c>
      <c r="L24" s="1729">
        <f>($C$18-K24)/K24</f>
        <v/>
      </c>
      <c r="N24" s="601" t="inlineStr">
        <is>
          <t>2022 Q2</t>
        </is>
      </c>
      <c r="O24" s="1728" t="n">
        <v>139</v>
      </c>
      <c r="P24" s="1729" t="n"/>
    </row>
    <row r="25">
      <c r="J25" s="601" t="inlineStr">
        <is>
          <t>2022 Q1</t>
        </is>
      </c>
      <c r="K25" s="1728" t="n">
        <v>138</v>
      </c>
      <c r="L25" s="1729">
        <f>($C$18-K25)/K25</f>
        <v/>
      </c>
      <c r="N25" s="601" t="inlineStr">
        <is>
          <t>2022 Q1</t>
        </is>
      </c>
      <c r="O25" s="1728" t="n">
        <v>138</v>
      </c>
      <c r="P25" s="1729" t="n"/>
    </row>
    <row r="26">
      <c r="J26" s="601" t="inlineStr">
        <is>
          <t>2021 Q4</t>
        </is>
      </c>
      <c r="K26" s="1728" t="n">
        <v>137</v>
      </c>
      <c r="L26" s="1729">
        <f>($C$18-K26)/K26</f>
        <v/>
      </c>
      <c r="N26" s="601" t="inlineStr">
        <is>
          <t>2021 Q4</t>
        </is>
      </c>
      <c r="O26" s="1728" t="n">
        <v>137</v>
      </c>
      <c r="P26" s="1729" t="n"/>
    </row>
    <row r="27">
      <c r="J27" s="601" t="inlineStr">
        <is>
          <t>2021 Q3</t>
        </is>
      </c>
      <c r="K27" s="1728" t="n">
        <v>136</v>
      </c>
      <c r="L27" s="1729">
        <f>($C$18-K27)/K27</f>
        <v/>
      </c>
      <c r="N27" s="601" t="inlineStr">
        <is>
          <t>2021 Q3</t>
        </is>
      </c>
      <c r="O27" s="1728" t="n">
        <v>136</v>
      </c>
      <c r="P27" s="1729" t="n"/>
    </row>
    <row r="28">
      <c r="J28" s="601" t="inlineStr">
        <is>
          <t>2021 Q2</t>
        </is>
      </c>
      <c r="K28" s="1728" t="n">
        <v>135</v>
      </c>
      <c r="L28" s="1729">
        <f>($C$18-K28)/K28</f>
        <v/>
      </c>
      <c r="N28" s="601" t="inlineStr">
        <is>
          <t>2021 Q2</t>
        </is>
      </c>
      <c r="O28" s="1728" t="n">
        <v>135</v>
      </c>
      <c r="P28" s="1729" t="n"/>
    </row>
    <row r="29">
      <c r="J29" s="601" t="inlineStr">
        <is>
          <t>2021 Q1</t>
        </is>
      </c>
      <c r="K29" s="1728" t="n">
        <v>134</v>
      </c>
      <c r="L29" s="1729">
        <f>($C$18-K29)/K29</f>
        <v/>
      </c>
      <c r="N29" s="601" t="inlineStr">
        <is>
          <t>2021 Q1</t>
        </is>
      </c>
      <c r="O29" s="1728" t="n">
        <v>134</v>
      </c>
      <c r="P29" s="1729" t="n"/>
    </row>
    <row r="30">
      <c r="J30" s="601" t="inlineStr">
        <is>
          <t>2020 Q4</t>
        </is>
      </c>
      <c r="K30" s="1728" t="n">
        <v>132</v>
      </c>
      <c r="L30" s="1729">
        <f>($C$18-K30)/K30</f>
        <v/>
      </c>
      <c r="N30" s="601" t="inlineStr">
        <is>
          <t>2020 Q4</t>
        </is>
      </c>
      <c r="O30" s="1728" t="n">
        <v>132</v>
      </c>
      <c r="P30" s="1729" t="n"/>
    </row>
    <row r="31">
      <c r="J31" s="601" t="inlineStr">
        <is>
          <t>2020 Q3</t>
        </is>
      </c>
      <c r="K31" s="1728" t="n">
        <v>131</v>
      </c>
      <c r="L31" s="1729">
        <f>($C$18-K31)/K31</f>
        <v/>
      </c>
      <c r="N31" s="601" t="inlineStr">
        <is>
          <t>2020 Q3</t>
        </is>
      </c>
      <c r="O31" s="1728" t="n">
        <v>131</v>
      </c>
      <c r="P31" s="1729" t="n"/>
    </row>
    <row r="32">
      <c r="J32" s="601" t="inlineStr">
        <is>
          <t>2020 Q2</t>
        </is>
      </c>
      <c r="K32" s="1728" t="n">
        <v>130</v>
      </c>
      <c r="L32" s="1729">
        <f>($C$18-K32)/K32</f>
        <v/>
      </c>
      <c r="N32" s="601" t="inlineStr">
        <is>
          <t>2020 Q2</t>
        </is>
      </c>
      <c r="O32" s="1728" t="n">
        <v>130</v>
      </c>
      <c r="P32" s="1729" t="n"/>
    </row>
    <row r="33">
      <c r="J33" s="601" t="inlineStr">
        <is>
          <t>2020 Q1</t>
        </is>
      </c>
      <c r="K33" s="1728" t="n">
        <v>129</v>
      </c>
      <c r="L33" s="1729">
        <f>($C$18-K33)/K33</f>
        <v/>
      </c>
      <c r="N33" s="601" t="inlineStr">
        <is>
          <t>2020 Q1</t>
        </is>
      </c>
      <c r="O33" s="1728" t="n">
        <v>129</v>
      </c>
      <c r="P33" s="1729">
        <f>($G$18-O33)/O33</f>
        <v/>
      </c>
    </row>
    <row r="34">
      <c r="J34" s="601" t="inlineStr">
        <is>
          <t>2019 Q4</t>
        </is>
      </c>
      <c r="K34" s="1728" t="n">
        <v>128</v>
      </c>
      <c r="L34" s="1729">
        <f>($C$18-K34)/K34</f>
        <v/>
      </c>
      <c r="N34" s="601" t="inlineStr">
        <is>
          <t>2019 Q4</t>
        </is>
      </c>
      <c r="O34" s="1728" t="n">
        <v>128</v>
      </c>
      <c r="P34" s="1729">
        <f>($G$18-O34)/O34</f>
        <v/>
      </c>
    </row>
    <row r="35">
      <c r="J35" s="601" t="inlineStr">
        <is>
          <t>2019 Q3</t>
        </is>
      </c>
      <c r="K35" s="1728" t="n">
        <v>127</v>
      </c>
      <c r="L35" s="1729">
        <f>($C$18-K35)/K35</f>
        <v/>
      </c>
      <c r="N35" s="601" t="inlineStr">
        <is>
          <t>2019 Q3</t>
        </is>
      </c>
      <c r="O35" s="1728" t="n">
        <v>127</v>
      </c>
      <c r="P35" s="1729">
        <f>($G$18-O35)/O35</f>
        <v/>
      </c>
    </row>
    <row r="36">
      <c r="J36" s="832" t="inlineStr">
        <is>
          <t>2019 Q2</t>
        </is>
      </c>
      <c r="K36" s="1730" t="n">
        <v>125</v>
      </c>
      <c r="L36" s="1731">
        <f>($C$18-K36)/K36</f>
        <v/>
      </c>
      <c r="N36" s="601" t="inlineStr">
        <is>
          <t>2019 Q2</t>
        </is>
      </c>
      <c r="O36" s="1728" t="n">
        <v>125</v>
      </c>
      <c r="P36" s="1729">
        <f>($G$18-O36)/O36</f>
        <v/>
      </c>
    </row>
    <row r="37">
      <c r="J37" s="605" t="inlineStr">
        <is>
          <t>2019 Q1</t>
        </is>
      </c>
      <c r="K37" s="1732" t="n">
        <v>124</v>
      </c>
      <c r="L37" s="1733">
        <f>($C$18-K37)/K37</f>
        <v/>
      </c>
      <c r="N37" s="605" t="inlineStr">
        <is>
          <t>2019 Q1</t>
        </is>
      </c>
      <c r="O37" s="1732" t="n">
        <v>124</v>
      </c>
      <c r="P37" s="1733">
        <f>($G$18-O37)/O37</f>
        <v/>
      </c>
    </row>
  </sheetData>
  <mergeCells count="18">
    <mergeCell ref="D8:E8"/>
    <mergeCell ref="H13:I13"/>
    <mergeCell ref="D10:E10"/>
    <mergeCell ref="F13:F16"/>
    <mergeCell ref="H16:I16"/>
    <mergeCell ref="D7:E7"/>
    <mergeCell ref="J18:L18"/>
    <mergeCell ref="N18:P18"/>
    <mergeCell ref="F11:I11"/>
    <mergeCell ref="H15:I15"/>
    <mergeCell ref="B10:C10"/>
    <mergeCell ref="G17:I17"/>
    <mergeCell ref="B2:E2"/>
    <mergeCell ref="H14:I14"/>
    <mergeCell ref="G12:I12"/>
    <mergeCell ref="D9:E9"/>
    <mergeCell ref="B8:C8"/>
    <mergeCell ref="C5:C6"/>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B2:J47"/>
  <sheetViews>
    <sheetView zoomScale="145" zoomScaleNormal="145" workbookViewId="0">
      <selection activeCell="I48" sqref="I48"/>
    </sheetView>
  </sheetViews>
  <sheetFormatPr baseColWidth="8" defaultRowHeight="15"/>
  <cols>
    <col width="3.140625" customWidth="1" style="1439" min="1" max="1"/>
    <col width="30" customWidth="1" style="1439" min="2" max="2"/>
    <col width="18.42578125" bestFit="1" customWidth="1" style="1439" min="3" max="3"/>
    <col width="16.28515625" bestFit="1" customWidth="1" style="1439" min="4" max="4"/>
    <col width="13.140625" bestFit="1" customWidth="1" style="1439" min="5" max="5"/>
    <col width="21.42578125" customWidth="1" style="1439" min="6" max="6"/>
    <col width="17.7109375" customWidth="1" style="1439" min="8" max="8"/>
    <col width="61.7109375" customWidth="1" style="1439" min="9" max="9"/>
    <col width="31.85546875" customWidth="1" style="1439" min="10" max="11"/>
  </cols>
  <sheetData>
    <row r="1" ht="8.25" customHeight="1" s="1439"/>
    <row r="2">
      <c r="B2" s="1501" t="inlineStr">
        <is>
          <t>SITE DESCRIPTION OVERVIEW</t>
        </is>
      </c>
    </row>
    <row r="3" ht="7.5" customHeight="1" s="1439">
      <c r="B3" s="811" t="n"/>
      <c r="C3" s="1503" t="n"/>
    </row>
    <row r="4" ht="36" customHeight="1" s="1439">
      <c r="B4" s="807" t="inlineStr">
        <is>
          <t>Location</t>
        </is>
      </c>
      <c r="C4" s="1504">
        <f>FE!U99</f>
        <v/>
      </c>
    </row>
    <row r="5">
      <c r="B5" s="807" t="inlineStr">
        <is>
          <t>Account Number</t>
        </is>
      </c>
      <c r="C5" s="1503">
        <f>FE!U103</f>
        <v/>
      </c>
    </row>
    <row r="6">
      <c r="B6" s="807" t="inlineStr">
        <is>
          <t>Legal Description</t>
        </is>
      </c>
      <c r="C6" s="1504">
        <f>FE!U106</f>
        <v/>
      </c>
    </row>
    <row r="7">
      <c r="B7" s="807" t="inlineStr">
        <is>
          <t>Site Area</t>
        </is>
      </c>
      <c r="C7" s="1503" t="n"/>
      <c r="D7" s="835" t="n"/>
      <c r="E7" s="835" t="n"/>
      <c r="F7" s="835" t="n"/>
    </row>
    <row r="8">
      <c r="B8" s="812" t="inlineStr">
        <is>
          <t>Primary Site</t>
        </is>
      </c>
      <c r="C8" s="1734">
        <f>FE!U108</f>
        <v/>
      </c>
      <c r="D8" s="1735">
        <f>FE!V108</f>
        <v/>
      </c>
      <c r="E8" s="835" t="n"/>
      <c r="F8" s="835" t="n"/>
    </row>
    <row r="9">
      <c r="B9" s="812" t="inlineStr">
        <is>
          <t>Excess Land</t>
        </is>
      </c>
      <c r="C9" s="1734">
        <f>FE!U109</f>
        <v/>
      </c>
      <c r="D9" s="1735">
        <f>FE!V109</f>
        <v/>
      </c>
      <c r="E9" s="835" t="n"/>
      <c r="F9" s="835" t="n"/>
    </row>
    <row r="10">
      <c r="B10" s="812" t="inlineStr">
        <is>
          <t>Surplus Land</t>
        </is>
      </c>
      <c r="C10" s="1734">
        <f>FE!U110</f>
        <v/>
      </c>
      <c r="D10" s="1735">
        <f>FE!V110</f>
        <v/>
      </c>
      <c r="E10" s="835" t="n"/>
      <c r="F10" s="835" t="n"/>
    </row>
    <row r="11">
      <c r="B11" s="812" t="inlineStr">
        <is>
          <t>Total</t>
        </is>
      </c>
      <c r="C11" s="1736">
        <f>FE!U111</f>
        <v/>
      </c>
      <c r="D11" s="1737">
        <f>FE!V111</f>
        <v/>
      </c>
      <c r="E11" s="835" t="n"/>
      <c r="F11" s="835" t="n"/>
    </row>
    <row r="12" ht="48" customHeight="1" s="1439">
      <c r="B12" s="809" t="inlineStr">
        <is>
          <t>Configuration</t>
        </is>
      </c>
      <c r="C12" s="1500" t="inlineStr">
        <is>
          <t xml:space="preserve">Generally rectangular site with street access from West 62nd Avenue and Washington St., via an apparent access easement with the adjacent property to the east. </t>
        </is>
      </c>
    </row>
    <row r="13">
      <c r="B13" s="809" t="inlineStr">
        <is>
          <t>Topography</t>
        </is>
      </c>
      <c r="C13" s="1500" t="inlineStr">
        <is>
          <t>Generally Level</t>
        </is>
      </c>
    </row>
    <row r="14">
      <c r="B14" s="809" t="inlineStr">
        <is>
          <t>Drainage</t>
        </is>
      </c>
      <c r="C14" s="1500" t="inlineStr">
        <is>
          <t>Appears adequate</t>
        </is>
      </c>
    </row>
    <row r="15">
      <c r="B15" s="809" t="inlineStr">
        <is>
          <t>Utilities/Municipal Services</t>
        </is>
      </c>
      <c r="C15" s="1500" t="inlineStr">
        <is>
          <t>Typical utilities and municipal services available to site.</t>
        </is>
      </c>
    </row>
    <row r="16">
      <c r="B16" s="826" t="inlineStr">
        <is>
          <t>Floodplain</t>
        </is>
      </c>
      <c r="C16" s="827" t="inlineStr">
        <is>
          <t>Zone</t>
        </is>
      </c>
      <c r="D16" s="828" t="inlineStr">
        <is>
          <t>Map</t>
        </is>
      </c>
      <c r="E16" s="828" t="inlineStr">
        <is>
          <t>Date</t>
        </is>
      </c>
      <c r="F16" s="825" t="n"/>
    </row>
    <row r="17">
      <c r="B17" s="809" t="n"/>
      <c r="C17" s="1215" t="inlineStr">
        <is>
          <t>Zone X (Unshaded)</t>
        </is>
      </c>
      <c r="D17" s="1216" t="inlineStr">
        <is>
          <t>08001C0333H</t>
        </is>
      </c>
      <c r="E17" s="1738" t="n">
        <v>39146</v>
      </c>
      <c r="F17" s="825" t="n"/>
      <c r="I17" t="inlineStr">
        <is>
          <t>Zone A</t>
        </is>
      </c>
      <c r="J17" t="inlineStr">
        <is>
          <t>Zone X (Shaded)</t>
        </is>
      </c>
    </row>
    <row r="18" ht="111.75" customHeight="1" s="1439">
      <c r="B18" s="886" t="n"/>
      <c r="C18" s="1502" t="inlineStr">
        <is>
          <t>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t>
        </is>
      </c>
      <c r="D18" s="1458" t="n"/>
      <c r="E18" s="1458" t="n"/>
      <c r="F18" s="1458" t="n"/>
    </row>
    <row r="19" hidden="1" s="1439">
      <c r="B19" s="810" t="inlineStr">
        <is>
          <t>Census Tract No.</t>
        </is>
      </c>
      <c r="C19" s="1506">
        <f>pdCensusTract</f>
        <v/>
      </c>
      <c r="D19" s="1458" t="n"/>
      <c r="E19" s="1458" t="n"/>
      <c r="F19" s="1458" t="n"/>
    </row>
    <row r="20">
      <c r="B20" s="809" t="n"/>
      <c r="C20" s="1512" t="n"/>
      <c r="D20" s="871" t="n"/>
      <c r="E20" s="871" t="n"/>
      <c r="F20" s="871" t="n"/>
    </row>
    <row r="21">
      <c r="B21" s="1501" t="inlineStr">
        <is>
          <t>SITE DESCRIPTION OVERVIEW - CONTINUED</t>
        </is>
      </c>
    </row>
    <row r="22" ht="68.25" customHeight="1" s="1439">
      <c r="B22" s="809" t="inlineStr">
        <is>
          <t>Soil/Subsoil Conditions</t>
        </is>
      </c>
      <c r="C22" s="1500" t="inlineStr">
        <is>
          <t>We did not receive nor review a soil report.  However, we assume that the soil's load-bearing capacity is sufficient to support existing structure(s).  We did not observe any evidence to the contrary during our physical inspection of the property.</t>
        </is>
      </c>
    </row>
    <row r="23" ht="33" customHeight="1" s="1439">
      <c r="B23" s="809" t="inlineStr">
        <is>
          <t>Environmental Concerns</t>
        </is>
      </c>
      <c r="C23" s="1500" t="inlineStr">
        <is>
          <t>No unusual conditions observed.  No studies provided.  Site is assumed to be free of any environmental concerns.</t>
        </is>
      </c>
    </row>
    <row r="24" ht="60" customHeight="1" s="1439">
      <c r="B24" s="809" t="inlineStr">
        <is>
          <t>Land Use Restrictions</t>
        </is>
      </c>
      <c r="C24" s="1500" t="inlineStr">
        <is>
          <t xml:space="preserve">No atypical easements or encumbrances noted. Typical access easement appears to exist along the north boundary of the adjacent property to the east, providing access to the subject from Washington Street. Signage directs deliveries to access the subject from noted access road. </t>
        </is>
      </c>
    </row>
    <row r="25">
      <c r="B25" s="809" t="inlineStr">
        <is>
          <t>Hazards Nuisances</t>
        </is>
      </c>
      <c r="C25" s="1500" t="inlineStr">
        <is>
          <t>None noted</t>
        </is>
      </c>
    </row>
    <row r="26">
      <c r="B26" s="809" t="inlineStr">
        <is>
          <t>Frontage</t>
        </is>
      </c>
      <c r="C26" s="1500" t="inlineStr">
        <is>
          <t>West 62nd Avenue</t>
        </is>
      </c>
    </row>
    <row r="27" ht="31.5" customHeight="1" s="1439">
      <c r="B27" s="809" t="inlineStr">
        <is>
          <t>Access</t>
        </is>
      </c>
      <c r="C27" s="1500" t="inlineStr">
        <is>
          <t>West 62nd Avenue (direct), Washington Street (via apparent access easement to the east)</t>
        </is>
      </c>
    </row>
    <row r="28" ht="33" customHeight="1" s="1439">
      <c r="B28" s="809" t="inlineStr">
        <is>
          <t>Visibility</t>
        </is>
      </c>
      <c r="C28" s="1500" t="inlineStr">
        <is>
          <t>Unobstructed: West 62nd Ave. Obstructed: Washington Street - through adjacent parcel.</t>
        </is>
      </c>
    </row>
    <row r="29">
      <c r="B29" s="809" t="inlineStr">
        <is>
          <t>Surrounding Land Uses</t>
        </is>
      </c>
      <c r="C29" s="1500" t="inlineStr">
        <is>
          <t>Light to medium-intensity industrial</t>
        </is>
      </c>
    </row>
    <row r="30">
      <c r="B30" s="809" t="inlineStr">
        <is>
          <t>Enterprise Zone</t>
        </is>
      </c>
      <c r="C30" s="1500" t="inlineStr">
        <is>
          <t>None noted</t>
        </is>
      </c>
    </row>
    <row r="31" ht="37.5" customHeight="1" s="1439">
      <c r="B31" s="809" t="inlineStr">
        <is>
          <t>Traffic Counts</t>
        </is>
      </c>
      <c r="C31" s="1500" t="inlineStr">
        <is>
          <t>West 62nd Ave: 5,235 VPD, Washington Street: 13,501 VPD 
Per CoStar (Jan. 2022 Est.)</t>
        </is>
      </c>
    </row>
    <row r="32" ht="36" customHeight="1" s="1439">
      <c r="B32" s="809" t="inlineStr">
        <is>
          <t>Transportation Facilities</t>
        </is>
      </c>
      <c r="C32" s="1500" t="inlineStr">
        <is>
          <t xml:space="preserve">Northbound and southbound bus stops located along Washington Street, at 
E. 62nd Ave. </t>
        </is>
      </c>
    </row>
    <row r="33" ht="103.5" customHeight="1" s="1439">
      <c r="B33" s="810" t="inlineStr">
        <is>
          <t>Comments</t>
        </is>
      </c>
      <c r="C33" s="1508" t="inlineStr">
        <is>
          <t xml:space="preserve">Light industrial property located in an area of generally similar industrial development. Access to the property available from E. 62nd Ave. and Washington St. with visibility available from both thoroughfares. Convenient access to Interstate 25, Interstate 76, and Interstate 270, all less than one mile from the subject property. No atypical easements or encumbrances were noted at the property during the appraiser's inspection. </t>
        </is>
      </c>
      <c r="D33" s="1458" t="n"/>
      <c r="E33" s="1458" t="n"/>
      <c r="F33" s="1458" t="n"/>
    </row>
    <row r="35">
      <c r="H35" s="1505" t="inlineStr">
        <is>
          <t>ZONING</t>
        </is>
      </c>
    </row>
    <row r="36">
      <c r="H36" s="1053" t="inlineStr">
        <is>
          <t>Designation</t>
        </is>
      </c>
      <c r="I36" s="1218" t="inlineStr">
        <is>
          <t>I-1</t>
        </is>
      </c>
    </row>
    <row r="37">
      <c r="H37" s="1054" t="inlineStr">
        <is>
          <t>Description</t>
        </is>
      </c>
      <c r="I37" s="1218" t="inlineStr">
        <is>
          <t>Industrial-1 (Light Industrial)</t>
        </is>
      </c>
    </row>
    <row r="38" ht="140.25" customHeight="1" s="1439">
      <c r="H38" s="1053" t="inlineStr">
        <is>
          <t>Zoning Intent</t>
        </is>
      </c>
      <c r="I38" s="1218" t="inlineStr">
        <is>
          <t>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t>
        </is>
      </c>
    </row>
    <row r="39">
      <c r="H39" s="1054" t="inlineStr">
        <is>
          <t>Compliance</t>
        </is>
      </c>
      <c r="I39" s="1219" t="inlineStr">
        <is>
          <t>The subject is a legal confirming use in the I-1 zoning designation.</t>
        </is>
      </c>
    </row>
    <row r="40">
      <c r="H40" s="1507" t="inlineStr">
        <is>
          <t>ZONING REQUIREMENTS</t>
        </is>
      </c>
    </row>
    <row r="41">
      <c r="H41" s="1055" t="inlineStr">
        <is>
          <t>Min. Lot Size:</t>
        </is>
      </c>
      <c r="I41" s="1220" t="inlineStr">
        <is>
          <t>1 Acre</t>
        </is>
      </c>
    </row>
    <row r="42">
      <c r="H42" s="1055" t="inlineStr">
        <is>
          <t>Min. Lot Width:</t>
        </is>
      </c>
      <c r="I42" s="1221" t="inlineStr">
        <is>
          <t>100 Feet</t>
        </is>
      </c>
    </row>
    <row r="43">
      <c r="H43" s="1450" t="inlineStr">
        <is>
          <t>Setbacks:</t>
        </is>
      </c>
      <c r="I43" s="1222" t="n"/>
    </row>
    <row r="44">
      <c r="H44" s="1056" t="inlineStr">
        <is>
          <t>Front</t>
        </is>
      </c>
      <c r="I44" s="1140" t="inlineStr">
        <is>
          <t>25 Feet</t>
        </is>
      </c>
    </row>
    <row r="45" ht="30" customHeight="1" s="1439">
      <c r="H45" s="1056" t="inlineStr">
        <is>
          <t>Side</t>
        </is>
      </c>
      <c r="I45" s="1223" t="inlineStr">
        <is>
          <t xml:space="preserve">15 feet on one side and five 5 feet on the other side; 0 foot setbacks may be approved for fireproof structures. </t>
        </is>
      </c>
    </row>
    <row r="46">
      <c r="H46" s="1056" t="inlineStr">
        <is>
          <t>Rear</t>
        </is>
      </c>
      <c r="I46" s="1140" t="inlineStr">
        <is>
          <t>15 Feet</t>
        </is>
      </c>
    </row>
    <row r="47">
      <c r="H47" s="1057" t="inlineStr">
        <is>
          <t>Maximum Height:</t>
        </is>
      </c>
      <c r="I47" s="1224" t="inlineStr">
        <is>
          <t>60 Feet</t>
        </is>
      </c>
    </row>
  </sheetData>
  <mergeCells count="26">
    <mergeCell ref="H35:I35"/>
    <mergeCell ref="C23:F23"/>
    <mergeCell ref="C32:F32"/>
    <mergeCell ref="C19:F19"/>
    <mergeCell ref="H40:I40"/>
    <mergeCell ref="C28:F28"/>
    <mergeCell ref="C13:F13"/>
    <mergeCell ref="B21:F21"/>
    <mergeCell ref="C18:F18"/>
    <mergeCell ref="C3:F3"/>
    <mergeCell ref="B2:F2"/>
    <mergeCell ref="C6:F6"/>
    <mergeCell ref="C30:F30"/>
    <mergeCell ref="C15:F15"/>
    <mergeCell ref="C33:F33"/>
    <mergeCell ref="C24:F24"/>
    <mergeCell ref="C5:F5"/>
    <mergeCell ref="C14:F14"/>
    <mergeCell ref="C4:F4"/>
    <mergeCell ref="C26:F26"/>
    <mergeCell ref="C29:F29"/>
    <mergeCell ref="C25:F25"/>
    <mergeCell ref="C22:F22"/>
    <mergeCell ref="C31:F31"/>
    <mergeCell ref="C12:F12"/>
    <mergeCell ref="C27:F27"/>
  </mergeCells>
  <pageMargins left="0.7" right="0.7" top="0.75" bottom="0.75" header="0.3" footer="0.3"/>
  <pageSetup orientation="portrait"/>
</worksheet>
</file>

<file path=xl/worksheets/sheet6.xml><?xml version="1.0" encoding="utf-8"?>
<worksheet xmlns="http://schemas.openxmlformats.org/spreadsheetml/2006/main">
  <sheetPr>
    <outlinePr summaryBelow="1" summaryRight="1"/>
    <pageSetUpPr/>
  </sheetPr>
  <dimension ref="B2:F99"/>
  <sheetViews>
    <sheetView topLeftCell="A76" zoomScale="130" zoomScaleNormal="130" workbookViewId="0">
      <selection activeCell="C98" sqref="C97:F98"/>
    </sheetView>
  </sheetViews>
  <sheetFormatPr baseColWidth="8" defaultRowHeight="15"/>
  <cols>
    <col width="3.85546875" customWidth="1" style="1439" min="1" max="1"/>
    <col width="30.140625" customWidth="1" style="1439" min="2" max="2"/>
    <col width="14.85546875" customWidth="1" style="1439" min="3" max="3"/>
    <col width="18.42578125" customWidth="1" style="1439" min="4" max="5"/>
    <col width="20.42578125" customWidth="1" style="1439" min="6" max="6"/>
    <col width="22.42578125" customWidth="1" style="1439" min="7" max="7"/>
  </cols>
  <sheetData>
    <row r="2">
      <c r="B2" s="1501">
        <f>IF(OR(pdGenPropUse2="",pdGenPropUse2=0),"GENERAL DESCRIPTION OVERVIEW", "GENERAL DESCRIPTION OVERVIEW - "&amp;UPPER(pdGenPropUse))</f>
        <v/>
      </c>
    </row>
    <row r="3">
      <c r="B3" s="417" t="inlineStr">
        <is>
          <t>Address</t>
        </is>
      </c>
      <c r="C3" s="1527">
        <f>'Property Info'!B16</f>
        <v/>
      </c>
    </row>
    <row r="4">
      <c r="B4" s="808" t="n"/>
      <c r="C4" s="1512">
        <f>'Property Info'!B17</f>
        <v/>
      </c>
    </row>
    <row r="5">
      <c r="B5" s="807" t="inlineStr">
        <is>
          <t>Property Description</t>
        </is>
      </c>
      <c r="C5" s="1512">
        <f>FE!U100</f>
        <v/>
      </c>
    </row>
    <row r="6">
      <c r="B6" s="807" t="inlineStr">
        <is>
          <t>Year Built</t>
        </is>
      </c>
      <c r="C6" s="1512">
        <f>'Property Info'!B8</f>
        <v/>
      </c>
    </row>
    <row r="7">
      <c r="B7" s="809" t="inlineStr">
        <is>
          <t>Year Renovated</t>
        </is>
      </c>
      <c r="C7" s="1512">
        <f>FE!U116</f>
        <v/>
      </c>
    </row>
    <row r="8">
      <c r="B8" s="809" t="inlineStr">
        <is>
          <t>Number of Buildings</t>
        </is>
      </c>
      <c r="C8" s="1512">
        <f>FE!U120</f>
        <v/>
      </c>
    </row>
    <row r="9">
      <c r="B9" s="809" t="inlineStr">
        <is>
          <t>Number of Stories</t>
        </is>
      </c>
      <c r="C9" s="1500" t="n">
        <v>1</v>
      </c>
    </row>
    <row r="10">
      <c r="B10" s="809" t="inlineStr">
        <is>
          <t>Total Number of Units</t>
        </is>
      </c>
      <c r="C10" s="1512">
        <f>FE!U126</f>
        <v/>
      </c>
    </row>
    <row r="11">
      <c r="B11" s="809" t="inlineStr">
        <is>
          <t>Building Construction Class</t>
        </is>
      </c>
      <c r="C11" s="1500" t="inlineStr">
        <is>
          <t>C/S</t>
        </is>
      </c>
    </row>
    <row r="12" hidden="1" s="1439">
      <c r="B12" s="809" t="inlineStr">
        <is>
          <t>Net Rentable Area</t>
        </is>
      </c>
      <c r="C12" s="1739">
        <f>FE!U124</f>
        <v/>
      </c>
    </row>
    <row r="13">
      <c r="B13" s="809" t="inlineStr">
        <is>
          <t>Gross Leasable Area</t>
        </is>
      </c>
      <c r="C13" s="1739">
        <f>FE!U122</f>
        <v/>
      </c>
    </row>
    <row r="14" hidden="1" s="1439">
      <c r="B14" s="812" t="inlineStr">
        <is>
          <t>+ Clubhouse</t>
        </is>
      </c>
      <c r="C14" s="1739">
        <f>pdBldgAreaClubhouse</f>
        <v/>
      </c>
    </row>
    <row r="15" hidden="1" s="1439">
      <c r="B15" s="812" t="inlineStr">
        <is>
          <t>+ Others(s)</t>
        </is>
      </c>
      <c r="C15" s="1739">
        <f>pdBldgAreaOther</f>
        <v/>
      </c>
    </row>
    <row r="16" ht="32.25" customHeight="1" s="1439">
      <c r="B16" s="1059" t="inlineStr">
        <is>
          <t xml:space="preserve">Mezzanine Area </t>
        </is>
      </c>
      <c r="C16" s="1740" t="inlineStr">
        <is>
          <t xml:space="preserve">Small structural mezzanine located atop a temporary structure in the warehouse. Not included in the total GBA, considered an amenity of the property. </t>
        </is>
      </c>
    </row>
    <row r="17">
      <c r="B17" s="809" t="inlineStr">
        <is>
          <t>Building Footprint</t>
        </is>
      </c>
      <c r="C17" s="1739">
        <f>'Property Info'!B5</f>
        <v/>
      </c>
    </row>
    <row r="18" hidden="1" s="1439">
      <c r="B18" s="809" t="inlineStr">
        <is>
          <t>Bay Depth</t>
        </is>
      </c>
      <c r="C18" s="1741">
        <f>pdBayDepth</f>
        <v/>
      </c>
    </row>
    <row r="19" hidden="1" s="1439">
      <c r="B19" s="809" t="inlineStr">
        <is>
          <t>LEED Ratio</t>
        </is>
      </c>
      <c r="C19" s="1739">
        <f>pdLEEDRating</f>
        <v/>
      </c>
      <c r="D19" s="871" t="n"/>
      <c r="E19" s="871" t="n"/>
      <c r="F19" s="871" t="n"/>
    </row>
    <row r="20" hidden="1" s="1439">
      <c r="B20" s="809" t="inlineStr">
        <is>
          <t>Floor-Area Ratio</t>
        </is>
      </c>
      <c r="C20" s="875">
        <f>pdFAR</f>
        <v/>
      </c>
      <c r="D20" s="871" t="n"/>
      <c r="E20" s="871" t="n"/>
      <c r="F20" s="871" t="n"/>
    </row>
    <row r="21">
      <c r="B21" s="809" t="inlineStr">
        <is>
          <t>Elevator(s)</t>
        </is>
      </c>
      <c r="C21" s="1500" t="inlineStr">
        <is>
          <t>None</t>
        </is>
      </c>
    </row>
    <row r="22">
      <c r="B22" s="809" t="inlineStr">
        <is>
          <t>Ceiling Heights</t>
        </is>
      </c>
      <c r="C22" s="1500" t="inlineStr">
        <is>
          <t>14'-23' (average 18')</t>
        </is>
      </c>
    </row>
    <row r="23">
      <c r="B23" s="809" t="inlineStr">
        <is>
          <t>Utility Metering</t>
        </is>
      </c>
      <c r="C23" s="1500" t="inlineStr">
        <is>
          <t>Master metered</t>
        </is>
      </c>
    </row>
    <row r="24" hidden="1" s="1439">
      <c r="B24" s="809" t="inlineStr">
        <is>
          <t>Density (Units/Acre)</t>
        </is>
      </c>
      <c r="C24" s="1742">
        <f>C10/'Site Information'!C11</f>
        <v/>
      </c>
    </row>
    <row r="25">
      <c r="B25" s="809" t="inlineStr">
        <is>
          <t>Coverage Ratio</t>
        </is>
      </c>
      <c r="C25" s="1743">
        <f>C17/'Site Information'!C11</f>
        <v/>
      </c>
    </row>
    <row r="26">
      <c r="B26" s="809" t="inlineStr">
        <is>
          <t>Land-to-Building Ratio</t>
        </is>
      </c>
      <c r="C26" s="1744">
        <f>'Site Information'!C11/Improvements!C13</f>
        <v/>
      </c>
    </row>
    <row r="27">
      <c r="B27" s="809" t="inlineStr">
        <is>
          <t>Ingress/Egress</t>
        </is>
      </c>
      <c r="C27" s="1500" t="inlineStr">
        <is>
          <t xml:space="preserve">Typical pedestrian entrances and loading doors along building perimeter. </t>
        </is>
      </c>
    </row>
    <row r="28">
      <c r="B28" s="809" t="inlineStr">
        <is>
          <t>Percentage Office Build-Out</t>
        </is>
      </c>
      <c r="C28" s="1525">
        <f>'Property Info'!B14</f>
        <v/>
      </c>
    </row>
    <row r="29">
      <c r="B29" s="809" t="inlineStr">
        <is>
          <t>Clear Height</t>
        </is>
      </c>
      <c r="C29" s="1500" t="inlineStr">
        <is>
          <t>12'-20'</t>
        </is>
      </c>
    </row>
    <row r="30">
      <c r="B30" s="809" t="inlineStr">
        <is>
          <t>Power</t>
        </is>
      </c>
      <c r="C30" s="1518" t="inlineStr">
        <is>
          <t xml:space="preserve">Assumed adequate for industrial use. </t>
        </is>
      </c>
    </row>
    <row r="31">
      <c r="B31" s="809" t="inlineStr">
        <is>
          <t>Loading Doors</t>
        </is>
      </c>
      <c r="C31" s="1512" t="n"/>
    </row>
    <row r="32">
      <c r="B32" s="812" t="inlineStr">
        <is>
          <t>Dock High</t>
        </is>
      </c>
      <c r="C32" s="1500" t="n">
        <v>3</v>
      </c>
    </row>
    <row r="33">
      <c r="B33" s="812" t="inlineStr">
        <is>
          <t>Roll-Up</t>
        </is>
      </c>
      <c r="C33" s="1500" t="n">
        <v>2</v>
      </c>
    </row>
    <row r="34">
      <c r="B34" s="809" t="inlineStr">
        <is>
          <t>Rail Access</t>
        </is>
      </c>
      <c r="C34" s="1500" t="inlineStr">
        <is>
          <t>None</t>
        </is>
      </c>
    </row>
    <row r="35">
      <c r="B35" s="809" t="inlineStr">
        <is>
          <t>Storage Yard</t>
        </is>
      </c>
      <c r="C35" s="1500" t="inlineStr">
        <is>
          <t>Fenced storage yard located on the northwestern portion of the property.</t>
        </is>
      </c>
    </row>
    <row r="36">
      <c r="B36" s="809" t="inlineStr">
        <is>
          <t>Truck Court</t>
        </is>
      </c>
      <c r="C36" s="1500" t="inlineStr">
        <is>
          <t>Truck loading/unloading along the west and northeast building elevations.</t>
        </is>
      </c>
    </row>
    <row r="37">
      <c r="B37" s="809" t="inlineStr">
        <is>
          <t>Parking</t>
        </is>
      </c>
      <c r="C37" s="1512" t="n"/>
      <c r="D37" s="871" t="n"/>
      <c r="E37" s="871" t="n"/>
      <c r="F37" s="871" t="n"/>
    </row>
    <row r="38">
      <c r="B38" s="812" t="inlineStr">
        <is>
          <t>Surface Parking Spaces</t>
        </is>
      </c>
      <c r="C38" s="1226" t="n">
        <v>71</v>
      </c>
      <c r="D38" s="814" t="n"/>
      <c r="E38" s="814" t="n"/>
      <c r="F38" s="814" t="n"/>
    </row>
    <row r="39">
      <c r="B39" s="812" t="inlineStr">
        <is>
          <t>Other</t>
        </is>
      </c>
      <c r="C39" s="1225" t="n">
        <v>0</v>
      </c>
      <c r="D39" s="814" t="n"/>
      <c r="E39" s="814" t="n"/>
      <c r="F39" s="814" t="n"/>
    </row>
    <row r="40">
      <c r="B40" s="812" t="inlineStr">
        <is>
          <t>Garages</t>
        </is>
      </c>
      <c r="C40" s="1225" t="n">
        <v>0</v>
      </c>
      <c r="D40" s="814" t="n"/>
      <c r="E40" s="814" t="n"/>
      <c r="F40" s="814" t="n"/>
    </row>
    <row r="41">
      <c r="B41" s="809" t="inlineStr">
        <is>
          <t>Total Parking Spaces</t>
        </is>
      </c>
      <c r="C41" s="813">
        <f>SUM(C38:C40)</f>
        <v/>
      </c>
      <c r="D41" s="814" t="n"/>
      <c r="E41" s="814" t="n"/>
      <c r="F41" s="814" t="n"/>
    </row>
    <row r="42" ht="30" customHeight="1" s="1439">
      <c r="B42" s="1058" t="inlineStr">
        <is>
          <t>Parking Ratio 
(Spaces/1,000 SF GBA)</t>
        </is>
      </c>
      <c r="C42" s="1513">
        <f>(C41/C13)*1000</f>
        <v/>
      </c>
      <c r="D42" s="1458" t="n"/>
      <c r="E42" s="1458" t="n"/>
      <c r="F42" s="1458" t="n"/>
    </row>
    <row r="43" hidden="1" ht="39" customHeight="1" s="1439">
      <c r="B43" s="809" t="inlineStr">
        <is>
          <t>ADA Compliance</t>
        </is>
      </c>
      <c r="C43" s="1520">
        <f>pdADA</f>
        <v/>
      </c>
      <c r="D43" s="1511" t="n"/>
      <c r="E43" s="1511" t="n"/>
      <c r="F43" s="1511" t="n"/>
    </row>
    <row r="44">
      <c r="B44" s="1550" t="n"/>
      <c r="C44" s="815" t="n"/>
      <c r="D44" s="1550" t="n"/>
      <c r="E44" s="1550" t="n"/>
      <c r="F44" s="1550" t="n"/>
    </row>
    <row r="45">
      <c r="B45" s="1501" t="inlineStr">
        <is>
          <t>CONSTRUCTION DETAIL</t>
        </is>
      </c>
    </row>
    <row r="46">
      <c r="B46" s="811" t="n"/>
      <c r="C46" s="1503" t="n"/>
    </row>
    <row r="47" ht="135" customHeight="1" s="1439">
      <c r="B47" s="807" t="inlineStr">
        <is>
          <t>General Layout</t>
        </is>
      </c>
      <c r="C47" s="1500" t="inlineStr">
        <is>
          <t xml:space="preserve">Primary pedestrian entrance located along the east building elevation, leading to a service window in the warehouse. Access to the office is available from the warehouse space. Office is located in the eastern portion of the building and is demised into a reception area, multiple private offices, conference room, administrative areas, and storage closets. Separate men's and woman's restrooms are located in the office. The warehouse is demised into a large open warehouse space, multiple storage rooms, break area, restrooms, work stations, an indoor loading dock, and several staging/shipping areas.  </t>
        </is>
      </c>
    </row>
    <row r="48">
      <c r="B48" s="809" t="inlineStr">
        <is>
          <t>Foundation</t>
        </is>
      </c>
      <c r="C48" s="1500" t="inlineStr">
        <is>
          <t>Concrete slab on-grade under load-bearing structure</t>
        </is>
      </c>
    </row>
    <row r="49">
      <c r="B49" s="807" t="inlineStr">
        <is>
          <t>Construction</t>
        </is>
      </c>
      <c r="C49" s="1500" t="inlineStr">
        <is>
          <t>Masonry block, steel-frame</t>
        </is>
      </c>
    </row>
    <row r="50">
      <c r="B50" s="809" t="inlineStr">
        <is>
          <t>Floor Structure</t>
        </is>
      </c>
      <c r="C50" s="1500" t="inlineStr">
        <is>
          <t>Concrete slab</t>
        </is>
      </c>
    </row>
    <row r="51">
      <c r="B51" s="807" t="inlineStr">
        <is>
          <t>Exterior Walls</t>
        </is>
      </c>
      <c r="C51" s="1500" t="inlineStr">
        <is>
          <t>Insulated steel, masonry block</t>
        </is>
      </c>
    </row>
    <row r="52">
      <c r="B52" s="809" t="inlineStr">
        <is>
          <t>Roof Type</t>
        </is>
      </c>
      <c r="C52" s="1500" t="inlineStr">
        <is>
          <t>Structural steel</t>
        </is>
      </c>
    </row>
    <row r="53">
      <c r="B53" s="807" t="inlineStr">
        <is>
          <t>Roof Cover</t>
        </is>
      </c>
      <c r="C53" s="1500" t="inlineStr">
        <is>
          <t>Rubber membrane</t>
        </is>
      </c>
    </row>
    <row r="54">
      <c r="B54" s="809" t="inlineStr">
        <is>
          <t>Windows</t>
        </is>
      </c>
      <c r="C54" s="1500" t="inlineStr">
        <is>
          <t>Metal, double pane</t>
        </is>
      </c>
    </row>
    <row r="55">
      <c r="B55" s="810" t="inlineStr">
        <is>
          <t>Balcony/Patios:</t>
        </is>
      </c>
      <c r="C55" s="1519" t="inlineStr">
        <is>
          <t>None</t>
        </is>
      </c>
      <c r="D55" s="1458" t="n"/>
      <c r="E55" s="1458" t="n"/>
      <c r="F55" s="1458" t="n"/>
    </row>
    <row r="56" hidden="1" s="1439">
      <c r="B56" s="1550" t="n"/>
      <c r="C56" s="815" t="n"/>
      <c r="D56" s="1550" t="n"/>
      <c r="E56" s="1550" t="n"/>
      <c r="F56" s="1550" t="n"/>
    </row>
    <row r="57">
      <c r="B57" s="1501" t="inlineStr">
        <is>
          <t>INTERIOR DETAIL</t>
        </is>
      </c>
    </row>
    <row r="58">
      <c r="B58" s="811" t="n"/>
      <c r="C58" s="1503" t="n"/>
    </row>
    <row r="59" ht="30.75" customHeight="1" s="1439">
      <c r="B59" s="807" t="inlineStr">
        <is>
          <t>Interior Walls</t>
        </is>
      </c>
      <c r="C59" s="1500" t="inlineStr">
        <is>
          <t>Office: Painted drywall/Warehouse: Painted masonry block, exposed insulation, finished drywall.</t>
        </is>
      </c>
    </row>
    <row r="60">
      <c r="B60" s="809" t="inlineStr">
        <is>
          <t>Ceilings</t>
        </is>
      </c>
      <c r="C60" s="1500" t="inlineStr">
        <is>
          <t>Office: Acoustical tile/Warehouse: Exposed insulation, acoustical tile.</t>
        </is>
      </c>
    </row>
    <row r="61">
      <c r="B61" s="807" t="inlineStr">
        <is>
          <t>Floor Coverings</t>
        </is>
      </c>
      <c r="C61" s="1500" t="inlineStr">
        <is>
          <t>Office: Commercial-grade carpet, tile/Warehouse: Unfinished concrete.</t>
        </is>
      </c>
    </row>
    <row r="62">
      <c r="B62" s="809" t="inlineStr">
        <is>
          <t>Doors</t>
        </is>
      </c>
      <c r="C62" s="1500" t="inlineStr">
        <is>
          <t>Exterior: Insulated steel, Interior: Wood, composite.</t>
        </is>
      </c>
    </row>
    <row r="63" ht="36" customHeight="1" s="1439">
      <c r="B63" s="807" t="inlineStr">
        <is>
          <t>Lighting</t>
        </is>
      </c>
      <c r="C63" s="1500" t="inlineStr">
        <is>
          <t>Office: Recessed fluorescent fixtures/Warehouse: Mounted LED and fluorescent fixtures.</t>
        </is>
      </c>
    </row>
    <row r="64">
      <c r="B64" s="809" t="inlineStr">
        <is>
          <t>Ceiling Heights</t>
        </is>
      </c>
      <c r="C64" s="1500" t="inlineStr">
        <is>
          <t>Office: 10'/Warehouse: 14'-23'</t>
        </is>
      </c>
    </row>
    <row r="65">
      <c r="B65" s="809" t="inlineStr">
        <is>
          <t>Restrooms</t>
        </is>
      </c>
      <c r="C65" s="1500" t="inlineStr">
        <is>
          <t>Separate men's and women's restrooms throughout.</t>
        </is>
      </c>
    </row>
    <row r="66" hidden="1" s="1439">
      <c r="B66" s="807" t="inlineStr">
        <is>
          <t>Kitchen Finish</t>
        </is>
      </c>
      <c r="C66" s="1504" t="inlineStr">
        <is>
          <t>Manual fill.</t>
        </is>
      </c>
    </row>
    <row r="67" hidden="1" s="1439">
      <c r="B67" s="807" t="inlineStr">
        <is>
          <t>Bathroom Finish</t>
        </is>
      </c>
      <c r="C67" s="1504" t="inlineStr">
        <is>
          <t>Manual fill.</t>
        </is>
      </c>
    </row>
    <row r="68" ht="30.75" customHeight="1" s="1439">
      <c r="B68" s="810" t="inlineStr">
        <is>
          <t>Amenities (Unit)</t>
        </is>
      </c>
      <c r="C68" s="1516" t="inlineStr">
        <is>
          <t>Small structural mezzanine above temporary structure in warehouse (not part of GBA)</t>
        </is>
      </c>
      <c r="D68" s="1511" t="n"/>
      <c r="E68" s="1511" t="n"/>
      <c r="F68" s="1511" t="n"/>
    </row>
    <row r="69">
      <c r="B69" s="1550" t="n"/>
      <c r="C69" s="815" t="n"/>
      <c r="D69" s="1550" t="n"/>
      <c r="E69" s="1550" t="n"/>
      <c r="F69" s="1550" t="n"/>
    </row>
    <row r="70">
      <c r="B70" s="1501" t="inlineStr">
        <is>
          <t>MECHANICAL DETAIL</t>
        </is>
      </c>
    </row>
    <row r="71">
      <c r="B71" s="807" t="inlineStr">
        <is>
          <t>Heating</t>
        </is>
      </c>
      <c r="C71" s="1500" t="inlineStr">
        <is>
          <t xml:space="preserve">Multiple roof-mounted heating/cooling units serving office and warehouse spaces.  </t>
        </is>
      </c>
    </row>
    <row r="72">
      <c r="B72" s="809" t="inlineStr">
        <is>
          <t>Cooling</t>
        </is>
      </c>
      <c r="C72" s="1500" t="inlineStr">
        <is>
          <t>Roof-mounted HVAC  in office and warehouse</t>
        </is>
      </c>
    </row>
    <row r="73">
      <c r="B73" s="807" t="inlineStr">
        <is>
          <t>Plumbing</t>
        </is>
      </c>
      <c r="C73" s="1500" t="inlineStr">
        <is>
          <t>Assumed to code and adequate for light industrial use.</t>
        </is>
      </c>
    </row>
    <row r="74">
      <c r="B74" s="809" t="inlineStr">
        <is>
          <t>Electrical</t>
        </is>
      </c>
      <c r="C74" s="1512">
        <f>C73</f>
        <v/>
      </c>
    </row>
    <row r="75">
      <c r="B75" s="810" t="inlineStr">
        <is>
          <t>Fire Protection</t>
        </is>
      </c>
      <c r="C75" s="1510" t="inlineStr">
        <is>
          <t>Wet sprinklers installed throughout.</t>
        </is>
      </c>
      <c r="D75" s="1511" t="n"/>
      <c r="E75" s="1511" t="n"/>
      <c r="F75" s="1511" t="n"/>
    </row>
    <row r="76">
      <c r="B76" s="1550" t="n"/>
      <c r="C76" s="815" t="n"/>
      <c r="D76" s="1550" t="n"/>
      <c r="E76" s="1550" t="n"/>
      <c r="F76" s="1550" t="n"/>
    </row>
    <row r="77">
      <c r="B77" s="1501" t="inlineStr">
        <is>
          <t>SITE IMPROVEMENTS</t>
        </is>
      </c>
    </row>
    <row r="78">
      <c r="B78" s="807" t="inlineStr">
        <is>
          <t>Parking Type</t>
        </is>
      </c>
      <c r="C78" s="1500" t="inlineStr">
        <is>
          <t>Surface</t>
        </is>
      </c>
    </row>
    <row r="79">
      <c r="B79" s="809" t="inlineStr">
        <is>
          <t>Landscaping</t>
        </is>
      </c>
      <c r="C79" s="1500" t="inlineStr">
        <is>
          <t>Perimeter grass and trees</t>
        </is>
      </c>
    </row>
    <row r="80">
      <c r="B80" s="807" t="inlineStr">
        <is>
          <t>Signage</t>
        </is>
      </c>
      <c r="C80" s="1500" t="inlineStr">
        <is>
          <t>Elevated building signage</t>
        </is>
      </c>
    </row>
    <row r="81" ht="30.75" customHeight="1" s="1439">
      <c r="B81" s="810" t="inlineStr">
        <is>
          <t>Fencing</t>
        </is>
      </c>
      <c r="C81" s="1508" t="inlineStr">
        <is>
          <t>Perimeter fencing around storage yard area on northeastern portion of the property.</t>
        </is>
      </c>
      <c r="D81" s="1458" t="n"/>
      <c r="E81" s="1458" t="n"/>
      <c r="F81" s="1458" t="n"/>
    </row>
    <row r="82" hidden="1" s="1439">
      <c r="B82" s="809" t="inlineStr">
        <is>
          <t>Other</t>
        </is>
      </c>
      <c r="C82" s="1500" t="inlineStr">
        <is>
          <t>Manual fill.</t>
        </is>
      </c>
    </row>
    <row r="83" hidden="1" s="1439">
      <c r="B83" s="810" t="inlineStr">
        <is>
          <t>Amenities (Project)</t>
        </is>
      </c>
      <c r="C83" s="1516" t="inlineStr">
        <is>
          <t>Manual fill.</t>
        </is>
      </c>
      <c r="D83" s="1511" t="n"/>
      <c r="E83" s="1511" t="n"/>
      <c r="F83" s="1511" t="n"/>
    </row>
    <row r="84">
      <c r="B84" s="1550" t="n"/>
      <c r="C84" s="815" t="n"/>
      <c r="D84" s="1550" t="n"/>
      <c r="E84" s="1550" t="n"/>
      <c r="F84" s="1550" t="n"/>
    </row>
    <row r="85">
      <c r="B85" s="1501" t="inlineStr">
        <is>
          <t>RENOVATION/DEFERRED MAINTENANCE</t>
        </is>
      </c>
    </row>
    <row r="86" ht="30" customHeight="1" s="1439">
      <c r="B86" s="1074" t="inlineStr">
        <is>
          <t>Recent Renovations or
 Replacements</t>
        </is>
      </c>
      <c r="C86" s="1500" t="inlineStr">
        <is>
          <t>None reported</t>
        </is>
      </c>
    </row>
    <row r="87">
      <c r="B87" s="809" t="inlineStr">
        <is>
          <t>Deferred Maintenance</t>
        </is>
      </c>
      <c r="C87" s="1500" t="inlineStr">
        <is>
          <t>None reported. General maintenance items only.</t>
        </is>
      </c>
    </row>
    <row r="88">
      <c r="B88" s="809" t="inlineStr">
        <is>
          <t>Cost to Cure</t>
        </is>
      </c>
      <c r="C88" s="1520">
        <f>pdCosttoCure</f>
        <v/>
      </c>
      <c r="D88" s="1511" t="n"/>
      <c r="E88" s="1511" t="n"/>
      <c r="F88" s="1511" t="n"/>
    </row>
    <row r="89">
      <c r="B89" s="816" t="n"/>
      <c r="C89" s="817" t="n"/>
      <c r="D89" s="816" t="n"/>
      <c r="E89" s="816" t="n"/>
      <c r="F89" s="816" t="n"/>
    </row>
    <row r="90">
      <c r="B90" s="1550" t="n"/>
      <c r="C90" s="815" t="n"/>
      <c r="D90" s="1550" t="n"/>
      <c r="E90" s="1550" t="n"/>
      <c r="F90" s="1550" t="n"/>
    </row>
    <row r="91">
      <c r="B91" s="1501" t="inlineStr">
        <is>
          <t>SUMMARY</t>
        </is>
      </c>
    </row>
    <row r="92">
      <c r="B92" s="807" t="inlineStr">
        <is>
          <t>Building Condition</t>
        </is>
      </c>
      <c r="C92" s="1512">
        <f>FE!U129</f>
        <v/>
      </c>
    </row>
    <row r="93" ht="83.25" customHeight="1" s="1439">
      <c r="B93" s="809" t="n"/>
      <c r="C93" s="1512" t="inlineStr">
        <is>
          <t>We did not inspect the roof of the building(s) nor make a detailed inspection of the mechanical systems. We are not qualified to render an opinion as to the adequacy or condition of these components. Interested parties are urged to retain an expert in this field if detailed information is needed about the adequacy and condition of mechanical systems.</t>
        </is>
      </c>
    </row>
    <row r="94">
      <c r="B94" s="809" t="inlineStr">
        <is>
          <t>Building Quality</t>
        </is>
      </c>
      <c r="C94" s="1512">
        <f>FE!U130</f>
        <v/>
      </c>
    </row>
    <row r="95">
      <c r="B95" s="807" t="inlineStr">
        <is>
          <t>Design and Functionality</t>
        </is>
      </c>
      <c r="C95" s="1512">
        <f>FE!U131</f>
        <v/>
      </c>
    </row>
    <row r="96">
      <c r="B96" s="809" t="inlineStr">
        <is>
          <t>Actual Age</t>
        </is>
      </c>
      <c r="C96" s="1745">
        <f>2022-'Property Info'!B8</f>
        <v/>
      </c>
    </row>
    <row r="97">
      <c r="B97" s="807" t="inlineStr">
        <is>
          <t>Expected Economic Life</t>
        </is>
      </c>
      <c r="C97" s="1746" t="n">
        <v>40</v>
      </c>
    </row>
    <row r="98">
      <c r="B98" s="809" t="inlineStr">
        <is>
          <t>Effective Age</t>
        </is>
      </c>
      <c r="C98" s="1745">
        <f>'Cost Approach'!C40</f>
        <v/>
      </c>
    </row>
    <row r="99">
      <c r="B99" s="810" t="inlineStr">
        <is>
          <t>Remaining Economic Life</t>
        </is>
      </c>
      <c r="C99" s="1747">
        <f>C97-C98</f>
        <v/>
      </c>
      <c r="D99" s="1458" t="n"/>
      <c r="E99" s="1458" t="n"/>
      <c r="F99" s="1458" t="n"/>
    </row>
  </sheetData>
  <mergeCells count="84">
    <mergeCell ref="C52:F52"/>
    <mergeCell ref="C61:F61"/>
    <mergeCell ref="C72:F72"/>
    <mergeCell ref="C81:F81"/>
    <mergeCell ref="C32:F32"/>
    <mergeCell ref="C13:F13"/>
    <mergeCell ref="C78:F78"/>
    <mergeCell ref="B2:F2"/>
    <mergeCell ref="C87:F87"/>
    <mergeCell ref="C6:F6"/>
    <mergeCell ref="C62:F62"/>
    <mergeCell ref="C15:F15"/>
    <mergeCell ref="C24:F24"/>
    <mergeCell ref="C64:F64"/>
    <mergeCell ref="C79:F79"/>
    <mergeCell ref="C73:F73"/>
    <mergeCell ref="C88:F88"/>
    <mergeCell ref="C26:F26"/>
    <mergeCell ref="C54:F54"/>
    <mergeCell ref="C63:F63"/>
    <mergeCell ref="C10:F10"/>
    <mergeCell ref="C93:F93"/>
    <mergeCell ref="C50:F50"/>
    <mergeCell ref="C43:F43"/>
    <mergeCell ref="C27:F27"/>
    <mergeCell ref="C36:F36"/>
    <mergeCell ref="C17:F17"/>
    <mergeCell ref="C67:F67"/>
    <mergeCell ref="C28:F28"/>
    <mergeCell ref="B70:F70"/>
    <mergeCell ref="C3:F3"/>
    <mergeCell ref="C96:F96"/>
    <mergeCell ref="C83:F83"/>
    <mergeCell ref="C92:F92"/>
    <mergeCell ref="C30:F30"/>
    <mergeCell ref="C5:F5"/>
    <mergeCell ref="C14:F14"/>
    <mergeCell ref="B57:F57"/>
    <mergeCell ref="C98:F98"/>
    <mergeCell ref="C4:F4"/>
    <mergeCell ref="B45:F45"/>
    <mergeCell ref="B85:F85"/>
    <mergeCell ref="C71:F71"/>
    <mergeCell ref="C8:F8"/>
    <mergeCell ref="C82:F82"/>
    <mergeCell ref="C66:F66"/>
    <mergeCell ref="C18:F18"/>
    <mergeCell ref="C53:F53"/>
    <mergeCell ref="C34:F34"/>
    <mergeCell ref="C86:F86"/>
    <mergeCell ref="C68:F68"/>
    <mergeCell ref="C58:F58"/>
    <mergeCell ref="C97:F97"/>
    <mergeCell ref="C29:F29"/>
    <mergeCell ref="C94:F94"/>
    <mergeCell ref="C65:F65"/>
    <mergeCell ref="C47:F47"/>
    <mergeCell ref="C22:F22"/>
    <mergeCell ref="C31:F31"/>
    <mergeCell ref="C80:F80"/>
    <mergeCell ref="C12:F12"/>
    <mergeCell ref="C46:F46"/>
    <mergeCell ref="C21:F21"/>
    <mergeCell ref="C51:F51"/>
    <mergeCell ref="C95:F95"/>
    <mergeCell ref="C60:F60"/>
    <mergeCell ref="B91:F91"/>
    <mergeCell ref="C23:F23"/>
    <mergeCell ref="C48:F48"/>
    <mergeCell ref="C7:F7"/>
    <mergeCell ref="B77:F77"/>
    <mergeCell ref="C49:F49"/>
    <mergeCell ref="C33:F33"/>
    <mergeCell ref="C42:F42"/>
    <mergeCell ref="C74:F74"/>
    <mergeCell ref="C35:F35"/>
    <mergeCell ref="C16:F16"/>
    <mergeCell ref="C25:F25"/>
    <mergeCell ref="C55:F55"/>
    <mergeCell ref="C99:F99"/>
    <mergeCell ref="C9:F9"/>
    <mergeCell ref="C75:F75"/>
    <mergeCell ref="C59:F59"/>
    <mergeCell ref="C11:F11"/>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B1:F15"/>
  <sheetViews>
    <sheetView topLeftCell="B6" zoomScale="115" zoomScaleNormal="115" workbookViewId="0">
      <selection activeCell="H5" sqref="H5"/>
    </sheetView>
  </sheetViews>
  <sheetFormatPr baseColWidth="8" defaultRowHeight="15"/>
  <cols>
    <col width="14.140625" bestFit="1" customWidth="1" style="1439" min="2" max="2"/>
    <col width="112.7109375" customWidth="1" style="1439" min="3" max="3"/>
    <col width="80" customWidth="1" style="1439" min="4" max="4"/>
    <col width="80" customWidth="1" style="1439" min="5" max="5"/>
    <col width="80" customWidth="1" style="1439" min="6" max="6"/>
  </cols>
  <sheetData>
    <row r="1" ht="30" customHeight="1" s="1439">
      <c r="C1" s="1208" t="inlineStr">
        <is>
          <t xml:space="preserve">NOTE: Most of the below text is standard boilerplate and should remain the same. Read through and change only the descriptions as they pertain to your property. </t>
        </is>
      </c>
      <c r="D1" s="2302" t="inlineStr">
        <is>
          <t>Generated Draft</t>
        </is>
      </c>
      <c r="E1" s="2302" t="inlineStr">
        <is>
          <t>Appraiser Override</t>
        </is>
      </c>
      <c r="F1" s="2302" t="inlineStr">
        <is>
          <t>FINAL (use this)</t>
        </is>
      </c>
    </row>
    <row r="3">
      <c r="B3" s="821" t="inlineStr">
        <is>
          <t>AS IF VACANT</t>
        </is>
      </c>
      <c r="C3" s="822" t="n"/>
    </row>
    <row r="4" ht="60" customHeight="1" s="1439">
      <c r="B4" s="818" t="inlineStr">
        <is>
          <t>Legally</t>
        </is>
      </c>
      <c r="C4" s="1227" t="inlineStr">
        <is>
          <t xml:space="preserve">Legal restrictions include deed restrictions, CC&amp;R’s, lease encumbrances, zoning requirements, building codes, historic district controls and environmental regulations, and were previously analyzed to determine legally permitted uses.  Legally, the subject is zoned I-1 (Light Industrial). 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 Allowable uses include but are not limited to storage, distribution, wholesale, office/flex, warehousing, maintenance, and light manufacturing. </t>
        </is>
      </c>
      <c r="D4" s="2303">
        <f>"The subject site encompasses "&amp;TEXT('Property Info'!B11,"#,##0")&amp;" square feet ("&amp;TEXT('Property Info'!B12,"0.00")&amp;" acres) located at "&amp;'Property Info'!B4&amp;", "&amp;'Property Info'!B5&amp;". The site is "&amp;IF('Property Info'!B55="X","not located in a FEMA designated flood hazard area","located in FEMA Flood Zone "&amp;'Property Info'!B55)&amp;", per FEMA Map Panel "&amp;'Property Info'!B56&amp;". Site dimensions and topography are considered physically adequate to support a variety of improvements."</f>
        <v/>
      </c>
      <c r="E4" s="2304" t="n"/>
      <c r="F4" s="2305">
        <f>IF(E4&lt;&gt;"",E4,D4)</f>
        <v/>
      </c>
    </row>
    <row r="5" ht="60" customHeight="1" s="1439">
      <c r="B5" s="819" t="inlineStr">
        <is>
          <t>Physically</t>
        </is>
      </c>
      <c r="C5" s="1228" t="inlineStr">
        <is>
          <t>Size, shape, topography, soil condition, availability of utilities, transportation access, surrounding uses, and locational characteristics were previously analyzed to determine which legal land uses are physically possible and which are best to conform to the physical and locational aspects of the site and its setting with respect to the neighborhood and community.  Overall, the physical site attributes result in adequate utility, and the property could be developed with a variety of legally-conforming uses.  Given the surrounding uses and location, the site is best suited for light industrial use.</t>
        </is>
      </c>
      <c r="D5" s="2303">
        <f>"The subject site is zoned "&amp;'Property Info'!B57&amp;" by the "&amp;'Property Info'!B58&amp;". Permitted uses under this designation include those consistent with the subject neighborhood. Legally permissible uses are those allowed under the current zoning ordinance."</f>
        <v/>
      </c>
      <c r="E5" s="2304" t="n"/>
      <c r="F5" s="2305">
        <f>IF(E5&lt;&gt;"",E5,D5)</f>
        <v/>
      </c>
    </row>
    <row r="6" ht="60" customHeight="1" s="1439">
      <c r="B6" s="819" t="inlineStr">
        <is>
          <t>Financially</t>
        </is>
      </c>
      <c r="C6" s="1229" t="inlineStr">
        <is>
          <t>Financial feasibility is determined by the relationship of supply and demand for the legally probable land uses versus the cost to create them.  The market analysis section reveals that industrial uses in the subject's market are generally stabilized.  Ongoing industrial development during the period in question throughout the market area serve as direct evidence that new industrial development was financially feasible at this time.  Comparisons of rental rates, operating expenses and construction costs indicate the subject property would have been capable of providing an adequate return on investment to warrant new industrial development in the market.  This assertion is supported by the fact that the property has the potential to generate rental income as shown in the income approach.  Therefore, industrial use is considered financially feasible.</t>
        </is>
      </c>
      <c r="D6" s="2303">
        <f>"Based on current market conditions in the "&amp;'Property Info'!B5&amp;" submarket, financially feasible uses are those generating sufficient revenue to justify construction costs and provide a market return to the developer."</f>
        <v/>
      </c>
      <c r="E6" s="2304" t="n"/>
      <c r="F6" s="2305">
        <f>IF(E6&lt;&gt;"",E6,D6)</f>
        <v/>
      </c>
    </row>
    <row r="7" ht="60" customHeight="1" s="1439">
      <c r="B7" s="820" t="inlineStr">
        <is>
          <t>Maximally</t>
        </is>
      </c>
      <c r="C7" s="1230" t="inlineStr">
        <is>
          <t>The final test of highest and best use of the site as vacant is that the use be maximally productive, yielding the highest return to the land.  In order to determine the maximally productive use, a comparison of rental rates, occupancy, operating expenses, and rates of return for the financially feasible uses have been made.  Based on this analysis, light industrial use renders the highest residual land value; therefore, light industrial development on the subject's site is the maximally productive use of the subject as vacant.</t>
        </is>
      </c>
      <c r="D7" s="2303">
        <f>"The maximally productive use of the subject as vacant is concluded to be development consistent with the current zoning of "&amp;'Property Info'!B57&amp;", which reflects current market demand in the area."</f>
        <v/>
      </c>
      <c r="E7" s="2304" t="n"/>
      <c r="F7" s="2305">
        <f>IF(E7&lt;&gt;"",E7,D7)</f>
        <v/>
      </c>
    </row>
    <row r="8" hidden="1" s="1439">
      <c r="C8" s="1075" t="n"/>
    </row>
    <row r="9" hidden="1" s="1439">
      <c r="C9" s="1075" t="n"/>
    </row>
    <row r="10" ht="6" customHeight="1" s="1439">
      <c r="B10" s="887" t="n"/>
      <c r="C10" s="1075" t="n"/>
    </row>
    <row r="11">
      <c r="B11" s="821" t="inlineStr">
        <is>
          <t>AS IMPROVED</t>
        </is>
      </c>
      <c r="C11" s="822" t="n"/>
    </row>
    <row r="12" ht="60" customHeight="1" s="1439">
      <c r="B12" s="818" t="inlineStr">
        <is>
          <t>Legally</t>
        </is>
      </c>
      <c r="C12" s="1227" t="inlineStr">
        <is>
          <t xml:space="preserve">The subject is a legal conforming use in the I-1 zoning district. No other known legal encumbrances exists that limit use or function on the improved property. </t>
        </is>
      </c>
      <c r="D12" s="2303">
        <f>"The existing improvements consist of a "&amp;TEXT('Property Info'!B45,"#,##0")&amp;" SF building constructed in "&amp;TEXT('Property Info'!B43,"0")&amp;" with an effective year of "&amp;TEXT('Property Info'!B44,"0")&amp;". The improvements are in "&amp;LOWER('Property Info'!B53)&amp;" condition."</f>
        <v/>
      </c>
      <c r="E12" s="2304" t="n"/>
      <c r="F12" s="2305">
        <f>IF(E12&lt;&gt;"",E12,D12)</f>
        <v/>
      </c>
    </row>
    <row r="13" ht="60" customHeight="1" s="1439">
      <c r="B13" s="819" t="inlineStr">
        <is>
          <t>Physically</t>
        </is>
      </c>
      <c r="C13" s="1229" t="inlineStr">
        <is>
          <t>The subject is currently improved with a 33,950 square foot industrial building, located on a 2.49-acre site that conforms to its surrounding uses.  Continued used of the improvements for industrial use is physically possible.</t>
        </is>
      </c>
      <c r="D13" s="2303">
        <f>"The existing improvements conform to current zoning requirements under the "&amp;'Property Info'!B57&amp;" designation. The use is legally permissible as a conforming use."</f>
        <v/>
      </c>
      <c r="E13" s="2304" t="n"/>
      <c r="F13" s="2305">
        <f>IF(E13&lt;&gt;"",E13,D13)</f>
        <v/>
      </c>
    </row>
    <row r="14" ht="60" customHeight="1" s="1439">
      <c r="B14" s="819" t="inlineStr">
        <is>
          <t>Financially</t>
        </is>
      </c>
      <c r="C14" s="1229" t="inlineStr">
        <is>
          <t>Financial feasibility as an income-producing investment is based on the amount of rental income it can generate net of the required operating expenses.  If the resulting net operating income motivates continued operation, then the land is being put to a productive and financially feasible use.  The subject is capable of producing positive net cash flow to an investor.  The existing improvements provide contributory value to the site, and there is no alternate use that would result in a greater value.  Therefore, utilization of the existing improvements is financially feasible.</t>
        </is>
      </c>
      <c r="D14" s="2303">
        <f>"The subject improvements generate value in excess of land value alone, indicating that continuation of the existing use is financially feasible under current market conditions."</f>
        <v/>
      </c>
      <c r="E14" s="2304" t="n"/>
      <c r="F14" s="2305">
        <f>IF(E14&lt;&gt;"",E14,D14)</f>
        <v/>
      </c>
    </row>
    <row r="15" ht="60" customHeight="1" s="1439">
      <c r="B15" s="820" t="inlineStr">
        <is>
          <t>Maximally</t>
        </is>
      </c>
      <c r="C15" s="1230" t="inlineStr">
        <is>
          <t>The maximally productive use should conform to neighborhood trends and be consistent with existing nearby land uses.  The single use that produces the greatest return on investment and usually the highest price and value is typically the highest and best use.  As shown in the applicable valuation sections, properties like the subject have been acquired and continue to be used for industrial use.  None of the comparable properties were acquired for conversion to an alternative use.  This provides evidence suggesting that the current industrial use is maximally productive.</t>
        </is>
      </c>
      <c r="D15" s="2303">
        <f>"The maximally productive use of the subject as improved is the continued use as currently improved, subject to the income-generating potential of the existing "&amp;LOWER('Property Info'!B57)&amp;" improvements."</f>
        <v/>
      </c>
      <c r="E15" s="2304" t="n"/>
      <c r="F15" s="2305">
        <f>IF(E15&lt;&gt;"",E15,D15)</f>
        <v/>
      </c>
    </row>
  </sheetData>
  <dataValidations xWindow="615" yWindow="1174" count="2">
    <dataValidation sqref="C12" showDropDown="0" showInputMessage="1" showErrorMessage="1" allowBlank="1" promptTitle="Legal, As Improved" prompt="The Legal Default option = the Zoning Compliance paragraph (found on Zoning tab).  If left blank there, it will be blank here._x000a__x000a_Review autopopulated paragraphs.  This is what will link to your Word doc."/>
    <dataValidation sqref="C4:C7 C13:C15" showDropDown="0" showInputMessage="1" showErrorMessage="1" allowBlank="1" prompt="Review autopopulated paragraphs.  This is what will link to your Word doc."/>
  </dataValidations>
  <pageMargins left="0.7" right="0.7" top="0.75" bottom="0.75" header="0.3" footer="0.3"/>
  <pageSetup orientation="portrait"/>
</worksheet>
</file>

<file path=xl/worksheets/sheet8.xml><?xml version="1.0" encoding="utf-8"?>
<worksheet xmlns="http://schemas.openxmlformats.org/spreadsheetml/2006/main">
  <sheetPr>
    <outlinePr summaryBelow="1" summaryRight="1"/>
    <pageSetUpPr fitToPage="1"/>
  </sheetPr>
  <dimension ref="C2:J37"/>
  <sheetViews>
    <sheetView showGridLines="0" zoomScale="130" zoomScaleNormal="130" workbookViewId="0">
      <selection activeCell="D7" sqref="D7"/>
    </sheetView>
  </sheetViews>
  <sheetFormatPr baseColWidth="8" defaultRowHeight="15"/>
  <cols>
    <col width="31.85546875" customWidth="1" style="1439" min="3" max="3"/>
    <col width="12.85546875" customWidth="1" style="1439" min="4" max="4"/>
    <col width="19.42578125" bestFit="1" customWidth="1" style="1439" min="5" max="5"/>
    <col width="4.140625" customWidth="1" style="1439" min="6" max="6"/>
    <col width="26.140625" bestFit="1" customWidth="1" style="1439" min="7" max="7"/>
    <col width="17.7109375" bestFit="1" customWidth="1" style="1439" min="8" max="8"/>
    <col width="20.7109375" customWidth="1" style="1439" min="9" max="10"/>
  </cols>
  <sheetData>
    <row r="2">
      <c r="C2" s="1528" t="inlineStr">
        <is>
          <t>VALUE INDICATIONS</t>
        </is>
      </c>
    </row>
    <row r="3" ht="15" customHeight="1" s="1439">
      <c r="C3" s="240" t="inlineStr">
        <is>
          <t>As Is - Land Value Only</t>
        </is>
      </c>
      <c r="D3" s="240" t="n"/>
      <c r="E3" s="240" t="n"/>
      <c r="F3" s="240" t="n"/>
    </row>
    <row r="4" ht="15" customHeight="1" s="1439">
      <c r="C4" s="170" t="inlineStr">
        <is>
          <t>Sales Comparison Approach</t>
        </is>
      </c>
      <c r="D4" s="1748">
        <f>'Land Sales'!C66</f>
        <v/>
      </c>
      <c r="E4" s="1749">
        <f>D4/'Property Info'!B11</f>
        <v/>
      </c>
      <c r="F4" s="186" t="inlineStr">
        <is>
          <t>Per Square Foot (LA)</t>
        </is>
      </c>
    </row>
    <row r="5" ht="15" customHeight="1" s="1439">
      <c r="C5" s="188" t="inlineStr">
        <is>
          <t>Value Conclusion - As Is</t>
        </is>
      </c>
      <c r="D5" s="1750">
        <f>D4</f>
        <v/>
      </c>
      <c r="E5" s="1751">
        <f>E4</f>
        <v/>
      </c>
      <c r="F5" s="188">
        <f>F4</f>
        <v/>
      </c>
    </row>
    <row r="6" ht="15" customHeight="1" s="1439">
      <c r="C6" s="1530" t="inlineStr">
        <is>
          <t>As Is - Retrospective Market Value - Fee Simple Estate</t>
        </is>
      </c>
      <c r="D6" s="1468" t="n"/>
      <c r="E6" s="1468" t="n"/>
      <c r="F6" s="1468" t="n"/>
    </row>
    <row r="7" ht="15" customHeight="1" s="1439">
      <c r="C7" s="170" t="inlineStr">
        <is>
          <t>Cost Approach</t>
        </is>
      </c>
      <c r="D7" s="1748" t="inlineStr">
        <is>
          <t>Not Developed</t>
        </is>
      </c>
      <c r="E7" s="1752" t="n"/>
      <c r="F7" s="186" t="n"/>
    </row>
    <row r="8" ht="15" customHeight="1" s="1439">
      <c r="C8" s="170" t="inlineStr">
        <is>
          <t>Sales Comparison Approach</t>
        </is>
      </c>
      <c r="D8" s="1748">
        <f>'Basic Sales Grid'!D46</f>
        <v/>
      </c>
      <c r="E8" s="1753">
        <f>D8/'Property Info'!B4</f>
        <v/>
      </c>
      <c r="F8" s="1248">
        <f>FE!B14</f>
        <v/>
      </c>
    </row>
    <row r="9" ht="15" customHeight="1" s="1439">
      <c r="C9" s="170" t="inlineStr">
        <is>
          <t>Income Capitalization Approach</t>
        </is>
      </c>
      <c r="D9" s="1748" t="n"/>
      <c r="E9" s="1752" t="n"/>
      <c r="F9" s="186" t="n"/>
    </row>
    <row r="10" ht="15" customHeight="1" s="1439">
      <c r="C10" s="170" t="inlineStr">
        <is>
          <t xml:space="preserve">     Direct Capitalization</t>
        </is>
      </c>
      <c r="D10" s="1748">
        <f>'Income Approach'!C65</f>
        <v/>
      </c>
      <c r="E10" s="1753">
        <f>D10/'Property Info'!B6</f>
        <v/>
      </c>
      <c r="F10" s="186">
        <f>F8</f>
        <v/>
      </c>
    </row>
    <row r="11" ht="15" customHeight="1" s="1439">
      <c r="C11" s="153" t="inlineStr">
        <is>
          <t>Approach Reliance</t>
        </is>
      </c>
      <c r="D11" s="339">
        <f>IF(FE!B14="GBA",'Final Value'!C8,'Final Value'!C9)</f>
        <v/>
      </c>
      <c r="E11" s="1754" t="n"/>
      <c r="F11" s="339" t="n"/>
    </row>
    <row r="12" ht="15" customHeight="1" s="1439">
      <c r="C12" s="158" t="inlineStr">
        <is>
          <t>Value Conclusion</t>
        </is>
      </c>
      <c r="D12" s="1755">
        <f>D10</f>
        <v/>
      </c>
      <c r="E12" s="1756">
        <f>D12/'Property Info'!B4</f>
        <v/>
      </c>
      <c r="F12" s="158">
        <f>F8</f>
        <v/>
      </c>
    </row>
    <row r="13" hidden="1" ht="15" customHeight="1" s="1439">
      <c r="C13" s="240" t="inlineStr">
        <is>
          <t>As Is</t>
        </is>
      </c>
      <c r="D13" s="240" t="n"/>
      <c r="E13" s="240" t="n"/>
      <c r="F13" s="240" t="n"/>
    </row>
    <row r="14" hidden="1" ht="15" customHeight="1" s="1439">
      <c r="C14" s="170" t="inlineStr">
        <is>
          <t>Sales Comparison Approach</t>
        </is>
      </c>
      <c r="D14" s="1748">
        <f>'Basic Sales Grid'!D46</f>
        <v/>
      </c>
      <c r="E14" s="1757">
        <f>D14/'Property Info'!B4</f>
        <v/>
      </c>
      <c r="F14" s="186" t="inlineStr">
        <is>
          <t>Per Square Foot (GBA)</t>
        </is>
      </c>
    </row>
    <row r="15" hidden="1" ht="15" customHeight="1" s="1439">
      <c r="C15" s="170" t="inlineStr">
        <is>
          <t>Income Capitalization Approach</t>
        </is>
      </c>
      <c r="D15" s="1748" t="n"/>
      <c r="E15" s="1749" t="n"/>
      <c r="F15" s="186" t="n"/>
    </row>
    <row r="16" hidden="1" ht="15" customHeight="1" s="1439">
      <c r="C16" s="170" t="inlineStr">
        <is>
          <t xml:space="preserve">     Direct Capitalization</t>
        </is>
      </c>
      <c r="D16" s="1748" t="n">
        <v>1445000</v>
      </c>
      <c r="E16" s="1749">
        <f>D16/3112</f>
        <v/>
      </c>
      <c r="F16" s="186">
        <f>F14</f>
        <v/>
      </c>
    </row>
    <row r="17" hidden="1" ht="15" customHeight="1" s="1439">
      <c r="C17" s="153" t="inlineStr">
        <is>
          <t>Approach Reliance</t>
        </is>
      </c>
      <c r="D17" s="339" t="inlineStr">
        <is>
          <t>Sales Comparison Approach</t>
        </is>
      </c>
      <c r="E17" s="339" t="n"/>
      <c r="F17" s="339" t="n"/>
    </row>
    <row r="18" hidden="1" ht="15" customHeight="1" s="1439">
      <c r="C18" s="158">
        <f>"Value Conclusion - "&amp;PROPER(bbValueConditionScen1)&amp;""</f>
        <v/>
      </c>
      <c r="D18" s="1755">
        <f>D14</f>
        <v/>
      </c>
      <c r="E18" s="1758">
        <f>E14</f>
        <v/>
      </c>
      <c r="F18" s="158">
        <f>F14</f>
        <v/>
      </c>
    </row>
    <row r="19" hidden="1" ht="15" customHeight="1" s="1439">
      <c r="C19" s="170" t="inlineStr">
        <is>
          <t>Exposure Time</t>
        </is>
      </c>
      <c r="D19" s="243" t="inlineStr">
        <is>
          <t>12 months</t>
        </is>
      </c>
      <c r="E19" s="13" t="n"/>
      <c r="F19" s="186" t="n"/>
    </row>
    <row r="20" hidden="1" ht="15" customHeight="1" s="1439">
      <c r="C20" s="104" t="inlineStr">
        <is>
          <t>Marketing Time</t>
        </is>
      </c>
      <c r="D20" s="244" t="inlineStr">
        <is>
          <t>12 months</t>
        </is>
      </c>
      <c r="E20" s="245" t="n"/>
      <c r="F20" s="14" t="n"/>
    </row>
    <row r="21">
      <c r="G21" s="1531" t="inlineStr">
        <is>
          <t>MARKET VALUE CONCLUSION</t>
        </is>
      </c>
    </row>
    <row r="22">
      <c r="G22" s="1065" t="inlineStr">
        <is>
          <t>Appraisal Premise</t>
        </is>
      </c>
      <c r="H22" s="1065" t="inlineStr">
        <is>
          <t>Interest Appraised</t>
        </is>
      </c>
      <c r="I22" s="1065" t="inlineStr">
        <is>
          <t>Date of Value</t>
        </is>
      </c>
      <c r="J22" s="1065" t="inlineStr">
        <is>
          <t>Value Conclusion</t>
        </is>
      </c>
    </row>
    <row r="23">
      <c r="G23" s="1759" t="inlineStr">
        <is>
          <t>Retrospective Market Value</t>
        </is>
      </c>
      <c r="H23" s="1067" t="inlineStr">
        <is>
          <t xml:space="preserve">Fee Simple </t>
        </is>
      </c>
      <c r="I23" s="1760">
        <f>'Property Info'!B26</f>
        <v/>
      </c>
      <c r="J23" s="1761">
        <f>D12</f>
        <v/>
      </c>
    </row>
    <row r="26" hidden="1" s="1439">
      <c r="G26" s="1529" t="inlineStr">
        <is>
          <t>6 MONTH LIQUIDATION VALUE CONCLUSION</t>
        </is>
      </c>
    </row>
    <row r="27" hidden="1" s="1439">
      <c r="G27" s="1640" t="inlineStr">
        <is>
          <t>Appraisal Premise</t>
        </is>
      </c>
      <c r="H27" s="1640" t="inlineStr">
        <is>
          <t>Interest Appraised</t>
        </is>
      </c>
      <c r="I27" s="1640" t="inlineStr">
        <is>
          <t>Date of Value</t>
        </is>
      </c>
      <c r="J27" s="1640" t="inlineStr">
        <is>
          <t>Value Conclusion</t>
        </is>
      </c>
    </row>
    <row r="28" hidden="1" s="1439">
      <c r="G28" s="1762">
        <f>bbValueNameScen1</f>
        <v/>
      </c>
      <c r="H28" s="247" t="inlineStr">
        <is>
          <t xml:space="preserve">Fee Simple </t>
        </is>
      </c>
      <c r="I28" s="1763" t="n">
        <v>43132</v>
      </c>
      <c r="J28" s="1764" t="n">
        <v>325000</v>
      </c>
    </row>
    <row r="29" hidden="1" s="1439"/>
    <row r="30" hidden="1" s="1439">
      <c r="G30" s="1529" t="inlineStr">
        <is>
          <t>HYPOTHETICAL MARKET VALUE CONCLUSION (UNDERLYING LAND ONLY)</t>
        </is>
      </c>
    </row>
    <row r="31" hidden="1" s="1439">
      <c r="G31" s="1640" t="inlineStr">
        <is>
          <t>Appraisal Premise</t>
        </is>
      </c>
      <c r="H31" s="1640" t="inlineStr">
        <is>
          <t>Interest Appraised</t>
        </is>
      </c>
      <c r="I31" s="1640" t="inlineStr">
        <is>
          <t>Date of Value</t>
        </is>
      </c>
      <c r="J31" s="1640" t="inlineStr">
        <is>
          <t>Value Conclusion</t>
        </is>
      </c>
    </row>
    <row r="32" hidden="1" s="1439">
      <c r="G32" s="1762" t="inlineStr">
        <is>
          <t>As If Vacant</t>
        </is>
      </c>
      <c r="H32" s="247" t="inlineStr">
        <is>
          <t xml:space="preserve">Fee Simple </t>
        </is>
      </c>
      <c r="I32" s="1763" t="n">
        <v>43132</v>
      </c>
      <c r="J32" s="1764" t="n">
        <v>200000</v>
      </c>
    </row>
    <row r="33" hidden="1" s="1439"/>
    <row r="34" hidden="1" s="1439">
      <c r="G34" s="1529" t="inlineStr">
        <is>
          <t>PROSPECTIVE MARKET VALUE CONCLUSION</t>
        </is>
      </c>
    </row>
    <row r="35" hidden="1" s="1439">
      <c r="G35" s="1640" t="inlineStr">
        <is>
          <t>Appraisal Premise</t>
        </is>
      </c>
      <c r="H35" s="1640" t="inlineStr">
        <is>
          <t>Interest Appraised</t>
        </is>
      </c>
      <c r="I35" s="1640" t="inlineStr">
        <is>
          <t>Date of Value</t>
        </is>
      </c>
      <c r="J35" s="1640" t="inlineStr">
        <is>
          <t>Value Conclusion</t>
        </is>
      </c>
    </row>
    <row r="36" hidden="1" s="1439">
      <c r="G36" s="1762" t="inlineStr">
        <is>
          <t>Upon Completion</t>
        </is>
      </c>
      <c r="H36" s="247" t="inlineStr">
        <is>
          <t xml:space="preserve">Fee Simple </t>
        </is>
      </c>
      <c r="I36" s="1763" t="n">
        <v>43830</v>
      </c>
      <c r="J36" s="1764">
        <f>D12</f>
        <v/>
      </c>
    </row>
    <row r="37">
      <c r="E37" s="1692" t="n"/>
    </row>
  </sheetData>
  <mergeCells count="6">
    <mergeCell ref="G26:J26"/>
    <mergeCell ref="G34:J34"/>
    <mergeCell ref="C6:F6"/>
    <mergeCell ref="G30:J30"/>
    <mergeCell ref="G21:J21"/>
    <mergeCell ref="C2:F2"/>
  </mergeCells>
  <pageMargins left="0.7" right="0.7" top="0.75" bottom="0.75" header="0.3" footer="0.3"/>
  <pageSetup orientation="portrait"/>
</worksheet>
</file>

<file path=xl/worksheets/sheet9.xml><?xml version="1.0" encoding="utf-8"?>
<worksheet xmlns="http://schemas.openxmlformats.org/spreadsheetml/2006/main">
  <sheetPr>
    <outlinePr summaryBelow="1" summaryRight="1"/>
    <pageSetUpPr/>
  </sheetPr>
  <dimension ref="B1:R67"/>
  <sheetViews>
    <sheetView topLeftCell="B1" zoomScale="85" zoomScaleNormal="85" workbookViewId="0">
      <selection activeCell="O10" sqref="O10"/>
    </sheetView>
  </sheetViews>
  <sheetFormatPr baseColWidth="8" defaultColWidth="9.140625" defaultRowHeight="15"/>
  <cols>
    <col width="9.140625" customWidth="1" style="1450" min="1" max="1"/>
    <col width="33.85546875" customWidth="1" style="1439" min="2" max="2"/>
    <col width="25.7109375" customWidth="1" style="1439" min="3" max="3"/>
    <col hidden="1" width="21.85546875" customWidth="1" style="1439" min="4" max="4"/>
    <col width="27.28515625" customWidth="1" style="1533" min="5" max="5"/>
    <col hidden="1" width="21.85546875" customWidth="1" style="1439" min="6" max="6"/>
    <col width="27.28515625" customWidth="1" style="1533" min="7" max="7"/>
    <col hidden="1" width="22" customWidth="1" style="1439" min="8" max="8"/>
    <col width="27.28515625" customWidth="1" style="1533" min="9" max="9"/>
    <col hidden="1" width="21.85546875" customWidth="1" style="1439" min="10" max="10"/>
    <col width="27.28515625" customWidth="1" style="1533" min="11" max="11"/>
    <col hidden="1" width="21.85546875" customWidth="1" style="1439" min="12" max="12"/>
    <col hidden="1" width="8.7109375" customWidth="1" style="1439" min="13" max="13"/>
    <col width="9.140625" customWidth="1" style="1450" min="14" max="14"/>
    <col width="31.85546875" customWidth="1" style="1450" min="15" max="15"/>
    <col width="9.140625" customWidth="1" style="1450" min="16" max="16"/>
  </cols>
  <sheetData>
    <row r="1">
      <c r="B1" s="1275" t="inlineStr">
        <is>
          <t xml:space="preserve">NOTES: </t>
        </is>
      </c>
      <c r="C1" s="1276" t="n"/>
      <c r="D1" s="1276" t="n"/>
      <c r="E1" s="1277" t="n"/>
    </row>
    <row r="2">
      <c r="B2" s="1278" t="inlineStr">
        <is>
          <t>Change Highlighted fields only</t>
        </is>
      </c>
      <c r="C2" s="1145" t="n"/>
      <c r="D2" s="1145" t="n"/>
      <c r="E2" s="1279" t="n"/>
    </row>
    <row r="3">
      <c r="B3" s="1278" t="inlineStr">
        <is>
          <t>Change highlighted areas to WHITE when complete</t>
        </is>
      </c>
      <c r="C3" s="1145" t="n"/>
      <c r="D3" s="1145" t="n"/>
      <c r="E3" s="1279" t="n"/>
    </row>
    <row r="4">
      <c r="B4" s="1278" t="inlineStr">
        <is>
          <t>Check all cells for accuracy after completing</t>
        </is>
      </c>
      <c r="C4" s="1145" t="n"/>
      <c r="D4" s="1145" t="n"/>
      <c r="E4" s="1279" t="n"/>
    </row>
    <row r="5" ht="15.75" customHeight="1" s="1439" thickBot="1">
      <c r="B5" s="1280" t="inlineStr">
        <is>
          <t>Remember to spell check every worksheet as you go.</t>
        </is>
      </c>
      <c r="C5" s="1281" t="n"/>
      <c r="D5" s="1281" t="n"/>
      <c r="E5" s="1282" t="n"/>
    </row>
    <row r="7">
      <c r="B7" s="1536" t="inlineStr">
        <is>
          <t>COMPARABLE SALE ADJUSTMENT GRID</t>
        </is>
      </c>
    </row>
    <row r="8">
      <c r="B8" s="801" t="n"/>
      <c r="C8" s="801" t="inlineStr">
        <is>
          <t>Subject</t>
        </is>
      </c>
      <c r="D8" s="1532" t="inlineStr">
        <is>
          <t>Sale 1</t>
        </is>
      </c>
      <c r="F8" s="1532" t="inlineStr">
        <is>
          <t>Sale 2</t>
        </is>
      </c>
      <c r="H8" s="1532" t="inlineStr">
        <is>
          <t>Sale 3</t>
        </is>
      </c>
      <c r="J8" s="1532" t="inlineStr">
        <is>
          <t>Sale 4</t>
        </is>
      </c>
      <c r="L8" s="1543" t="inlineStr">
        <is>
          <t>Sale 5</t>
        </is>
      </c>
    </row>
    <row r="9">
      <c r="B9" s="840" t="inlineStr">
        <is>
          <t>Address</t>
        </is>
      </c>
      <c r="C9" s="841">
        <f>'Property Info'!B16</f>
        <v/>
      </c>
      <c r="D9" s="1077" t="n"/>
      <c r="E9" s="1254" t="inlineStr">
        <is>
          <t>3600 Chambers Road</t>
        </is>
      </c>
      <c r="F9" s="1077" t="n"/>
      <c r="G9" s="1254" t="inlineStr">
        <is>
          <t>TBD - E 96th Avenue</t>
        </is>
      </c>
      <c r="H9" s="1077" t="n"/>
      <c r="I9" s="1254" t="inlineStr">
        <is>
          <t>2021 E 68th Avenue</t>
        </is>
      </c>
      <c r="J9" s="1076" t="n"/>
      <c r="K9" s="1255" t="inlineStr">
        <is>
          <t>6100 E 48th Avenue</t>
        </is>
      </c>
      <c r="L9" s="1538" t="inlineStr">
        <is>
          <t>10480-10555 West 63rd Place</t>
        </is>
      </c>
    </row>
    <row r="10" ht="30" customHeight="1" s="1439">
      <c r="B10" s="840" t="inlineStr">
        <is>
          <t>City, State</t>
        </is>
      </c>
      <c r="C10" s="842">
        <f>'Property Info'!B17</f>
        <v/>
      </c>
      <c r="D10" s="1076" t="n"/>
      <c r="E10" s="1255" t="inlineStr">
        <is>
          <t>Aurora, CO</t>
        </is>
      </c>
      <c r="F10" s="1076" t="n"/>
      <c r="G10" s="1255" t="inlineStr">
        <is>
          <t>Commerce City, CO</t>
        </is>
      </c>
      <c r="H10" s="1076" t="n"/>
      <c r="I10" s="1255" t="inlineStr">
        <is>
          <t>Denver, CO</t>
        </is>
      </c>
      <c r="J10" s="1076" t="n"/>
      <c r="K10" s="1255" t="inlineStr">
        <is>
          <t>Denver, CO</t>
        </is>
      </c>
      <c r="L10" s="1538" t="inlineStr">
        <is>
          <t>Arvada, CO</t>
        </is>
      </c>
    </row>
    <row r="11" ht="27" customHeight="1" s="1439">
      <c r="B11" s="840" t="inlineStr">
        <is>
          <t>Account/Parcel Number</t>
        </is>
      </c>
      <c r="C11" s="842">
        <f>'Property Info'!B1</f>
        <v/>
      </c>
      <c r="D11" s="1076" t="n"/>
      <c r="E11" s="1255" t="inlineStr">
        <is>
          <t>1821-29-2-18-001</t>
        </is>
      </c>
      <c r="F11" s="1076" t="n"/>
      <c r="G11" s="1255" t="inlineStr">
        <is>
          <t>1721-21-1-03-002</t>
        </is>
      </c>
      <c r="H11" s="1076" t="n"/>
      <c r="I11" s="1255" t="inlineStr">
        <is>
          <t>1825-023-04-013</t>
        </is>
      </c>
      <c r="J11" s="1077" t="n"/>
      <c r="K11" s="1254" t="inlineStr">
        <is>
          <t>1202-00-098-000</t>
        </is>
      </c>
      <c r="L11" s="1537" t="inlineStr">
        <is>
          <t>39-091-07-003</t>
        </is>
      </c>
    </row>
    <row r="12">
      <c r="B12" s="840" t="inlineStr">
        <is>
          <t>Property Type</t>
        </is>
      </c>
      <c r="C12" s="1249" t="inlineStr">
        <is>
          <t>Industrial Land</t>
        </is>
      </c>
      <c r="D12" s="1076" t="n"/>
      <c r="E12" s="1255" t="inlineStr">
        <is>
          <t>Industrial Land</t>
        </is>
      </c>
      <c r="F12" s="1076" t="n"/>
      <c r="G12" s="1255" t="inlineStr">
        <is>
          <t>Industrial Land</t>
        </is>
      </c>
      <c r="H12" s="1076" t="n"/>
      <c r="I12" s="1255" t="inlineStr">
        <is>
          <t>Industrial Land</t>
        </is>
      </c>
      <c r="J12" s="1076" t="n"/>
      <c r="K12" s="1255" t="inlineStr">
        <is>
          <t>Industrial Land</t>
        </is>
      </c>
      <c r="L12" s="1538" t="inlineStr">
        <is>
          <t>Commercial Land</t>
        </is>
      </c>
    </row>
    <row r="13">
      <c r="B13" s="840" t="inlineStr">
        <is>
          <t>Sale Date</t>
        </is>
      </c>
      <c r="C13" s="1250" t="inlineStr">
        <is>
          <t>N/A</t>
        </is>
      </c>
      <c r="D13" s="1765" t="n"/>
      <c r="E13" s="1766" t="n">
        <v>43998</v>
      </c>
      <c r="F13" s="1765" t="n"/>
      <c r="G13" s="1766" t="n">
        <v>43969</v>
      </c>
      <c r="H13" s="1765" t="n"/>
      <c r="I13" s="1766" t="n">
        <v>43766</v>
      </c>
      <c r="J13" s="1765" t="n"/>
      <c r="K13" s="1766" t="n">
        <v>43747</v>
      </c>
      <c r="L13" s="1767" t="inlineStr">
        <is>
          <t>Under Contract</t>
        </is>
      </c>
    </row>
    <row r="14" ht="12.6" customHeight="1" s="1439">
      <c r="B14" s="840" t="inlineStr">
        <is>
          <t>Sale Price</t>
        </is>
      </c>
      <c r="C14" s="1768" t="inlineStr">
        <is>
          <t>N/A</t>
        </is>
      </c>
      <c r="D14" s="1769" t="n"/>
      <c r="E14" s="1770" t="n">
        <v>1800000</v>
      </c>
      <c r="F14" s="1769" t="n"/>
      <c r="G14" s="1770" t="n">
        <v>1100000</v>
      </c>
      <c r="H14" s="1769" t="n"/>
      <c r="I14" s="1770" t="n">
        <v>1350000</v>
      </c>
      <c r="J14" s="1769" t="n"/>
      <c r="K14" s="1770" t="n">
        <v>795000</v>
      </c>
      <c r="L14" s="1771" t="inlineStr">
        <is>
          <t>TBD</t>
        </is>
      </c>
    </row>
    <row r="15" ht="12.6" customHeight="1" s="1439">
      <c r="B15" s="840" t="inlineStr">
        <is>
          <t>Listing Price</t>
        </is>
      </c>
      <c r="C15" s="1768" t="inlineStr">
        <is>
          <t>N/A</t>
        </is>
      </c>
      <c r="D15" s="1769" t="n"/>
      <c r="E15" s="1770" t="inlineStr">
        <is>
          <t>Not Reported</t>
        </is>
      </c>
      <c r="F15" s="1769" t="n"/>
      <c r="G15" s="1770" t="n">
        <v>1224040</v>
      </c>
      <c r="H15" s="1769" t="n"/>
      <c r="I15" s="1770" t="n">
        <v>1600000</v>
      </c>
      <c r="J15" s="1769" t="n"/>
      <c r="K15" s="1770" t="inlineStr">
        <is>
          <t>Not Reported</t>
        </is>
      </c>
      <c r="L15" s="1771" t="n">
        <v>500000</v>
      </c>
    </row>
    <row r="16" ht="12.6" customHeight="1" s="1439">
      <c r="B16" s="840" t="inlineStr">
        <is>
          <t>Days On Market</t>
        </is>
      </c>
      <c r="C16" s="1250" t="inlineStr">
        <is>
          <t>N/A</t>
        </is>
      </c>
      <c r="D16" s="1076" t="n"/>
      <c r="E16" s="1255" t="inlineStr">
        <is>
          <t>Not Reported</t>
        </is>
      </c>
      <c r="F16" s="1076" t="n"/>
      <c r="G16" s="1255" t="n">
        <v>1117</v>
      </c>
      <c r="H16" s="1076" t="n"/>
      <c r="I16" s="1255" t="n">
        <v>259</v>
      </c>
      <c r="J16" s="1076" t="n"/>
      <c r="K16" s="1255" t="inlineStr">
        <is>
          <t>Not Reported</t>
        </is>
      </c>
      <c r="L16" s="1538" t="n">
        <v>725</v>
      </c>
    </row>
    <row r="17" ht="60" customHeight="1" s="1439">
      <c r="B17" s="840" t="inlineStr">
        <is>
          <t>Data Source</t>
        </is>
      </c>
      <c r="C17" s="1252" t="inlineStr">
        <is>
          <t>Assessor, appraiser measurements</t>
        </is>
      </c>
      <c r="D17" s="1077" t="n"/>
      <c r="E17" s="1254" t="inlineStr">
        <is>
          <t>Costar, Assessor Data, Deed, Troy DeVos (Buyer Representative)</t>
        </is>
      </c>
      <c r="F17" s="1077" t="n"/>
      <c r="G17" s="1254" t="inlineStr">
        <is>
          <t>CoStar, Assessor Data, Listing Broker (Phil Foster &amp; Co.)</t>
        </is>
      </c>
      <c r="H17" s="1077" t="n"/>
      <c r="I17" s="1254" t="inlineStr">
        <is>
          <t>CoStar, Assessor Data, Listing Broker (Mark Goodman/Goodman Commercial)</t>
        </is>
      </c>
      <c r="J17" s="1077" t="n"/>
      <c r="K17" s="1254" t="inlineStr">
        <is>
          <t>CoStar, Denver Assessor, Deed, Loan</t>
        </is>
      </c>
      <c r="L17" s="1537" t="inlineStr">
        <is>
          <t>CoStar, Assessor, Listing</t>
        </is>
      </c>
    </row>
    <row r="18" hidden="1" ht="12.6" customHeight="1" s="1439">
      <c r="B18" s="840" t="inlineStr">
        <is>
          <t>Grantor</t>
        </is>
      </c>
      <c r="C18" s="843" t="inlineStr">
        <is>
          <t>TBD</t>
        </is>
      </c>
      <c r="D18" s="1079" t="n"/>
      <c r="E18" s="1258" t="inlineStr">
        <is>
          <t>Josef Reith</t>
        </is>
      </c>
      <c r="F18" s="1079" t="n"/>
      <c r="G18" s="1258" t="inlineStr">
        <is>
          <t>Josef Reith</t>
        </is>
      </c>
      <c r="H18" s="1079" t="n"/>
      <c r="I18" s="1258" t="inlineStr">
        <is>
          <t>Josef Reith</t>
        </is>
      </c>
      <c r="J18" s="1079" t="n"/>
      <c r="K18" s="1258" t="inlineStr">
        <is>
          <t>Terry &amp; Nikki LLC</t>
        </is>
      </c>
      <c r="L18" s="1542" t="n">
        <v>4950</v>
      </c>
    </row>
    <row r="19" hidden="1" ht="12.6" customHeight="1" s="1439">
      <c r="B19" s="840" t="inlineStr">
        <is>
          <t>Grantee</t>
        </is>
      </c>
      <c r="C19" s="843" t="inlineStr">
        <is>
          <t>TBD</t>
        </is>
      </c>
      <c r="D19" s="1079" t="n"/>
      <c r="E19" s="1258" t="inlineStr">
        <is>
          <t>AGG Real Estate LLC</t>
        </is>
      </c>
      <c r="F19" s="1079" t="n"/>
      <c r="G19" s="1258" t="inlineStr">
        <is>
          <t>AGG Real Estate LLC</t>
        </is>
      </c>
      <c r="H19" s="1079" t="n"/>
      <c r="I19" s="1258" t="inlineStr">
        <is>
          <t>AGG Real Estate LLC</t>
        </is>
      </c>
      <c r="J19" s="1079" t="n"/>
      <c r="K19" s="1258" t="inlineStr">
        <is>
          <t>Dilligaff Inc</t>
        </is>
      </c>
      <c r="L19" s="1535" t="n">
        <v>4950</v>
      </c>
    </row>
    <row r="20">
      <c r="B20" s="840" t="inlineStr">
        <is>
          <t>Site Size (SF)</t>
        </is>
      </c>
      <c r="C20" s="843">
        <f>'Property Info'!B11</f>
        <v/>
      </c>
      <c r="D20" s="1079" t="n"/>
      <c r="E20" s="1258" t="n">
        <v>175405</v>
      </c>
      <c r="F20" s="1079" t="n"/>
      <c r="G20" s="1258" t="n">
        <v>122404</v>
      </c>
      <c r="H20" s="1079" t="n"/>
      <c r="I20" s="1258" t="n">
        <v>95912</v>
      </c>
      <c r="J20" s="1079" t="n"/>
      <c r="K20" s="1258" t="n">
        <v>91793</v>
      </c>
      <c r="L20" s="1535" t="n">
        <v>47916</v>
      </c>
    </row>
    <row r="21">
      <c r="B21" s="840" t="inlineStr">
        <is>
          <t xml:space="preserve">Zoning </t>
        </is>
      </c>
      <c r="C21" s="843">
        <f>'Property Info'!B29</f>
        <v/>
      </c>
      <c r="D21" s="1079" t="n"/>
      <c r="E21" s="1258" t="inlineStr">
        <is>
          <t>B-3 (Business/Commercial)</t>
        </is>
      </c>
      <c r="F21" s="1079" t="n"/>
      <c r="G21" s="1258" t="inlineStr">
        <is>
          <t>PUD-I (Industrial)</t>
        </is>
      </c>
      <c r="H21" s="1079" t="n"/>
      <c r="I21" s="1258" t="inlineStr">
        <is>
          <t>I-2 (General Industrial)</t>
        </is>
      </c>
      <c r="J21" s="1079" t="n"/>
      <c r="K21" s="1258" t="inlineStr">
        <is>
          <t>I-B (General Industrial)</t>
        </is>
      </c>
      <c r="L21" s="1535" t="inlineStr">
        <is>
          <t>B-2</t>
        </is>
      </c>
    </row>
    <row r="22" ht="48.75" customHeight="1" s="1439">
      <c r="B22" s="840" t="inlineStr">
        <is>
          <t>Comments</t>
        </is>
      </c>
      <c r="C22" s="1772" t="inlineStr">
        <is>
          <t>Industrial land</t>
        </is>
      </c>
      <c r="D22" s="1773" t="n"/>
      <c r="E22" s="1774" t="inlineStr">
        <is>
          <t xml:space="preserve">Commercial/industrial land, purchased for development. </t>
        </is>
      </c>
      <c r="F22" s="1773" t="n"/>
      <c r="G22" s="1774" t="inlineStr">
        <is>
          <t>Industrial parcel purchased for development.</t>
        </is>
      </c>
      <c r="H22" s="1773" t="n"/>
      <c r="I22" s="1774" t="inlineStr">
        <is>
          <t>Industrial parcel purchased for development.</t>
        </is>
      </c>
      <c r="J22" s="1773" t="n"/>
      <c r="K22" s="1775" t="inlineStr">
        <is>
          <t>Industrial parcel purchased for development.</t>
        </is>
      </c>
      <c r="L22" s="1776" t="inlineStr">
        <is>
          <t>Commercial lot purchased for re-development. Formerly a mini-golf center.</t>
        </is>
      </c>
      <c r="M22" s="1540" t="n"/>
    </row>
    <row r="23" ht="12.6" customHeight="1" s="1439">
      <c r="B23" s="513" t="inlineStr">
        <is>
          <t>Unadjusted Price Per SF</t>
        </is>
      </c>
      <c r="C23" s="1777" t="n"/>
      <c r="D23" s="515" t="n"/>
      <c r="E23" s="1778">
        <f>E14/E20</f>
        <v/>
      </c>
      <c r="F23" s="515" t="n"/>
      <c r="G23" s="1778">
        <f>G14/G20</f>
        <v/>
      </c>
      <c r="H23" s="515" t="n"/>
      <c r="I23" s="1778">
        <f>I14/I20</f>
        <v/>
      </c>
      <c r="J23" s="515" t="n"/>
      <c r="K23" s="1779">
        <f>K14/K20</f>
        <v/>
      </c>
      <c r="L23" s="1132" t="n"/>
      <c r="M23" s="1778">
        <f>L15/L20</f>
        <v/>
      </c>
    </row>
    <row r="24">
      <c r="B24" s="862" t="inlineStr">
        <is>
          <t>Quantified Adjustments</t>
        </is>
      </c>
      <c r="C24" s="863" t="n"/>
      <c r="D24" s="864" t="n"/>
      <c r="E24" s="865" t="n"/>
      <c r="F24" s="864" t="n"/>
      <c r="G24" s="865" t="n"/>
      <c r="H24" s="864" t="n"/>
      <c r="I24" s="865" t="n"/>
      <c r="J24" s="864" t="n"/>
      <c r="K24" s="1134" t="n"/>
      <c r="L24" s="523" t="n"/>
      <c r="M24" s="523" t="n"/>
    </row>
    <row r="25">
      <c r="B25" s="844" t="inlineStr">
        <is>
          <t>Property Rights Conveyed</t>
        </is>
      </c>
      <c r="C25" s="1091" t="inlineStr">
        <is>
          <t>Fee Simple</t>
        </is>
      </c>
      <c r="D25" s="845" t="inlineStr">
        <is>
          <t>Fee Simple</t>
        </is>
      </c>
      <c r="E25" s="1780" t="n">
        <v>0</v>
      </c>
      <c r="F25" s="1107" t="inlineStr">
        <is>
          <t>Fee Simple</t>
        </is>
      </c>
      <c r="G25" s="1780" t="n">
        <v>0</v>
      </c>
      <c r="H25" s="1107" t="inlineStr">
        <is>
          <t>Fee Simple</t>
        </is>
      </c>
      <c r="I25" s="1780" t="n">
        <v>0</v>
      </c>
      <c r="J25" s="1107" t="inlineStr">
        <is>
          <t>Fee Simple</t>
        </is>
      </c>
      <c r="K25" s="1781" t="n">
        <v>0</v>
      </c>
      <c r="L25" s="1107" t="inlineStr">
        <is>
          <t>Fee Simple</t>
        </is>
      </c>
      <c r="M25" s="1782" t="n"/>
    </row>
    <row r="26" hidden="1" s="1439">
      <c r="B26" s="847" t="inlineStr">
        <is>
          <t>Property Rights Conveyed Adjusted</t>
        </is>
      </c>
      <c r="C26" s="1092" t="n"/>
      <c r="D26" s="848" t="n"/>
      <c r="E26" s="1783">
        <f>IF(LEFT(CELL("format",E25),1)="P",E23*(1+E25),IF(LEFT(CELL("format",E25),1)="C",E23+E25))</f>
        <v/>
      </c>
      <c r="F26" s="1108" t="n"/>
      <c r="G26" s="1783">
        <f>IF(LEFT(CELL("format",G25),1)="P",G23*(1+G25),IF(LEFT(CELL("format",G25),1)="C",G23+G25))</f>
        <v/>
      </c>
      <c r="H26" s="1108" t="n"/>
      <c r="I26" s="1783">
        <f>IF(LEFT(CELL("format",I25),1)="P",I23*(1+I25),IF(LEFT(CELL("format",I25),1)="C",I23+I25))</f>
        <v/>
      </c>
      <c r="J26" s="1108" t="n"/>
      <c r="K26" s="1784">
        <f>IF(LEFT(CELL("format",K25),1)="P",K23*(1+K25),IF(LEFT(CELL("format",K25),1)="C",K23+K25))</f>
        <v/>
      </c>
      <c r="L26" s="1108" t="n"/>
      <c r="M26" s="1785">
        <f>IF(LEFT(CELL("format",M25),1)="P",M23*(1+M25),IF(LEFT(CELL("format",M25),1)="C",M23+M25))</f>
        <v/>
      </c>
    </row>
    <row r="27">
      <c r="B27" s="840" t="inlineStr">
        <is>
          <t>Financing</t>
        </is>
      </c>
      <c r="C27" s="1092" t="inlineStr">
        <is>
          <t>N/A</t>
        </is>
      </c>
      <c r="D27" s="848" t="inlineStr">
        <is>
          <t>Market-Based</t>
        </is>
      </c>
      <c r="E27" s="1786" t="n">
        <v>0</v>
      </c>
      <c r="F27" s="1108" t="inlineStr">
        <is>
          <t>Market-Based</t>
        </is>
      </c>
      <c r="G27" s="1786" t="n">
        <v>0</v>
      </c>
      <c r="H27" s="1108" t="inlineStr">
        <is>
          <t>Market-Based</t>
        </is>
      </c>
      <c r="I27" s="1786" t="n">
        <v>0</v>
      </c>
      <c r="J27" s="1108" t="inlineStr">
        <is>
          <t>Market-Based</t>
        </is>
      </c>
      <c r="K27" s="1781" t="n">
        <v>0</v>
      </c>
      <c r="L27" s="1108" t="inlineStr">
        <is>
          <t>Market-Based</t>
        </is>
      </c>
      <c r="M27" s="1787" t="n">
        <v>0</v>
      </c>
      <c r="N27" s="362" t="n"/>
    </row>
    <row r="28" hidden="1" s="1439">
      <c r="B28" s="847" t="inlineStr">
        <is>
          <t>Financing Adjusted</t>
        </is>
      </c>
      <c r="C28" s="1092" t="n"/>
      <c r="D28" s="848" t="n"/>
      <c r="E28" s="1788">
        <f>IF(LEFT(CELL("format",E27),1)="P",E26*(1+E27),IF(LEFT(CELL("format",E27),1)="C",E26+E27))</f>
        <v/>
      </c>
      <c r="F28" s="1108" t="n"/>
      <c r="G28" s="1788">
        <f>IF(LEFT(CELL("format",G27),1)="P",G26*(1+G27),IF(LEFT(CELL("format",G27),1)="C",G26+G27))</f>
        <v/>
      </c>
      <c r="H28" s="1108" t="n"/>
      <c r="I28" s="1788">
        <f>IF(LEFT(CELL("format",I27),1)="P",I26*(1+I27),IF(LEFT(CELL("format",I27),1)="C",I26+I27))</f>
        <v/>
      </c>
      <c r="J28" s="1108" t="n"/>
      <c r="K28" s="1789">
        <f>IF(LEFT(CELL("format",K27),1)="P",K26*(1+K27),IF(LEFT(CELL("format",K27),1)="C",K26+K27))</f>
        <v/>
      </c>
      <c r="L28" s="1108" t="n"/>
      <c r="M28" s="1790">
        <f>IF(LEFT(CELL("format",M27),1)="P",M26*(1+M27),IF(LEFT(CELL("format",M27),1)="C",M26+M27))</f>
        <v/>
      </c>
      <c r="N28" s="362" t="n"/>
      <c r="R28">
        <f>0.25*J20</f>
        <v/>
      </c>
    </row>
    <row r="29">
      <c r="B29" s="840" t="inlineStr">
        <is>
          <t>Terms/Conditions of Sale</t>
        </is>
      </c>
      <c r="C29" s="1092" t="inlineStr">
        <is>
          <t>N/A</t>
        </is>
      </c>
      <c r="D29" s="848" t="inlineStr">
        <is>
          <t>None</t>
        </is>
      </c>
      <c r="E29" s="1786" t="n">
        <v>0</v>
      </c>
      <c r="F29" s="1108" t="inlineStr">
        <is>
          <t>None</t>
        </is>
      </c>
      <c r="G29" s="1786" t="n">
        <v>0</v>
      </c>
      <c r="H29" s="1108" t="inlineStr">
        <is>
          <t>None</t>
        </is>
      </c>
      <c r="I29" s="1786" t="n">
        <v>0</v>
      </c>
      <c r="J29" s="1108" t="inlineStr">
        <is>
          <t>None</t>
        </is>
      </c>
      <c r="K29" s="1781" t="n">
        <v>0</v>
      </c>
      <c r="L29" s="1108" t="inlineStr">
        <is>
          <t>None</t>
        </is>
      </c>
      <c r="M29" s="1787" t="n">
        <v>0</v>
      </c>
      <c r="N29" s="362" t="n"/>
    </row>
    <row r="30" hidden="1" s="1439">
      <c r="B30" s="847" t="inlineStr">
        <is>
          <t>Terms/Conditions of Sale Adjusted</t>
        </is>
      </c>
      <c r="C30" s="1092" t="n"/>
      <c r="D30" s="848" t="n"/>
      <c r="E30" s="1788">
        <f>IF(LEFT(CELL("format",E29),1)="P",E28*(1+E29),IF(LEFT(CELL("format",E29),1)="C",E28+E29))</f>
        <v/>
      </c>
      <c r="F30" s="1108" t="n"/>
      <c r="G30" s="1788">
        <f>IF(LEFT(CELL("format",G29),1)="P",G28*(1+G29),IF(LEFT(CELL("format",G29),1)="C",G28+G29))</f>
        <v/>
      </c>
      <c r="H30" s="1108" t="n"/>
      <c r="I30" s="1788">
        <f>IF(LEFT(CELL("format",I29),1)="P",I28*(1+I29),IF(LEFT(CELL("format",I29),1)="C",I28+I29))</f>
        <v/>
      </c>
      <c r="J30" s="1108" t="n"/>
      <c r="K30" s="1789">
        <f>IF(LEFT(CELL("format",K29),1)="P",K28*(1+K29),IF(LEFT(CELL("format",K29),1)="C",K28+K29))</f>
        <v/>
      </c>
      <c r="L30" s="1108" t="n"/>
      <c r="M30" s="1790">
        <f>IF(LEFT(CELL("format",M29),1)="P",M28*(1+M29),IF(LEFT(CELL("format",M29),1)="C",M28+M29))</f>
        <v/>
      </c>
      <c r="N30" s="362" t="n"/>
    </row>
    <row r="31">
      <c r="B31" s="840" t="inlineStr">
        <is>
          <t>Expenditures After Sale</t>
        </is>
      </c>
      <c r="C31" s="1092" t="inlineStr">
        <is>
          <t>N/A</t>
        </is>
      </c>
      <c r="D31" s="848" t="inlineStr">
        <is>
          <t>None</t>
        </is>
      </c>
      <c r="E31" s="1786" t="n">
        <v>0</v>
      </c>
      <c r="F31" s="1108" t="inlineStr">
        <is>
          <t>None</t>
        </is>
      </c>
      <c r="G31" s="1786" t="n">
        <v>0</v>
      </c>
      <c r="H31" s="1108" t="inlineStr">
        <is>
          <t>None</t>
        </is>
      </c>
      <c r="I31" s="1786" t="n">
        <v>0</v>
      </c>
      <c r="J31" s="1108" t="inlineStr">
        <is>
          <t>None</t>
        </is>
      </c>
      <c r="K31" s="1781" t="n">
        <v>0</v>
      </c>
      <c r="L31" s="1108" t="inlineStr">
        <is>
          <t>None</t>
        </is>
      </c>
      <c r="M31" s="1787" t="n">
        <v>0</v>
      </c>
      <c r="N31" s="362" t="n"/>
    </row>
    <row r="32" hidden="1" s="1439">
      <c r="B32" s="847" t="inlineStr">
        <is>
          <t>Expenditures After Sale Adjusted</t>
        </is>
      </c>
      <c r="C32" s="1092" t="n"/>
      <c r="D32" s="848" t="n"/>
      <c r="E32" s="1788">
        <f>IF(LEFT(CELL("format",E31),1)="P",E30*(1+E31),IF(LEFT(CELL("format",E31),1)="C",E30+E31))</f>
        <v/>
      </c>
      <c r="F32" s="1108" t="n"/>
      <c r="G32" s="1788">
        <f>IF(LEFT(CELL("format",G31),1)="P",G30*(1+G31),IF(LEFT(CELL("format",G31),1)="C",G30+G31))</f>
        <v/>
      </c>
      <c r="H32" s="1108" t="n"/>
      <c r="I32" s="1788">
        <f>IF(LEFT(CELL("format",I31),1)="P",I30*(1+I31),IF(LEFT(CELL("format",I31),1)="C",I30+I31))</f>
        <v/>
      </c>
      <c r="J32" s="1108" t="n"/>
      <c r="K32" s="1789">
        <f>IF(LEFT(CELL("format",K31),1)="P",K30*(1+K31),IF(LEFT(CELL("format",K31),1)="C",K30+K31))</f>
        <v/>
      </c>
      <c r="L32" s="1108" t="n"/>
      <c r="M32" s="1790">
        <f>IF(LEFT(CELL("format",M31),1)="P",M30*(1+M31),IF(LEFT(CELL("format",M31),1)="C",M30+M31))</f>
        <v/>
      </c>
      <c r="N32" s="362" t="n"/>
    </row>
    <row r="33">
      <c r="B33" s="840" t="inlineStr">
        <is>
          <t>Market Conditions</t>
        </is>
      </c>
      <c r="C33" s="1092" t="inlineStr">
        <is>
          <t>N/A</t>
        </is>
      </c>
      <c r="D33" s="1791">
        <f>D13</f>
        <v/>
      </c>
      <c r="E33" s="1786" t="n">
        <v>0</v>
      </c>
      <c r="F33" s="1792">
        <f>F13</f>
        <v/>
      </c>
      <c r="G33" s="1786" t="n">
        <v>0</v>
      </c>
      <c r="H33" s="1792">
        <f>H13</f>
        <v/>
      </c>
      <c r="I33" s="1786" t="n">
        <v>0</v>
      </c>
      <c r="J33" s="1792">
        <f>J13</f>
        <v/>
      </c>
      <c r="K33" s="1781" t="n">
        <v>0</v>
      </c>
      <c r="L33" s="1108" t="inlineStr">
        <is>
          <t>TBD</t>
        </is>
      </c>
      <c r="M33" s="1787" t="n">
        <v>0</v>
      </c>
      <c r="N33" s="362" t="n"/>
    </row>
    <row r="34" hidden="1" s="1439">
      <c r="B34" s="847" t="inlineStr">
        <is>
          <t>Market Conditions Adjusted</t>
        </is>
      </c>
      <c r="C34" s="1092" t="n"/>
      <c r="D34" s="848" t="n"/>
      <c r="E34" s="1793">
        <f>IF(LEFT(CELL("format",E33),1)="P",E32*(1+E33),IF(LEFT(CELL("format",E33),1)="C",E32+E33))</f>
        <v/>
      </c>
      <c r="F34" s="1108" t="n"/>
      <c r="G34" s="1793">
        <f>IF(LEFT(CELL("format",G33),1)="P",G32*(1+G33),IF(LEFT(CELL("format",G33),1)="C",G32+G33))</f>
        <v/>
      </c>
      <c r="H34" s="1108" t="n"/>
      <c r="I34" s="1793">
        <f>IF(LEFT(CELL("format",I33),1)="P",I32*(1+I33),IF(LEFT(CELL("format",I33),1)="C",I32+I33))</f>
        <v/>
      </c>
      <c r="J34" s="1108" t="n"/>
      <c r="K34" s="1794">
        <f>IF(LEFT(CELL("format",K33),1)="P",K32*(1+K33),IF(LEFT(CELL("format",K33),1)="C",K32+K33))</f>
        <v/>
      </c>
      <c r="L34" s="1108" t="n"/>
      <c r="M34" s="1785">
        <f>IF(LEFT(CELL("format",M33),1)="P",M32*(1+M33),IF(LEFT(CELL("format",M33),1)="C",M32+M33))</f>
        <v/>
      </c>
    </row>
    <row r="35" ht="15" customHeight="1" s="1439">
      <c r="B35" s="542" t="inlineStr">
        <is>
          <t>Total Quantified Adjustment</t>
        </is>
      </c>
      <c r="C35" s="1093" t="n"/>
      <c r="D35" s="544" t="n"/>
      <c r="E35" s="547">
        <f>IFERROR(TEXT(E34-E23,"$#,##0.00")&amp;CHAR(10)&amp;" or "&amp;CHAR(10)&amp;TEXT((E34-E23)/E23,"0.00%"),0)</f>
        <v/>
      </c>
      <c r="F35" s="1110" t="n"/>
      <c r="G35" s="547">
        <f>IFERROR(TEXT(G34-G23,"$#,##0.00")&amp;CHAR(10)&amp;" or "&amp;CHAR(10)&amp;TEXT((G34-G23)/G23,"0.00%"),0)</f>
        <v/>
      </c>
      <c r="H35" s="1110" t="n"/>
      <c r="I35" s="547">
        <f>IFERROR(TEXT(I34-I23,"$#,##0.00")&amp;CHAR(10)&amp;" or "&amp;CHAR(10)&amp;TEXT((I34-I23)/I23,"0.00%"),0)</f>
        <v/>
      </c>
      <c r="J35" s="1110" t="n"/>
      <c r="K35" s="546">
        <f>IFERROR(TEXT(K34-K23,"$#,##0.00")&amp;CHAR(10)&amp;" or "&amp;CHAR(10)&amp;TEXT((K34-K23)/K23,"0.00%"),0)</f>
        <v/>
      </c>
      <c r="L35" s="1110" t="n"/>
      <c r="M35" s="545">
        <f>IFERROR(TEXT(M34-M23,"$#,##0.00")&amp;CHAR(10)&amp;" or "&amp;CHAR(10)&amp;TEXT((M34-M23)/M23,"0.00%"),0)</f>
        <v/>
      </c>
    </row>
    <row r="36">
      <c r="B36" s="548" t="inlineStr">
        <is>
          <t>Quantitatively Adjusted Price</t>
        </is>
      </c>
      <c r="C36" s="1094" t="n"/>
      <c r="D36" s="544" t="n"/>
      <c r="E36" s="1795">
        <f>E34</f>
        <v/>
      </c>
      <c r="F36" s="1110" t="n"/>
      <c r="G36" s="1795">
        <f>G34</f>
        <v/>
      </c>
      <c r="H36" s="1110" t="n"/>
      <c r="I36" s="1795">
        <f>I34</f>
        <v/>
      </c>
      <c r="J36" s="1110" t="n"/>
      <c r="K36" s="1796">
        <f>K34</f>
        <v/>
      </c>
      <c r="L36" s="1110" t="n"/>
      <c r="M36" s="1797">
        <f>M34</f>
        <v/>
      </c>
    </row>
    <row r="37">
      <c r="B37" s="1085" t="inlineStr">
        <is>
          <t>Location</t>
        </is>
      </c>
      <c r="C37" s="1095">
        <f>'Basic Sales Grid'!D28</f>
        <v/>
      </c>
      <c r="D37" s="1086" t="inlineStr">
        <is>
          <t>Average</t>
        </is>
      </c>
      <c r="E37" s="1798" t="n">
        <v>0</v>
      </c>
      <c r="F37" s="1111" t="inlineStr">
        <is>
          <t>Average</t>
        </is>
      </c>
      <c r="G37" s="1798" t="n">
        <v>0</v>
      </c>
      <c r="H37" s="1111" t="inlineStr">
        <is>
          <t>Average</t>
        </is>
      </c>
      <c r="I37" s="1798" t="n">
        <v>0</v>
      </c>
      <c r="J37" s="1111" t="inlineStr">
        <is>
          <t>Fair</t>
        </is>
      </c>
      <c r="K37" s="1799" t="n">
        <v>0.1</v>
      </c>
      <c r="L37" s="618" t="inlineStr">
        <is>
          <t>Below-Average</t>
        </is>
      </c>
      <c r="M37" s="1800" t="n">
        <v>0.05</v>
      </c>
    </row>
    <row r="38" hidden="1" ht="12.6" customHeight="1" s="1439">
      <c r="B38" s="568" t="inlineStr">
        <is>
          <t>Distance from Subject</t>
        </is>
      </c>
      <c r="C38" s="1096" t="inlineStr">
        <is>
          <t>N/A</t>
        </is>
      </c>
      <c r="D38" s="854" t="inlineStr">
        <is>
          <t>3 miles</t>
        </is>
      </c>
      <c r="E38" s="1798" t="n"/>
      <c r="F38" s="1112" t="inlineStr">
        <is>
          <t>3 miles</t>
        </is>
      </c>
      <c r="G38" s="1798" t="n"/>
      <c r="H38" s="1112" t="inlineStr">
        <is>
          <t>3 miles</t>
        </is>
      </c>
      <c r="I38" s="1798" t="n"/>
      <c r="J38" s="1112" t="inlineStr">
        <is>
          <t>1/4 mile</t>
        </is>
      </c>
      <c r="K38" s="1799" t="n"/>
      <c r="L38" s="1112" t="inlineStr">
        <is>
          <t>Adjacent</t>
        </is>
      </c>
      <c r="M38" s="1801" t="n"/>
    </row>
    <row r="39" hidden="1" ht="29.25" customHeight="1" s="1439">
      <c r="B39" s="568" t="inlineStr">
        <is>
          <t>Surrounding Land Uses</t>
        </is>
      </c>
      <c r="C39" s="1096" t="inlineStr">
        <is>
          <t>Retail, residential, developable land</t>
        </is>
      </c>
      <c r="D39" s="854" t="inlineStr">
        <is>
          <t>Retail, residential</t>
        </is>
      </c>
      <c r="E39" s="1798" t="n"/>
      <c r="F39" s="1112" t="inlineStr">
        <is>
          <t>Retail, residential</t>
        </is>
      </c>
      <c r="G39" s="1798" t="n"/>
      <c r="H39" s="1112" t="inlineStr">
        <is>
          <t>Retail, residential</t>
        </is>
      </c>
      <c r="I39" s="1798" t="n"/>
      <c r="J39" s="1112" t="inlineStr">
        <is>
          <t>Retail, office, residential</t>
        </is>
      </c>
      <c r="K39" s="1799" t="n"/>
      <c r="L39" s="1112" t="inlineStr">
        <is>
          <t>Retail, residential</t>
        </is>
      </c>
      <c r="M39" s="1801" t="n"/>
    </row>
    <row r="40" hidden="1" ht="12.6" customHeight="1" s="1439">
      <c r="B40" s="568" t="inlineStr">
        <is>
          <t>Quality/Condition of Surrounding Area</t>
        </is>
      </c>
      <c r="C40" s="1097" t="inlineStr">
        <is>
          <t>Average to New</t>
        </is>
      </c>
      <c r="D40" s="856" t="inlineStr">
        <is>
          <t>Average to New</t>
        </is>
      </c>
      <c r="E40" s="1798" t="n"/>
      <c r="F40" s="1113" t="inlineStr">
        <is>
          <t>Average to New</t>
        </is>
      </c>
      <c r="G40" s="1798" t="n"/>
      <c r="H40" s="1113" t="inlineStr">
        <is>
          <t>Average to New</t>
        </is>
      </c>
      <c r="I40" s="1798" t="n"/>
      <c r="J40" s="1113" t="inlineStr">
        <is>
          <t>Average to Very Good</t>
        </is>
      </c>
      <c r="K40" s="1799" t="n"/>
      <c r="L40" s="1113" t="inlineStr">
        <is>
          <t>Average to Very Good</t>
        </is>
      </c>
      <c r="M40" s="1801" t="n"/>
    </row>
    <row r="41" hidden="1" ht="12.6" customHeight="1" s="1439">
      <c r="B41" s="568" t="inlineStr">
        <is>
          <t>Access to Commercial Services/Amenities</t>
        </is>
      </c>
      <c r="C41" s="1097" t="inlineStr">
        <is>
          <t>Good</t>
        </is>
      </c>
      <c r="D41" s="856" t="inlineStr">
        <is>
          <t>Good</t>
        </is>
      </c>
      <c r="E41" s="1798" t="n"/>
      <c r="F41" s="1113" t="inlineStr">
        <is>
          <t>Good</t>
        </is>
      </c>
      <c r="G41" s="1798" t="n"/>
      <c r="H41" s="1113" t="inlineStr">
        <is>
          <t>Good</t>
        </is>
      </c>
      <c r="I41" s="1798" t="n"/>
      <c r="J41" s="1113" t="inlineStr">
        <is>
          <t>Good</t>
        </is>
      </c>
      <c r="K41" s="1799" t="n"/>
      <c r="L41" s="1113" t="inlineStr">
        <is>
          <t>Good</t>
        </is>
      </c>
      <c r="M41" s="1801" t="n"/>
    </row>
    <row r="42" hidden="1" ht="75.75" customHeight="1" s="1439">
      <c r="B42" s="568" t="inlineStr">
        <is>
          <t>Visibility/Access</t>
        </is>
      </c>
      <c r="C42" s="1098" t="inlineStr">
        <is>
          <t>Average- access and visibility from two secondary thoroughfares.</t>
        </is>
      </c>
      <c r="D42" s="857" t="inlineStr">
        <is>
          <t>Above-Average: Primary thoroughfare exposure and access. Adjacent to 7-Eleven, Starbucks developments.</t>
        </is>
      </c>
      <c r="E42" s="1798" t="n"/>
      <c r="F42" s="1114" t="inlineStr">
        <is>
          <t>Above-Average: Primary thoroughfare exposure and access. Adjacent to 7-Eleven, Starbucks developments.</t>
        </is>
      </c>
      <c r="G42" s="1798" t="n"/>
      <c r="H42" s="1114" t="inlineStr">
        <is>
          <t>Above-Average: Primary thoroughfare exposure and access. Adjacent to 7-Eleven, Starbucks developments.</t>
        </is>
      </c>
      <c r="I42" s="1798" t="n"/>
      <c r="J42" s="1114" t="inlineStr">
        <is>
          <t>Good - located along a primary thoroughfare</t>
        </is>
      </c>
      <c r="K42" s="1799" t="n"/>
      <c r="L42" s="1114" t="inlineStr">
        <is>
          <t>Good - primary thoroughfare access/exposure</t>
        </is>
      </c>
      <c r="M42" s="1801" t="n"/>
    </row>
    <row r="43" hidden="1" ht="70.5" customHeight="1" s="1439">
      <c r="B43" s="568" t="inlineStr">
        <is>
          <t>Description</t>
        </is>
      </c>
      <c r="C43" s="1099" t="inlineStr">
        <is>
          <t xml:space="preserve">Developing residential/retail area. Commercial thoroughfare exposure. Adjacent to anchored retail center. </t>
        </is>
      </c>
      <c r="D43" s="569" t="inlineStr">
        <is>
          <t xml:space="preserve">Primary thoroughfare exposure. Located in an area of developing retail/residential. Good commercial traffic. </t>
        </is>
      </c>
      <c r="E43" s="1798" t="n"/>
      <c r="F43" s="622" t="inlineStr">
        <is>
          <t xml:space="preserve">Primary thoroughfare exposure. Located in an area of developing retail/residential. Good commercial traffic. </t>
        </is>
      </c>
      <c r="G43" s="1798" t="n"/>
      <c r="H43" s="622" t="inlineStr">
        <is>
          <t xml:space="preserve">Primary thoroughfare exposure. Located in an area of developing retail/residential. Good commercial traffic. </t>
        </is>
      </c>
      <c r="I43" s="1798" t="n"/>
      <c r="J43" s="622" t="inlineStr">
        <is>
          <t xml:space="preserve">Visibility and access from W 120th Ave. (regional arterial) near anchored retail center and dene residential development. </t>
        </is>
      </c>
      <c r="K43" s="1799" t="n"/>
      <c r="L43" s="622" t="inlineStr">
        <is>
          <t>Located in an established residential/retail area of Arvada. Lower med. household incomes.</t>
        </is>
      </c>
      <c r="M43" s="1801" t="n"/>
    </row>
    <row r="44">
      <c r="B44" s="806">
        <f>B20</f>
        <v/>
      </c>
      <c r="C44" s="1100">
        <f>C20</f>
        <v/>
      </c>
      <c r="D44" s="1087">
        <f>D20</f>
        <v/>
      </c>
      <c r="E44" s="1798" t="n">
        <v>0.1</v>
      </c>
      <c r="F44" s="1115">
        <f>F20</f>
        <v/>
      </c>
      <c r="G44" s="1798" t="n">
        <v>0</v>
      </c>
      <c r="H44" s="1115">
        <f>H20</f>
        <v/>
      </c>
      <c r="I44" s="1798" t="n">
        <v>0</v>
      </c>
      <c r="J44" s="1115">
        <f>J20</f>
        <v/>
      </c>
      <c r="K44" s="1799" t="n">
        <v>0</v>
      </c>
      <c r="L44" s="623">
        <f>L20</f>
        <v/>
      </c>
      <c r="M44" s="1800" t="n">
        <v>-0.05</v>
      </c>
    </row>
    <row r="45">
      <c r="B45" s="1088" t="inlineStr">
        <is>
          <t xml:space="preserve">Zoning </t>
        </is>
      </c>
      <c r="C45" s="1095">
        <f>C21</f>
        <v/>
      </c>
      <c r="D45" s="1089">
        <f>D21</f>
        <v/>
      </c>
      <c r="E45" s="1798" t="n">
        <v>0</v>
      </c>
      <c r="F45" s="1116">
        <f>F21</f>
        <v/>
      </c>
      <c r="G45" s="1798" t="n">
        <v>0.05</v>
      </c>
      <c r="H45" s="1116">
        <f>H21</f>
        <v/>
      </c>
      <c r="I45" s="1798" t="n">
        <v>-0.1</v>
      </c>
      <c r="J45" s="1116">
        <f>J21</f>
        <v/>
      </c>
      <c r="K45" s="1799" t="n">
        <v>-0.05</v>
      </c>
      <c r="L45" s="1125" t="inlineStr">
        <is>
          <t>B-2 (General Business)</t>
        </is>
      </c>
      <c r="M45" s="1800" t="n">
        <v>0</v>
      </c>
    </row>
    <row r="46" ht="16.5" customHeight="1" s="1439">
      <c r="B46" s="1085" t="inlineStr">
        <is>
          <t>Utilities / Infrastructure</t>
        </is>
      </c>
      <c r="C46" s="1261" t="inlineStr">
        <is>
          <t>Average</t>
        </is>
      </c>
      <c r="D46" s="1086" t="inlineStr">
        <is>
          <t>Average</t>
        </is>
      </c>
      <c r="E46" s="1798" t="n">
        <v>0</v>
      </c>
      <c r="F46" s="1111" t="inlineStr">
        <is>
          <t>Average</t>
        </is>
      </c>
      <c r="G46" s="1798" t="n">
        <v>0</v>
      </c>
      <c r="H46" s="1111" t="inlineStr">
        <is>
          <t>Average</t>
        </is>
      </c>
      <c r="I46" s="1798" t="n">
        <v>0</v>
      </c>
      <c r="J46" s="1111" t="inlineStr">
        <is>
          <t>Average</t>
        </is>
      </c>
      <c r="K46" s="1799" t="n">
        <v>0</v>
      </c>
      <c r="L46" s="618" t="inlineStr">
        <is>
          <t>Average</t>
        </is>
      </c>
      <c r="M46" s="1800" t="n">
        <v>0</v>
      </c>
    </row>
    <row r="47" hidden="1" ht="12.6" customHeight="1" s="1439">
      <c r="B47" s="568" t="inlineStr">
        <is>
          <t>Water/Sewer</t>
        </is>
      </c>
      <c r="C47" s="1096" t="inlineStr">
        <is>
          <t>Available - Municipal Services</t>
        </is>
      </c>
      <c r="D47" s="854" t="inlineStr">
        <is>
          <t>Available - Municipal Services</t>
        </is>
      </c>
      <c r="E47" s="1802" t="n"/>
      <c r="F47" s="1112" t="inlineStr">
        <is>
          <t>Available - Municipal Services</t>
        </is>
      </c>
      <c r="G47" s="1802" t="n"/>
      <c r="H47" s="1112" t="inlineStr">
        <is>
          <t>Available - Municipal Services</t>
        </is>
      </c>
      <c r="I47" s="1802" t="n"/>
      <c r="J47" s="1112" t="inlineStr">
        <is>
          <t>Available - Municipal Services</t>
        </is>
      </c>
      <c r="K47" s="1803" t="n"/>
      <c r="L47" s="1112" t="inlineStr">
        <is>
          <t>Available - Municipal Services</t>
        </is>
      </c>
      <c r="M47" s="1804" t="n"/>
    </row>
    <row r="48" hidden="1" ht="15" customHeight="1" s="1439">
      <c r="B48" s="568" t="inlineStr">
        <is>
          <t>Electricity/Gas</t>
        </is>
      </c>
      <c r="C48" s="1096" t="inlineStr">
        <is>
          <t>Available - Xcel Energy</t>
        </is>
      </c>
      <c r="D48" s="854" t="inlineStr">
        <is>
          <t>Available - Xcel Energy</t>
        </is>
      </c>
      <c r="E48" s="1802" t="n"/>
      <c r="F48" s="1112" t="inlineStr">
        <is>
          <t>Available - Xcel Energy</t>
        </is>
      </c>
      <c r="G48" s="1802" t="n"/>
      <c r="H48" s="1112" t="inlineStr">
        <is>
          <t>Available - Xcel Energy</t>
        </is>
      </c>
      <c r="I48" s="1802" t="n"/>
      <c r="J48" s="1112" t="inlineStr">
        <is>
          <t>Available - Xcel Energy</t>
        </is>
      </c>
      <c r="K48" s="1803" t="n"/>
      <c r="L48" s="1112" t="inlineStr">
        <is>
          <t>Available - Xcel Energy</t>
        </is>
      </c>
      <c r="M48" s="1804" t="n"/>
    </row>
    <row r="49" hidden="1" ht="11.25" customHeight="1" s="1439">
      <c r="B49" s="568" t="inlineStr">
        <is>
          <t>Other</t>
        </is>
      </c>
      <c r="C49" s="1097" t="inlineStr">
        <is>
          <t>All available</t>
        </is>
      </c>
      <c r="D49" s="856" t="inlineStr">
        <is>
          <t>Historical Design</t>
        </is>
      </c>
      <c r="E49" s="1802" t="n"/>
      <c r="F49" s="1113" t="inlineStr">
        <is>
          <t>Historical Design</t>
        </is>
      </c>
      <c r="G49" s="1802" t="n"/>
      <c r="H49" s="1113" t="inlineStr">
        <is>
          <t>Historical Design</t>
        </is>
      </c>
      <c r="I49" s="1802" t="n"/>
      <c r="J49" s="1113" t="inlineStr">
        <is>
          <t>Historical Design</t>
        </is>
      </c>
      <c r="K49" s="1803" t="n"/>
      <c r="L49" s="1113" t="inlineStr">
        <is>
          <t>Historical Design</t>
        </is>
      </c>
      <c r="M49" s="1804" t="n"/>
    </row>
    <row r="50" ht="18" customHeight="1" s="1439">
      <c r="B50" s="806" t="inlineStr">
        <is>
          <t>Site Utility</t>
        </is>
      </c>
      <c r="C50" s="1261" t="inlineStr">
        <is>
          <t>Average</t>
        </is>
      </c>
      <c r="D50" s="1090" t="inlineStr">
        <is>
          <t>Average</t>
        </is>
      </c>
      <c r="E50" s="1805" t="n">
        <v>0</v>
      </c>
      <c r="F50" s="1117" t="inlineStr">
        <is>
          <t>Average</t>
        </is>
      </c>
      <c r="G50" s="1805" t="n">
        <v>0</v>
      </c>
      <c r="H50" s="1117" t="inlineStr">
        <is>
          <t>Average</t>
        </is>
      </c>
      <c r="I50" s="1805" t="n">
        <v>0</v>
      </c>
      <c r="J50" s="1111" t="inlineStr">
        <is>
          <t>Average</t>
        </is>
      </c>
      <c r="K50" s="1806" t="n">
        <v>0</v>
      </c>
      <c r="L50" s="618" t="inlineStr">
        <is>
          <t>Average</t>
        </is>
      </c>
      <c r="M50" s="1807" t="n">
        <v>0</v>
      </c>
    </row>
    <row r="51" hidden="1" s="1439">
      <c r="B51" s="568" t="inlineStr">
        <is>
          <t>Site Shape</t>
        </is>
      </c>
      <c r="C51" s="1097" t="inlineStr">
        <is>
          <t>Rectangular</t>
        </is>
      </c>
      <c r="D51" s="856" t="inlineStr">
        <is>
          <t>Rectangular</t>
        </is>
      </c>
      <c r="E51" s="1808" t="n"/>
      <c r="F51" s="1113" t="inlineStr">
        <is>
          <t>Rectangular</t>
        </is>
      </c>
      <c r="G51" s="1808" t="n"/>
      <c r="H51" s="1113" t="inlineStr">
        <is>
          <t>Rectangular</t>
        </is>
      </c>
      <c r="I51" s="1808" t="n"/>
      <c r="J51" s="1113" t="inlineStr">
        <is>
          <t>Rectangular</t>
        </is>
      </c>
      <c r="K51" s="1809" t="n"/>
      <c r="L51" s="1113" t="inlineStr">
        <is>
          <t>Generally rectangular</t>
        </is>
      </c>
      <c r="M51" s="1804" t="n"/>
    </row>
    <row r="52" hidden="1" ht="12" customHeight="1" s="1439">
      <c r="B52" s="568" t="inlineStr">
        <is>
          <t>Topography</t>
        </is>
      </c>
      <c r="C52" s="1101" t="inlineStr">
        <is>
          <t>Generally Level</t>
        </is>
      </c>
      <c r="D52" s="859" t="inlineStr">
        <is>
          <t>Generally Level</t>
        </is>
      </c>
      <c r="E52" s="1808" t="n"/>
      <c r="F52" s="1118" t="inlineStr">
        <is>
          <t>Generally Level</t>
        </is>
      </c>
      <c r="G52" s="1808" t="n"/>
      <c r="H52" s="1118" t="inlineStr">
        <is>
          <t>Generally Level</t>
        </is>
      </c>
      <c r="I52" s="1808" t="n"/>
      <c r="J52" s="1118" t="inlineStr">
        <is>
          <t>Generally Level</t>
        </is>
      </c>
      <c r="K52" s="1809" t="n"/>
      <c r="L52" s="1113" t="inlineStr">
        <is>
          <t>Generally level</t>
        </is>
      </c>
      <c r="M52" s="1804" t="n"/>
    </row>
    <row r="53" hidden="1" ht="17.25" customHeight="1" s="1439">
      <c r="B53" s="568" t="inlineStr">
        <is>
          <t>Easement/Encroachments/Obstructions</t>
        </is>
      </c>
      <c r="C53" s="1101" t="inlineStr">
        <is>
          <t>None known</t>
        </is>
      </c>
      <c r="D53" s="859" t="inlineStr">
        <is>
          <t>None known</t>
        </is>
      </c>
      <c r="E53" s="1808" t="n"/>
      <c r="F53" s="1118" t="inlineStr">
        <is>
          <t>None known</t>
        </is>
      </c>
      <c r="G53" s="1808" t="n"/>
      <c r="H53" s="1118" t="inlineStr">
        <is>
          <t>None known</t>
        </is>
      </c>
      <c r="I53" s="1808" t="n"/>
      <c r="J53" s="1118" t="inlineStr">
        <is>
          <t>None known</t>
        </is>
      </c>
      <c r="K53" s="1809" t="n"/>
      <c r="L53" s="1126" t="inlineStr">
        <is>
          <t>None known</t>
        </is>
      </c>
      <c r="M53" s="1804" t="n"/>
    </row>
    <row r="54" hidden="1" ht="12" customHeight="1" s="1439">
      <c r="B54" s="568" t="inlineStr">
        <is>
          <t>Other</t>
        </is>
      </c>
      <c r="C54" s="1102" t="inlineStr">
        <is>
          <t>None</t>
        </is>
      </c>
      <c r="D54" s="860" t="inlineStr">
        <is>
          <t>None</t>
        </is>
      </c>
      <c r="E54" s="1808" t="n"/>
      <c r="F54" s="1119" t="inlineStr">
        <is>
          <t>None</t>
        </is>
      </c>
      <c r="G54" s="1808" t="n"/>
      <c r="H54" s="1119" t="inlineStr">
        <is>
          <t>None</t>
        </is>
      </c>
      <c r="I54" s="1808" t="n"/>
      <c r="J54" s="1119" t="inlineStr">
        <is>
          <t>None</t>
        </is>
      </c>
      <c r="K54" s="1809" t="n"/>
      <c r="L54" s="1127" t="inlineStr">
        <is>
          <t>None</t>
        </is>
      </c>
      <c r="M54" s="1804" t="n"/>
    </row>
    <row r="55">
      <c r="B55" s="586" t="inlineStr">
        <is>
          <t>Total Non Quantified Adj.</t>
        </is>
      </c>
      <c r="C55" s="1103" t="n"/>
      <c r="D55" s="588" t="n"/>
      <c r="E55" s="1810">
        <f>SUM(E37,E44,E45,E46,E50)</f>
        <v/>
      </c>
      <c r="F55" s="513" t="n"/>
      <c r="G55" s="1811">
        <f>SUM(G37,G44,G45,G46,G50)</f>
        <v/>
      </c>
      <c r="H55" s="1105" t="n"/>
      <c r="I55" s="1812">
        <f>SUM(I37,I44,I45,I46,I50)</f>
        <v/>
      </c>
      <c r="J55" s="1105" t="n"/>
      <c r="K55" s="1813">
        <f>SUM(K37,K44,K45,K46,K50)</f>
        <v/>
      </c>
      <c r="L55" s="1105" t="n"/>
      <c r="M55" s="1814">
        <f>SUM(M37,M44,M45,M46,M50)</f>
        <v/>
      </c>
    </row>
    <row r="56">
      <c r="B56" s="594" t="inlineStr">
        <is>
          <t>Indication for Subject:</t>
        </is>
      </c>
      <c r="C56" s="1104" t="n"/>
      <c r="D56" s="596" t="n"/>
      <c r="E56" s="1815">
        <f>IF(LEFT(CELL("format",E55),1)="P",E36*(1+E55),IF(LEFT(CELL("format",E55),1)="C",E36+E55))</f>
        <v/>
      </c>
      <c r="F56" s="1120" t="n"/>
      <c r="G56" s="1816">
        <f>IF(LEFT(CELL("format",G55),1)="P",G36*(1+G55),IF(LEFT(CELL("format",G55),1)="C",G36+G55))</f>
        <v/>
      </c>
      <c r="H56" s="1106" t="n"/>
      <c r="I56" s="1816">
        <f>IF(LEFT(CELL("format",I55),1)="P",I36*(1+I55),IF(LEFT(CELL("format",I55),1)="C",I36+I55))</f>
        <v/>
      </c>
      <c r="J56" s="1106" t="n"/>
      <c r="K56" s="1817">
        <f>IF(LEFT(CELL("format",K55),1)="P",K36*(1+K55),IF(LEFT(CELL("format",K55),1)="C",K36+K55))</f>
        <v/>
      </c>
      <c r="L56" s="1106" t="n"/>
      <c r="M56" s="1818">
        <f>IF(LEFT(CELL("format",M55),1)="P",M36*(1+M55),IF(LEFT(CELL("format",M55),1)="C",M36+M55))</f>
        <v/>
      </c>
    </row>
    <row r="58">
      <c r="C58" s="358" t="n"/>
    </row>
    <row r="59">
      <c r="B59" s="1545" t="inlineStr">
        <is>
          <t>VALUE CONCLUSION - UNDERLYING LAND AREA</t>
        </is>
      </c>
    </row>
    <row r="60" customFormat="1" s="1450">
      <c r="B60" s="362" t="inlineStr">
        <is>
          <t>Indicated Value per SF</t>
        </is>
      </c>
      <c r="C60" s="1819" t="n">
        <v>10</v>
      </c>
      <c r="E60" s="465" t="n"/>
      <c r="G60" s="465" t="n"/>
      <c r="I60" s="465" t="n"/>
      <c r="K60" s="465" t="n"/>
    </row>
    <row r="61" customFormat="1" s="1450">
      <c r="B61" s="362" t="inlineStr">
        <is>
          <t>Land Area (SF)</t>
        </is>
      </c>
      <c r="C61" s="1820">
        <f>C44</f>
        <v/>
      </c>
      <c r="E61" s="465" t="n"/>
      <c r="G61" s="465" t="n"/>
      <c r="I61" s="465" t="n"/>
      <c r="K61" s="465" t="n"/>
    </row>
    <row r="62" hidden="1" ht="17.25" customHeight="1" s="1439">
      <c r="B62" s="1060">
        <f>IF(C63=0,"HIDE THIS ROW IF NO DEFERRED MAINTENANCE", "Indicated Value")</f>
        <v/>
      </c>
      <c r="C62" s="1821">
        <f>C60*C61</f>
        <v/>
      </c>
    </row>
    <row r="63" hidden="1" s="1439">
      <c r="B63" s="1062" t="inlineStr">
        <is>
          <t xml:space="preserve">Contract Price </t>
        </is>
      </c>
      <c r="C63" s="1822" t="n">
        <v>0</v>
      </c>
    </row>
    <row r="64" hidden="1" s="1439">
      <c r="B64" s="1823" t="n"/>
      <c r="C64" s="1458" t="n"/>
    </row>
    <row r="65" customFormat="1" s="1450">
      <c r="B65" s="1071">
        <f>IF(SUM(C63:C63)=0,"Indicated Value","Indicated Value - Adjusted")</f>
        <v/>
      </c>
      <c r="C65" s="1824">
        <f>C60*C61</f>
        <v/>
      </c>
      <c r="E65" s="465" t="n"/>
      <c r="G65" s="465" t="n"/>
      <c r="I65" s="465" t="n"/>
      <c r="K65" s="465" t="n"/>
    </row>
    <row r="66">
      <c r="B66" s="1825" t="n">
        <v>5000</v>
      </c>
      <c r="C66" s="1826">
        <f>ROUND((C65/B66),0)*B66</f>
        <v/>
      </c>
    </row>
    <row r="67">
      <c r="B67" s="1684" t="inlineStr">
        <is>
          <t>Per SF</t>
        </is>
      </c>
      <c r="C67" s="1827">
        <f>C66/C61</f>
        <v/>
      </c>
    </row>
  </sheetData>
  <mergeCells count="22">
    <mergeCell ref="L17:M17"/>
    <mergeCell ref="B59:C59"/>
    <mergeCell ref="L16:M16"/>
    <mergeCell ref="L19:M19"/>
    <mergeCell ref="L13:M13"/>
    <mergeCell ref="L12:M12"/>
    <mergeCell ref="L15:M15"/>
    <mergeCell ref="L18:M18"/>
    <mergeCell ref="L8:M8"/>
    <mergeCell ref="L14:M14"/>
    <mergeCell ref="F8:G8"/>
    <mergeCell ref="L20:M20"/>
    <mergeCell ref="L10:M10"/>
    <mergeCell ref="L22:M22"/>
    <mergeCell ref="L9:M9"/>
    <mergeCell ref="D8:E8"/>
    <mergeCell ref="B64:C64"/>
    <mergeCell ref="L21:M21"/>
    <mergeCell ref="B7:M7"/>
    <mergeCell ref="L11:M11"/>
    <mergeCell ref="H8:I8"/>
    <mergeCell ref="J8:K8"/>
  </mergeCells>
  <conditionalFormatting sqref="B62">
    <cfRule type="expression" priority="3" dxfId="0" stopIfTrue="1">
      <formula>SUM(C63:C63)=0</formula>
    </cfRule>
  </conditionalFormatting>
  <conditionalFormatting sqref="B63">
    <cfRule type="expression" priority="2" dxfId="2">
      <formula>C63=0</formula>
    </cfRule>
  </conditionalFormatting>
  <conditionalFormatting sqref="B64">
    <cfRule type="expression" priority="1" dxfId="0" stopIfTrue="1">
      <formula>SUM(C65:C65)=0</formula>
    </cfRule>
  </conditionalFormatting>
  <dataValidations count="2">
    <dataValidation sqref="D56 F56 H56 J56 L56" showDropDown="0" showInputMessage="1" showErrorMessage="1" allowBlank="1" type="list">
      <formula1>lstCondition</formula1>
    </dataValidation>
    <dataValidation sqref="C63" showDropDown="0" showInputMessage="1" showErrorMessage="1" allowBlank="1" promptTitle="Adjustment #2" prompt="Input adjustment to calculated value—default link to Deferred Maintenance entered in Cost Approach."/>
  </dataValidations>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H142"/>
  <sheetViews>
    <sheetView tabSelected="1" workbookViewId="0">
      <selection activeCell="H2" sqref="H2"/>
    </sheetView>
  </sheetViews>
  <sheetFormatPr baseColWidth="8" defaultRowHeight="15"/>
  <cols>
    <col width="4.7109375" customWidth="1" style="1439" min="1" max="1"/>
    <col width="30.7109375" customWidth="1" style="1439" min="2" max="2"/>
    <col width="16.7109375" customWidth="1" style="1439" min="3" max="3"/>
    <col width="14.7109375" customWidth="1" style="1439" min="4" max="4"/>
    <col width="42.7109375" customWidth="1" style="1439" min="5" max="5"/>
    <col width="20.7109375" customWidth="1" style="1439" min="6" max="6"/>
  </cols>
  <sheetData>
    <row r="1" ht="21.95" customHeight="1" s="1439">
      <c r="A1" s="1441" t="inlineStr">
        <is>
          <t>MARSHALL AND SWIFT (MVS) COST INPUTS -- June 2024 Edition</t>
        </is>
      </c>
    </row>
    <row r="2" ht="15" customHeight="1" s="1439">
      <c r="A2" s="1440" t="n"/>
      <c r="B2" s="1440" t="inlineStr">
        <is>
          <t>Field</t>
        </is>
      </c>
      <c r="C2" s="1440" t="inlineStr">
        <is>
          <t>Value (Input)</t>
        </is>
      </c>
      <c r="D2" s="1440" t="inlineStr">
        <is>
          <t>Unit</t>
        </is>
      </c>
      <c r="E2" s="1440" t="inlineStr">
        <is>
          <t>MVS Reference / Notes</t>
        </is>
      </c>
      <c r="F2" s="1440" t="inlineStr">
        <is>
          <t>Source</t>
        </is>
      </c>
    </row>
    <row r="3" ht="15.95" customHeight="1" s="1439">
      <c r="A3" s="1442" t="inlineStr">
        <is>
          <t>STEP 1 -- BUILDING IDENTIFICATION</t>
        </is>
      </c>
    </row>
    <row r="4" ht="30" customHeight="1" s="1439">
      <c r="B4" t="inlineStr">
        <is>
          <t>MVS Section</t>
        </is>
      </c>
      <c r="C4" s="1410" t="inlineStr">
        <is>
          <t>Section 14</t>
        </is>
      </c>
      <c r="D4" t="inlineStr">
        <is>
          <t>--</t>
        </is>
      </c>
      <c r="E4" s="1559" t="inlineStr">
        <is>
          <t>Section 14: Garages, Industrials and Warehouses (June 2024 ed.). PRIOR EDITIONS used Section 18 for industrials; June 2024 renumbered. Section 18 in June 2024 = Schools.</t>
        </is>
      </c>
      <c r="F4" t="inlineStr">
        <is>
          <t>MVS Sec.99 p.3</t>
        </is>
      </c>
    </row>
    <row r="5" ht="30" customHeight="1" s="1439">
      <c r="B5" t="inlineStr">
        <is>
          <t>Occupancy Code</t>
        </is>
      </c>
      <c r="C5" s="1410" t="inlineStr">
        <is>
          <t>Occ. 406</t>
        </is>
      </c>
      <c r="D5" t="inlineStr">
        <is>
          <t>--</t>
        </is>
      </c>
      <c r="E5" s="1559" t="inlineStr">
        <is>
          <t>406 = Storage Warehouses. Other codes: 401 Service Garages, 402 Auto Dealerships, 403 Car Wash, 405 Commercial Garages, 407 Mfg. Light, 408 Mfg. Heavy.</t>
        </is>
      </c>
      <c r="F5" t="inlineStr">
        <is>
          <t>MVS Sec.14 p.26</t>
        </is>
      </c>
    </row>
    <row r="6" ht="30" customHeight="1" s="1439">
      <c r="B6" t="inlineStr">
        <is>
          <t>Building Class</t>
        </is>
      </c>
      <c r="C6" s="1410" t="inlineStr">
        <is>
          <t>C</t>
        </is>
      </c>
      <c r="D6" t="inlineStr">
        <is>
          <t>--</t>
        </is>
      </c>
      <c r="E6" s="1559" t="inlineStr">
        <is>
          <t>A = Fire resistive concrete. B = Masonry/steel. C = Combustible frame. D = Wood frame/metal. S = Pre-engineered metal building.</t>
        </is>
      </c>
      <c r="F6" t="inlineStr">
        <is>
          <t>MVS Sec.14</t>
        </is>
      </c>
    </row>
    <row r="7" ht="21.95" customHeight="1" s="1439">
      <c r="B7" t="inlineStr">
        <is>
          <t>Quality</t>
        </is>
      </c>
      <c r="C7" s="1410" t="inlineStr">
        <is>
          <t>Average</t>
        </is>
      </c>
      <c r="D7" t="inlineStr">
        <is>
          <t>--</t>
        </is>
      </c>
      <c r="E7" s="1559" t="inlineStr">
        <is>
          <t>Quality tiers: Low Cost | Average | Good | Excellent. Select relative to class standard.</t>
        </is>
      </c>
      <c r="F7" t="inlineStr">
        <is>
          <t>MVS Sec.14 p.26</t>
        </is>
      </c>
    </row>
    <row r="8" ht="6" customHeight="1" s="1439">
      <c r="B8" s="1433" t="inlineStr">
        <is>
          <t>City / Local Area (for LAM lookup)</t>
        </is>
      </c>
      <c r="C8" s="1434" t="inlineStr">
        <is>
          <t>Colorado Statewide</t>
        </is>
      </c>
      <c r="D8" t="inlineStr">
        <is>
          <t>--</t>
        </is>
      </c>
      <c r="E8" t="inlineStr">
        <is>
          <t>Pick city from dropdown → auto-fills Local Area Multiplier (C19). Adams County: use 'Colorado Statewide' or 'Denver'.</t>
        </is>
      </c>
    </row>
    <row r="9" ht="15.95" customHeight="1" s="1439">
      <c r="A9" s="1442" t="inlineStr">
        <is>
          <t>STEP 2 -- BASE COST AND SPRINKLER COST (per SF)</t>
        </is>
      </c>
    </row>
    <row r="10" ht="18" customHeight="1" s="1439">
      <c r="B10" t="inlineStr">
        <is>
          <t>Building Area (SF) [auto from Property Info]</t>
        </is>
      </c>
      <c r="C10" s="67">
        <f>'Property Info'!B4</f>
        <v/>
      </c>
      <c r="D10" t="inlineStr">
        <is>
          <t>SF</t>
        </is>
      </c>
      <c r="E10" s="1559" t="inlineStr">
        <is>
          <t>Auto-linked from Property Info sheet. Used to interpolate sprinkler cost from TABLE D.</t>
        </is>
      </c>
    </row>
    <row r="11" ht="18" customHeight="1" s="1439">
      <c r="B11" t="inlineStr">
        <is>
          <t>Selected: Section / Class / Quality</t>
        </is>
      </c>
      <c r="C11">
        <f>C4&amp;" / Occ. "&amp;C5&amp;" / Class "&amp;C6&amp;" / "&amp;C7</f>
        <v/>
      </c>
      <c r="D11" t="inlineStr">
        <is>
          <t>--</t>
        </is>
      </c>
      <c r="E11" s="1559" t="inlineStr">
        <is>
          <t>Concatenated from Step 1 selections above -- confirms your lookup inputs.</t>
        </is>
      </c>
    </row>
    <row r="12" ht="5.1" customHeight="1" s="1439"/>
    <row r="13" ht="14.1" customHeight="1" s="1439">
      <c r="B13" s="1438" t="inlineStr">
        <is>
          <t>&gt;&gt;&gt; Base cost auto-calculated from occupancy / class / quality above &lt;&lt;&lt;</t>
        </is>
      </c>
    </row>
    <row r="14" ht="27.95" customHeight="1" s="1439">
      <c r="B14" t="inlineStr">
        <is>
          <t>Base Cost per SF  [-&gt; Cost Approach D6]</t>
        </is>
      </c>
      <c r="C14" s="1828">
        <f>IFERROR(IF(C5="Occ. 406",INDEX($C$42:$C$62,MATCH(C6&amp;"~"&amp;C7,$D$42:$D$62,0)),INDEX($C$116:$C$123,MATCH(C6&amp;"~"&amp;C7,$D$116:$D$123,0))),"")</f>
        <v/>
      </c>
      <c r="D14" t="inlineStr">
        <is>
          <t>$/SF</t>
        </is>
      </c>
      <c r="E14" s="1559" t="inlineStr">
        <is>
          <t>Enter value from TABLE A (Occ.406 Storage Warehouse). Example: Class D / Average = .50/SF. Class D / Good = .00/SF.</t>
        </is>
      </c>
      <c r="F14" t="inlineStr">
        <is>
          <t>MVS Sec.14 p.26 (Feb 2024)</t>
        </is>
      </c>
      <c r="H14" s="1433" t="inlineStr">
        <is>
          <t>Sprinkler Quality</t>
        </is>
      </c>
    </row>
    <row r="15" ht="27.95" customHeight="1" s="1439">
      <c r="B15" t="inlineStr">
        <is>
          <t>Sprinkler Add-On per SF (Wet System)  [-&gt; D7]</t>
        </is>
      </c>
      <c r="C15" s="1828">
        <f>IFERROR(INDEX($B$98:$E$105,MATCH(C10,$A$98:$A$105,1),MATCH(H15,$B$97:$E$97,0)),"")</f>
        <v/>
      </c>
      <c r="D15" t="inlineStr">
        <is>
          <t>$/SF</t>
        </is>
      </c>
      <c r="E15" s="1559" t="inlineStr">
        <is>
          <t>From TABLE D. Interpolate by building area and quality. Example: 40,000 SF / Low Cost = .04/SF. Enter 0 if no sprinklers.</t>
        </is>
      </c>
      <c r="F15" t="inlineStr">
        <is>
          <t>MVS Sec.14 p.37 (Feb 2024)</t>
        </is>
      </c>
      <c r="H15" s="1434" t="inlineStr">
        <is>
          <t>Average</t>
        </is>
      </c>
    </row>
    <row r="16" ht="6" customHeight="1" s="1439"/>
    <row r="17" ht="15.95" customHeight="1" s="1439">
      <c r="A17" s="1442" t="inlineStr">
        <is>
          <t>STEP 3 -- MULTIPLIERS</t>
        </is>
      </c>
    </row>
    <row r="18" ht="30" customHeight="1" s="1439">
      <c r="B18" t="inlineStr">
        <is>
          <t>Current Cost Multiplier  [-&gt; D15]</t>
        </is>
      </c>
      <c r="C18" s="1829">
        <f>IFERROR(INDEX($B$81:$F$81,MATCH("Class "&amp;IF(C6="C-Mill","C",IF(C6="D-Pole","D",C6)),$B$78:$F$78,0)),"")</f>
        <v/>
      </c>
      <c r="D18" t="inlineStr">
        <is>
          <t>multiplier</t>
        </is>
      </c>
      <c r="E18" s="1559" t="inlineStr">
        <is>
          <t>From TABLE C. Section 14 (eff. Feb 2024), Jan 2025 update. EASTERN region (Colorado): A=1.02, B=1.04, C=1.03, D=1.01, S=1.03.</t>
        </is>
      </c>
      <c r="F18" t="inlineStr">
        <is>
          <t>MVS Sec.99 p.3 (Jan 2025)</t>
        </is>
      </c>
    </row>
    <row r="19" ht="30" customHeight="1" s="1439">
      <c r="B19" t="inlineStr">
        <is>
          <t>Local Area Multiplier  [-&gt; D16]</t>
        </is>
      </c>
      <c r="C19" s="1829">
        <f>IFERROR(INDEX($B$86:$F$93,MATCH(C8,$A$86:$A$93,0),MATCH("Class "&amp;IF(C6="C-Mill","C",IF(C6="D-Pole","D",C6)),$B$85:$F$85,0)),"")</f>
        <v/>
      </c>
      <c r="D19" t="inlineStr">
        <is>
          <t>multiplier</t>
        </is>
      </c>
      <c r="E19" s="1559" t="inlineStr">
        <is>
          <t>From TABLE C2 (Colorado cities). Statewide D=1.01. Denver=1.00, Boulder=0.97, Fort Collins=0.99, Greeley=0.99, Pueblo=0.95.</t>
        </is>
      </c>
      <c r="F19" t="inlineStr">
        <is>
          <t>MVS Sec.99 p.7 (Jan 2025)</t>
        </is>
      </c>
    </row>
    <row r="20" ht="21.95" customHeight="1" s="1439">
      <c r="B20" t="inlineStr">
        <is>
          <t>Area Multiplier (avg of 2 size factors)  [-&gt; D17]</t>
        </is>
      </c>
      <c r="C20" s="1830">
        <f>(E20+E21)/2</f>
        <v/>
      </c>
      <c r="D20" s="1415" t="inlineStr">
        <is>
          <t>Area Factor 1 -&gt;</t>
        </is>
      </c>
      <c r="E20" s="1831" t="n">
        <v>0.876</v>
      </c>
      <c r="F20" s="1559" t="inlineStr">
        <is>
          <t>Look up your SF in the size-adjustment table (Sec.14 p.25). Average two bracketing entries.</t>
        </is>
      </c>
    </row>
    <row r="21" ht="18" customHeight="1" s="1439">
      <c r="D21" s="1415" t="inlineStr">
        <is>
          <t>Area Factor 2 -&gt;</t>
        </is>
      </c>
      <c r="E21" s="1831" t="n">
        <v>0.87</v>
      </c>
    </row>
    <row r="22" ht="27.95" customHeight="1" s="1439">
      <c r="B22" t="inlineStr">
        <is>
          <t>Story Height Multiplier  [-&gt; D18]</t>
        </is>
      </c>
      <c r="C22" s="1829">
        <f>IF(G22="",1,IFERROR(VLOOKUP(G22,$A$127:$B$142,2,TRUE),1))</f>
        <v/>
      </c>
      <c r="D22" t="inlineStr">
        <is>
          <t>multiplier</t>
        </is>
      </c>
      <c r="E22" s="1559" t="inlineStr">
        <is>
          <t>From TABLE B. Base = 14 ft. Common: 20ft=1.133, 18ft=1.086, 16ft=1.041, 14ft=1.000, 12ft=0.960, 10ft=0.921. Enter actual clear eave height.</t>
        </is>
      </c>
      <c r="F22" s="1433" t="inlineStr">
        <is>
          <t>Avg Eave/Wall Ht (ft) →</t>
        </is>
      </c>
      <c r="G22" s="1434" t="n">
        <v>40</v>
      </c>
    </row>
    <row r="23" ht="6" customHeight="1" s="1439"/>
    <row r="24" ht="15.95" customHeight="1" s="1439">
      <c r="A24" s="1442" t="inlineStr">
        <is>
          <t>STEP 4 -- SITE IMPROVEMENT RATES</t>
        </is>
      </c>
    </row>
    <row r="25" ht="21.95" customHeight="1" s="1439">
      <c r="B25" t="inlineStr">
        <is>
          <t>Asphalt Paving per SF  [-&gt; D22]</t>
        </is>
      </c>
      <c r="C25" s="1832" t="n">
        <v>3.1</v>
      </c>
      <c r="D25" t="inlineStr">
        <is>
          <t>$/SF</t>
        </is>
      </c>
      <c r="E25" s="1559" t="inlineStr">
        <is>
          <t>Sec.66 p.1 (Dec 2023). Large areas &gt;3,000 SF: 4-inch asphalt .92-.51/SF, avg .10/SF.</t>
        </is>
      </c>
      <c r="F25" t="inlineStr">
        <is>
          <t>MVS Sec.66 p.1 (Dec 2023)</t>
        </is>
      </c>
    </row>
    <row r="26" ht="21.95" customHeight="1" s="1439">
      <c r="B26" t="inlineStr">
        <is>
          <t>Concrete Paving per SF  [-&gt; D24]</t>
        </is>
      </c>
      <c r="C26" s="1832" t="n">
        <v>5.51</v>
      </c>
      <c r="D26" t="inlineStr">
        <is>
          <t>$/SF</t>
        </is>
      </c>
      <c r="E26" s="1559" t="inlineStr">
        <is>
          <t>Sec.66 p.1 (Dec 2023). Large areas: 6-inch concrete .66-.71/SF, avg .51/SF.</t>
        </is>
      </c>
      <c r="F26" t="inlineStr">
        <is>
          <t>MVS Sec.66 p.1 (Dec 2023)</t>
        </is>
      </c>
    </row>
    <row r="27" ht="21.95" customHeight="1" s="1439">
      <c r="B27" t="inlineStr">
        <is>
          <t>Parking Striping per Space  [-&gt; D23]</t>
        </is>
      </c>
      <c r="C27" s="1832" t="n">
        <v>20</v>
      </c>
      <c r="D27" t="inlineStr">
        <is>
          <t>$/space</t>
        </is>
      </c>
      <c r="E27" s="1559" t="inlineStr">
        <is>
          <t>Market-derived. No MVS table. Typical range -/space. Adjust for painted vs. thermoplastic.</t>
        </is>
      </c>
      <c r="F27" t="inlineStr">
        <is>
          <t>Market data</t>
        </is>
      </c>
    </row>
    <row r="28" ht="21.95" customHeight="1" s="1439">
      <c r="B28" t="inlineStr">
        <is>
          <t>Landscaping per SF (lot area)  [-&gt; D27]</t>
        </is>
      </c>
      <c r="C28" s="1832" t="n">
        <v>5.5</v>
      </c>
      <c r="D28" t="inlineStr">
        <is>
          <t>$/SF lot</t>
        </is>
      </c>
      <c r="E28" s="1559" t="inlineStr">
        <is>
          <t>Sec.66 landscaping or market estimate. Applied to landscaped lot area. Adjust for density of planting and irrigation.</t>
        </is>
      </c>
      <c r="F28" t="inlineStr">
        <is>
          <t>MVS Sec.66 / market</t>
        </is>
      </c>
    </row>
    <row r="29" ht="6" customHeight="1" s="1439"/>
    <row r="30" ht="15.95" customHeight="1" s="1439">
      <c r="A30" s="1442" t="inlineStr">
        <is>
          <t>STEP 5 -- COST ADJUSTMENTS</t>
        </is>
      </c>
    </row>
    <row r="31" ht="21.95" customHeight="1" s="1439">
      <c r="B31" t="inlineStr">
        <is>
          <t>Indirect Costs %  [-&gt; C30]</t>
        </is>
      </c>
      <c r="C31" s="1833" t="n">
        <v>0.1</v>
      </c>
      <c r="D31" t="inlineStr">
        <is>
          <t>% of construction</t>
        </is>
      </c>
      <c r="E31" s="1559" t="inlineStr">
        <is>
          <t>Financing, permits, professional fees, insurance during construction. Typical 8%-15%. MVS default ~10%.</t>
        </is>
      </c>
      <c r="F31" t="inlineStr">
        <is>
          <t>MVS / market</t>
        </is>
      </c>
    </row>
    <row r="32" ht="21.95" customHeight="1" s="1439">
      <c r="B32" t="inlineStr">
        <is>
          <t>Entrepreneurial Profit %  [-&gt; C32]</t>
        </is>
      </c>
      <c r="C32" s="1833" t="n">
        <v>0.15</v>
      </c>
      <c r="D32" t="inlineStr">
        <is>
          <t>% of (constr+indirect)</t>
        </is>
      </c>
      <c r="E32" s="1559" t="inlineStr">
        <is>
          <t>Developer expected return above cost. Typical 10%-20%. MVS default ~15%. Adjust for market conditions.</t>
        </is>
      </c>
      <c r="F32" t="inlineStr">
        <is>
          <t>MVS / market</t>
        </is>
      </c>
    </row>
    <row r="33" ht="6" customHeight="1" s="1439"/>
    <row r="34" ht="15.95" customHeight="1" s="1439">
      <c r="A34" s="1442" t="inlineStr">
        <is>
          <t>STEP 6 -- DEPRECIATION OVERRIDES  (enter 0 if none)</t>
        </is>
      </c>
    </row>
    <row r="35" ht="21.95" customHeight="1" s="1439">
      <c r="B35" t="inlineStr">
        <is>
          <t>Curable Deferred Maintenance ($)  [-&gt; F38]</t>
        </is>
      </c>
      <c r="C35" s="1834" t="n">
        <v>0</v>
      </c>
      <c r="D35" t="inlineStr">
        <is>
          <t>$</t>
        </is>
      </c>
      <c r="E35" s="1559" t="inlineStr">
        <is>
          <t>Dollar cost to cure deferred items (roof, HVAC, etc.). Enter positive number. 0 = no curable items.</t>
        </is>
      </c>
      <c r="F35" t="inlineStr">
        <is>
          <t>Inspection / market</t>
        </is>
      </c>
    </row>
    <row r="36" ht="21.95" customHeight="1" s="1439">
      <c r="B36" t="inlineStr">
        <is>
          <t>Functional Obsolescence %  [-&gt; C43]</t>
        </is>
      </c>
      <c r="C36" s="1833" t="n">
        <v>0</v>
      </c>
      <c r="D36" t="inlineStr">
        <is>
          <t>% of RCN</t>
        </is>
      </c>
      <c r="E36" s="1559" t="inlineStr">
        <is>
          <t>Loss from design deficiencies (excess bays, substandard ceiling height, etc.). 0 = none.</t>
        </is>
      </c>
      <c r="F36" t="inlineStr">
        <is>
          <t>Market analysis</t>
        </is>
      </c>
    </row>
    <row r="37" ht="21.95" customHeight="1" s="1439">
      <c r="B37" t="inlineStr">
        <is>
          <t>External Obsolescence %  [-&gt; C44]</t>
        </is>
      </c>
      <c r="C37" s="1833" t="n">
        <v>0</v>
      </c>
      <c r="D37" t="inlineStr">
        <is>
          <t>% of RCN</t>
        </is>
      </c>
      <c r="E37" s="1559" t="inlineStr">
        <is>
          <t>Loss from external factors (market, economic, locational). 0 = none.</t>
        </is>
      </c>
      <c r="F37" t="inlineStr">
        <is>
          <t>Market analysis</t>
        </is>
      </c>
    </row>
    <row r="38" ht="9.949999999999999" customHeight="1" s="1439"/>
    <row r="39" ht="18" customHeight="1" s="1439">
      <c r="A39" s="1443" t="inlineStr">
        <is>
          <t>MVS QUICK-REFERENCE TABLES -- DO NOT EDIT  (sourced from MVS June 2024 edition)</t>
        </is>
      </c>
    </row>
    <row r="40" ht="15.95" customHeight="1" s="1439">
      <c r="A40" s="1440" t="inlineStr">
        <is>
          <t>TABLE A -- Occ. 406: Storage Warehouses | Base Cost per SF | MVS Sec.14, p.26 (Feb 2024)</t>
        </is>
      </c>
    </row>
    <row r="41" ht="14.1" customHeight="1" s="1439">
      <c r="A41" s="1418" t="inlineStr">
        <is>
          <t>Class</t>
        </is>
      </c>
      <c r="B41" s="1418" t="inlineStr">
        <is>
          <t>Quality</t>
        </is>
      </c>
      <c r="C41" s="1418" t="inlineStr">
        <is>
          <t>$/SF</t>
        </is>
      </c>
      <c r="D41" s="1437" t="inlineStr">
        <is>
          <t>Key (auto)</t>
        </is>
      </c>
      <c r="E41" s="1418" t="n"/>
      <c r="F41" s="1418" t="n"/>
    </row>
    <row r="42" ht="12.95" customHeight="1" s="1439">
      <c r="A42" s="1419" t="inlineStr">
        <is>
          <t>A</t>
        </is>
      </c>
      <c r="B42" s="1419" t="inlineStr">
        <is>
          <t>Good</t>
        </is>
      </c>
      <c r="C42" s="1691" t="n">
        <v>137</v>
      </c>
      <c r="D42" t="inlineStr">
        <is>
          <t>A~Good</t>
        </is>
      </c>
    </row>
    <row r="43" ht="12.95" customHeight="1" s="1439">
      <c r="A43" s="1419" t="inlineStr">
        <is>
          <t>A</t>
        </is>
      </c>
      <c r="B43" s="1419" t="inlineStr">
        <is>
          <t>Average</t>
        </is>
      </c>
      <c r="C43" s="1691" t="n">
        <v>101</v>
      </c>
      <c r="D43" t="inlineStr">
        <is>
          <t>A~Average</t>
        </is>
      </c>
    </row>
    <row r="44" ht="12.95" customHeight="1" s="1439">
      <c r="A44" s="1419" t="inlineStr">
        <is>
          <t>A</t>
        </is>
      </c>
      <c r="B44" s="1419" t="inlineStr">
        <is>
          <t>Low Cost</t>
        </is>
      </c>
      <c r="C44" s="1691" t="n">
        <v>79.5</v>
      </c>
      <c r="D44" t="inlineStr">
        <is>
          <t>A~Low Cost</t>
        </is>
      </c>
    </row>
    <row r="45" ht="12.95" customHeight="1" s="1439">
      <c r="A45" s="1419" t="inlineStr">
        <is>
          <t>B</t>
        </is>
      </c>
      <c r="B45" s="1419" t="inlineStr">
        <is>
          <t>Good</t>
        </is>
      </c>
      <c r="C45" s="1691" t="n">
        <v>121</v>
      </c>
      <c r="D45" t="inlineStr">
        <is>
          <t>B~Good</t>
        </is>
      </c>
    </row>
    <row r="46" ht="12.95" customHeight="1" s="1439">
      <c r="A46" s="1419" t="inlineStr">
        <is>
          <t>B</t>
        </is>
      </c>
      <c r="B46" s="1419" t="inlineStr">
        <is>
          <t>Average</t>
        </is>
      </c>
      <c r="C46" s="1691" t="n">
        <v>88</v>
      </c>
      <c r="D46" t="inlineStr">
        <is>
          <t>B~Average</t>
        </is>
      </c>
    </row>
    <row r="47" ht="12.95" customHeight="1" s="1439">
      <c r="A47" s="1419" t="inlineStr">
        <is>
          <t>B</t>
        </is>
      </c>
      <c r="B47" s="1419" t="inlineStr">
        <is>
          <t>Low Cost</t>
        </is>
      </c>
      <c r="C47" s="1691" t="n">
        <v>69</v>
      </c>
      <c r="D47" t="inlineStr">
        <is>
          <t>B~Low Cost</t>
        </is>
      </c>
    </row>
    <row r="48" ht="12.95" customHeight="1" s="1439">
      <c r="A48" s="1419" t="inlineStr">
        <is>
          <t>C</t>
        </is>
      </c>
      <c r="B48" s="1419" t="inlineStr">
        <is>
          <t>Excellent</t>
        </is>
      </c>
      <c r="C48" s="1691" t="n">
        <v>134</v>
      </c>
      <c r="D48" t="inlineStr">
        <is>
          <t>C~Excellent</t>
        </is>
      </c>
    </row>
    <row r="49" ht="12.95" customHeight="1" s="1439">
      <c r="A49" s="1419" t="inlineStr">
        <is>
          <t>C</t>
        </is>
      </c>
      <c r="B49" s="1419" t="inlineStr">
        <is>
          <t>Good</t>
        </is>
      </c>
      <c r="C49" s="1691" t="n">
        <v>86.5</v>
      </c>
      <c r="D49" t="inlineStr">
        <is>
          <t>C~Good</t>
        </is>
      </c>
    </row>
    <row r="50" ht="12.95" customHeight="1" s="1439">
      <c r="A50" s="1419" t="inlineStr">
        <is>
          <t>C</t>
        </is>
      </c>
      <c r="B50" s="1419" t="inlineStr">
        <is>
          <t>Average</t>
        </is>
      </c>
      <c r="C50" s="1691" t="n">
        <v>61</v>
      </c>
      <c r="D50" t="inlineStr">
        <is>
          <t>C~Average</t>
        </is>
      </c>
    </row>
    <row r="51" ht="12.95" customHeight="1" s="1439">
      <c r="A51" s="1419" t="inlineStr">
        <is>
          <t>C</t>
        </is>
      </c>
      <c r="B51" s="1419" t="inlineStr">
        <is>
          <t>Low Cost</t>
        </is>
      </c>
      <c r="C51" s="1691" t="n">
        <v>43</v>
      </c>
      <c r="D51" t="inlineStr">
        <is>
          <t>C~Low Cost</t>
        </is>
      </c>
    </row>
    <row r="52" ht="12.95" customHeight="1" s="1439">
      <c r="A52" s="1419" t="inlineStr">
        <is>
          <t>C-Mill</t>
        </is>
      </c>
      <c r="B52" s="1419" t="inlineStr">
        <is>
          <t>Good</t>
        </is>
      </c>
      <c r="C52" s="1691" t="n">
        <v>119</v>
      </c>
      <c r="D52" t="inlineStr">
        <is>
          <t>C-Mill~Good</t>
        </is>
      </c>
    </row>
    <row r="53" ht="12.95" customHeight="1" s="1439">
      <c r="A53" s="1419" t="inlineStr">
        <is>
          <t>C-Mill</t>
        </is>
      </c>
      <c r="B53" s="1419" t="inlineStr">
        <is>
          <t>Average</t>
        </is>
      </c>
      <c r="C53" s="1691" t="n">
        <v>82</v>
      </c>
      <c r="D53" t="inlineStr">
        <is>
          <t>C-Mill~Average</t>
        </is>
      </c>
    </row>
    <row r="54" ht="12.95" customHeight="1" s="1439">
      <c r="A54" s="1419" t="inlineStr">
        <is>
          <t>D</t>
        </is>
      </c>
      <c r="B54" s="1419" t="inlineStr">
        <is>
          <t>Good</t>
        </is>
      </c>
      <c r="C54" s="1691" t="n">
        <v>78</v>
      </c>
      <c r="D54" t="inlineStr">
        <is>
          <t>D~Good</t>
        </is>
      </c>
    </row>
    <row r="55" ht="12.95" customHeight="1" s="1439">
      <c r="A55" s="1419" t="inlineStr">
        <is>
          <t>D</t>
        </is>
      </c>
      <c r="B55" s="1419" t="inlineStr">
        <is>
          <t>Average</t>
        </is>
      </c>
      <c r="C55" s="1691" t="n">
        <v>54.5</v>
      </c>
      <c r="D55" t="inlineStr">
        <is>
          <t>D~Average</t>
        </is>
      </c>
    </row>
    <row r="56" ht="12.95" customHeight="1" s="1439">
      <c r="A56" s="1419" t="inlineStr">
        <is>
          <t>D</t>
        </is>
      </c>
      <c r="B56" s="1419" t="inlineStr">
        <is>
          <t>Low Cost</t>
        </is>
      </c>
      <c r="C56" s="1691" t="n">
        <v>38.75</v>
      </c>
      <c r="D56" t="inlineStr">
        <is>
          <t>D~Low Cost</t>
        </is>
      </c>
    </row>
    <row r="57" ht="12.95" customHeight="1" s="1439">
      <c r="A57" s="1419" t="inlineStr">
        <is>
          <t>D-Pole</t>
        </is>
      </c>
      <c r="B57" s="1419" t="inlineStr">
        <is>
          <t>Average</t>
        </is>
      </c>
      <c r="C57" s="1691" t="n">
        <v>48</v>
      </c>
      <c r="D57" t="inlineStr">
        <is>
          <t>D-Pole~Average</t>
        </is>
      </c>
    </row>
    <row r="58" ht="12.95" customHeight="1" s="1439">
      <c r="A58" s="1419" t="inlineStr">
        <is>
          <t>D-Pole</t>
        </is>
      </c>
      <c r="B58" s="1419" t="inlineStr">
        <is>
          <t>Low Cost</t>
        </is>
      </c>
      <c r="C58" s="1691" t="n">
        <v>34</v>
      </c>
      <c r="D58" t="inlineStr">
        <is>
          <t>D-Pole~Low Cost</t>
        </is>
      </c>
    </row>
    <row r="59" ht="12.95" customHeight="1" s="1439">
      <c r="A59" s="1419" t="inlineStr">
        <is>
          <t>S</t>
        </is>
      </c>
      <c r="B59" s="1419" t="inlineStr">
        <is>
          <t>Excellent</t>
        </is>
      </c>
      <c r="C59" s="1691" t="n">
        <v>125</v>
      </c>
      <c r="D59" t="inlineStr">
        <is>
          <t>S~Excellent</t>
        </is>
      </c>
    </row>
    <row r="60" ht="12.95" customHeight="1" s="1439">
      <c r="A60" s="1419" t="inlineStr">
        <is>
          <t>S</t>
        </is>
      </c>
      <c r="B60" s="1419" t="inlineStr">
        <is>
          <t>Good</t>
        </is>
      </c>
      <c r="C60" s="1691" t="n">
        <v>79.5</v>
      </c>
      <c r="D60" t="inlineStr">
        <is>
          <t>S~Good</t>
        </is>
      </c>
    </row>
    <row r="61" ht="12.95" customHeight="1" s="1439">
      <c r="A61" s="1419" t="inlineStr">
        <is>
          <t>S</t>
        </is>
      </c>
      <c r="B61" s="1419" t="inlineStr">
        <is>
          <t>Average</t>
        </is>
      </c>
      <c r="C61" s="1691" t="n">
        <v>55.5</v>
      </c>
      <c r="D61" t="inlineStr">
        <is>
          <t>S~Average</t>
        </is>
      </c>
    </row>
    <row r="62" ht="12.95" customHeight="1" s="1439">
      <c r="A62" s="1419" t="inlineStr">
        <is>
          <t>S</t>
        </is>
      </c>
      <c r="B62" s="1419" t="inlineStr">
        <is>
          <t>Low Cost</t>
        </is>
      </c>
      <c r="C62" s="1691" t="n">
        <v>38.75</v>
      </c>
      <c r="D62" t="inlineStr">
        <is>
          <t>S~Low Cost</t>
        </is>
      </c>
    </row>
    <row r="63" ht="8.1" customHeight="1" s="1439"/>
    <row r="64" ht="15.95" customHeight="1" s="1439">
      <c r="A64" s="1440" t="inlineStr">
        <is>
          <t>TABLE B -- Story Height Multipliers | Base = 14 ft | MVS Sec.14, p.39 (Feb 2024)</t>
        </is>
      </c>
    </row>
    <row r="65" ht="14.1" customHeight="1" s="1439">
      <c r="A65" s="1418" t="inlineStr">
        <is>
          <t>Ht (ft)</t>
        </is>
      </c>
      <c r="B65" s="1418" t="inlineStr">
        <is>
          <t>Multiplier</t>
        </is>
      </c>
      <c r="C65" s="1418" t="n"/>
      <c r="D65" s="1418" t="inlineStr">
        <is>
          <t>Ht (ft)</t>
        </is>
      </c>
      <c r="E65" s="1418" t="inlineStr">
        <is>
          <t>Multiplier</t>
        </is>
      </c>
      <c r="F65" s="1418" t="n"/>
    </row>
    <row r="66" ht="12.95" customHeight="1" s="1439">
      <c r="A66" s="1419" t="n">
        <v>8</v>
      </c>
      <c r="B66" t="n">
        <v>0.885</v>
      </c>
      <c r="D66" s="1419" t="n">
        <v>20</v>
      </c>
      <c r="E66" s="1835" t="n">
        <v>1.133</v>
      </c>
    </row>
    <row r="67" ht="12.95" customHeight="1" s="1439">
      <c r="A67" s="1419" t="n">
        <v>10</v>
      </c>
      <c r="B67" t="n">
        <v>0.921</v>
      </c>
      <c r="D67" s="1419" t="n">
        <v>22</v>
      </c>
      <c r="E67" s="1835" t="n">
        <v>1.181</v>
      </c>
    </row>
    <row r="68" ht="12.95" customHeight="1" s="1439">
      <c r="A68" s="1419" t="n">
        <v>12</v>
      </c>
      <c r="B68" t="n">
        <v>0.96</v>
      </c>
      <c r="D68" s="1419" t="n">
        <v>24</v>
      </c>
      <c r="E68" s="1835" t="n">
        <v>1.231</v>
      </c>
    </row>
    <row r="69" ht="12.95" customHeight="1" s="1439">
      <c r="A69" s="1419" t="n">
        <v>14</v>
      </c>
      <c r="B69" t="inlineStr">
        <is>
          <t>1.000 (BASE)</t>
        </is>
      </c>
      <c r="D69" s="1419" t="n">
        <v>26</v>
      </c>
      <c r="E69" s="1835" t="n">
        <v>1.281</v>
      </c>
    </row>
    <row r="70" ht="12.95" customHeight="1" s="1439">
      <c r="A70" s="1419" t="n">
        <v>16</v>
      </c>
      <c r="B70" t="n">
        <v>1.041</v>
      </c>
      <c r="D70" s="1419" t="n">
        <v>28</v>
      </c>
      <c r="E70" s="1835" t="n">
        <v>1.331</v>
      </c>
    </row>
    <row r="71" ht="12.95" customHeight="1" s="1439">
      <c r="A71" s="1419" t="n">
        <v>18</v>
      </c>
      <c r="B71" t="n">
        <v>1.086</v>
      </c>
      <c r="D71" s="1419" t="n">
        <v>30</v>
      </c>
      <c r="E71" s="1835" t="n">
        <v>1.382</v>
      </c>
    </row>
    <row r="72" ht="12.95" customHeight="1" s="1439">
      <c r="D72" s="1419" t="n">
        <v>35</v>
      </c>
      <c r="E72" s="1835" t="n">
        <v>1.515</v>
      </c>
    </row>
    <row r="73" ht="12.95" customHeight="1" s="1439">
      <c r="D73" s="1419" t="n">
        <v>40</v>
      </c>
      <c r="E73" s="1835" t="n">
        <v>1.65</v>
      </c>
    </row>
    <row r="74" ht="12.95" customHeight="1" s="1439">
      <c r="D74" s="1419" t="n">
        <v>45</v>
      </c>
      <c r="E74" s="1835" t="n">
        <v>1.788</v>
      </c>
    </row>
    <row r="75" ht="12.95" customHeight="1" s="1439">
      <c r="D75" s="1419" t="n">
        <v>50</v>
      </c>
      <c r="E75" s="1835" t="n">
        <v>1.93</v>
      </c>
    </row>
    <row r="76" ht="8.1" customHeight="1" s="1439"/>
    <row r="77" ht="15.95" customHeight="1" s="1439">
      <c r="A77" s="1440" t="inlineStr">
        <is>
          <t>TABLE C -- Current Cost Multipliers | Sec.14 (eff. Feb 2024), Jan 2025 update | MVS Sec.99, p.3</t>
        </is>
      </c>
    </row>
    <row r="78" ht="14.1" customHeight="1" s="1439">
      <c r="A78" s="1418" t="inlineStr">
        <is>
          <t>Region</t>
        </is>
      </c>
      <c r="B78" s="1418" t="inlineStr">
        <is>
          <t>Class A</t>
        </is>
      </c>
      <c r="C78" s="1418" t="inlineStr">
        <is>
          <t>Class B</t>
        </is>
      </c>
      <c r="D78" s="1418" t="inlineStr">
        <is>
          <t>Class C</t>
        </is>
      </c>
      <c r="E78" s="1418" t="inlineStr">
        <is>
          <t>Class D</t>
        </is>
      </c>
      <c r="F78" s="1418" t="inlineStr">
        <is>
          <t>Class S</t>
        </is>
      </c>
    </row>
    <row r="79" ht="12.95" customHeight="1" s="1439">
      <c r="A79" s="1419" t="inlineStr">
        <is>
          <t>WESTERN</t>
        </is>
      </c>
      <c r="B79" s="1835" t="n">
        <v>1.07</v>
      </c>
      <c r="C79" s="1835" t="n">
        <v>1.04</v>
      </c>
      <c r="D79" s="1835" t="n">
        <v>1.06</v>
      </c>
      <c r="E79" s="1835" t="n">
        <v>1.05</v>
      </c>
      <c r="F79" s="1835" t="n">
        <v>1.04</v>
      </c>
    </row>
    <row r="80" ht="12.95" customHeight="1" s="1439">
      <c r="A80" s="1419" t="inlineStr">
        <is>
          <t>CENTRAL</t>
        </is>
      </c>
      <c r="B80" s="1835" t="n">
        <v>1</v>
      </c>
      <c r="C80" s="1835" t="n">
        <v>0.99</v>
      </c>
      <c r="D80" s="1835" t="n">
        <v>0.99</v>
      </c>
      <c r="E80" s="1835" t="n">
        <v>0.99</v>
      </c>
      <c r="F80" s="1835" t="n">
        <v>0.99</v>
      </c>
    </row>
    <row r="81" ht="12.95" customHeight="1" s="1439">
      <c r="A81" s="1419" t="inlineStr">
        <is>
          <t>EASTERN</t>
        </is>
      </c>
      <c r="B81" s="1835" t="n">
        <v>1.02</v>
      </c>
      <c r="C81" s="1835" t="n">
        <v>1.04</v>
      </c>
      <c r="D81" s="1835" t="n">
        <v>1.03</v>
      </c>
      <c r="E81" s="1835" t="n">
        <v>1.01</v>
      </c>
      <c r="F81" s="1835" t="n">
        <v>1.03</v>
      </c>
    </row>
    <row r="82" ht="12.95" customHeight="1" s="1439">
      <c r="A82" s="1438" t="inlineStr">
        <is>
          <t>NOTE: Colorado = EASTERN region for current cost multiplier purposes.</t>
        </is>
      </c>
    </row>
    <row r="83" ht="8.1" customHeight="1" s="1439"/>
    <row r="84" ht="15.95" customHeight="1" s="1439">
      <c r="A84" s="1440" t="inlineStr">
        <is>
          <t>TABLE C2 -- Colorado Local Area Multipliers | Jan 2025 update | MVS Sec.99, p.7</t>
        </is>
      </c>
    </row>
    <row r="85" ht="14.1" customHeight="1" s="1439">
      <c r="A85" s="1418" t="inlineStr">
        <is>
          <t>City / Area</t>
        </is>
      </c>
      <c r="B85" s="1418" t="inlineStr">
        <is>
          <t>Class A</t>
        </is>
      </c>
      <c r="C85" s="1418" t="inlineStr">
        <is>
          <t>Class B</t>
        </is>
      </c>
      <c r="D85" s="1418" t="inlineStr">
        <is>
          <t>Class C</t>
        </is>
      </c>
      <c r="E85" s="1418" t="inlineStr">
        <is>
          <t>Class D</t>
        </is>
      </c>
      <c r="F85" s="1418" t="inlineStr">
        <is>
          <t>Class S</t>
        </is>
      </c>
    </row>
    <row r="86" ht="12.95" customHeight="1" s="1439">
      <c r="A86" s="1419" t="inlineStr">
        <is>
          <t>Colorado Statewide</t>
        </is>
      </c>
      <c r="B86" s="1835" t="n">
        <v>1</v>
      </c>
      <c r="C86" s="1835" t="n">
        <v>1.02</v>
      </c>
      <c r="D86" s="1835" t="n">
        <v>1.02</v>
      </c>
      <c r="E86" s="1835" t="n">
        <v>1.01</v>
      </c>
      <c r="F86" s="1835" t="n">
        <v>1.02</v>
      </c>
    </row>
    <row r="87" ht="12.95" customHeight="1" s="1439">
      <c r="A87" s="1419" t="inlineStr">
        <is>
          <t>Denver</t>
        </is>
      </c>
      <c r="B87" s="1835" t="n">
        <v>1.01</v>
      </c>
      <c r="C87" s="1835" t="n">
        <v>1</v>
      </c>
      <c r="D87" s="1835" t="n">
        <v>1</v>
      </c>
      <c r="E87" s="1835" t="n">
        <v>1</v>
      </c>
      <c r="F87" s="1835" t="n">
        <v>1.03</v>
      </c>
    </row>
    <row r="88" ht="12.95" customHeight="1" s="1439">
      <c r="A88" s="1419" t="inlineStr">
        <is>
          <t>Boulder</t>
        </is>
      </c>
      <c r="B88" s="1835" t="n">
        <v>0.98</v>
      </c>
      <c r="C88" s="1835" t="n">
        <v>0.98</v>
      </c>
      <c r="D88" s="1835" t="n">
        <v>0.98</v>
      </c>
      <c r="E88" s="1835" t="n">
        <v>0.97</v>
      </c>
      <c r="F88" s="1835" t="n">
        <v>0.99</v>
      </c>
    </row>
    <row r="89" ht="12.95" customHeight="1" s="1439">
      <c r="A89" s="1419" t="inlineStr">
        <is>
          <t>Colorado Springs</t>
        </is>
      </c>
      <c r="B89" s="1835" t="n">
        <v>0.98</v>
      </c>
      <c r="C89" s="1835" t="n">
        <v>0.99</v>
      </c>
      <c r="D89" s="1835" t="n">
        <v>0.96</v>
      </c>
      <c r="E89" s="1835" t="n">
        <v>0.98</v>
      </c>
      <c r="F89" s="1835" t="n">
        <v>1</v>
      </c>
    </row>
    <row r="90" ht="12.95" customHeight="1" s="1439">
      <c r="A90" s="1419" t="inlineStr">
        <is>
          <t>Fort Collins</t>
        </is>
      </c>
      <c r="B90" s="1835" t="n">
        <v>0.98</v>
      </c>
      <c r="C90" s="1835" t="n">
        <v>1</v>
      </c>
      <c r="D90" s="1835" t="n">
        <v>1.01</v>
      </c>
      <c r="E90" s="1835" t="n">
        <v>0.99</v>
      </c>
      <c r="F90" s="1835" t="n">
        <v>1.01</v>
      </c>
    </row>
    <row r="91" ht="12.95" customHeight="1" s="1439">
      <c r="A91" s="1419" t="inlineStr">
        <is>
          <t>Grand Junction</t>
        </is>
      </c>
      <c r="B91" s="1835" t="n">
        <v>0.98</v>
      </c>
      <c r="C91" s="1835" t="n">
        <v>0.99</v>
      </c>
      <c r="D91" s="1835" t="n">
        <v>1</v>
      </c>
      <c r="E91" s="1835" t="n">
        <v>1</v>
      </c>
      <c r="F91" s="1835" t="n">
        <v>1.02</v>
      </c>
    </row>
    <row r="92" ht="12.95" customHeight="1" s="1439">
      <c r="A92" s="1419" t="inlineStr">
        <is>
          <t>Greeley</t>
        </is>
      </c>
      <c r="B92" s="1835" t="n">
        <v>0.98</v>
      </c>
      <c r="C92" s="1835" t="n">
        <v>1</v>
      </c>
      <c r="D92" s="1835" t="n">
        <v>1.01</v>
      </c>
      <c r="E92" s="1835" t="n">
        <v>0.99</v>
      </c>
      <c r="F92" s="1835" t="n">
        <v>0.99</v>
      </c>
    </row>
    <row r="93" ht="12.95" customHeight="1" s="1439">
      <c r="A93" s="1419" t="inlineStr">
        <is>
          <t>Pueblo</t>
        </is>
      </c>
      <c r="B93" s="1835" t="n">
        <v>0.95</v>
      </c>
      <c r="C93" s="1835" t="n">
        <v>0.95</v>
      </c>
      <c r="D93" s="1835" t="n">
        <v>0.95</v>
      </c>
      <c r="E93" s="1835" t="n">
        <v>0.95</v>
      </c>
      <c r="F93" s="1835" t="n">
        <v>0.95</v>
      </c>
    </row>
    <row r="94" ht="12.95" customHeight="1" s="1439">
      <c r="A94" s="1438" t="inlineStr">
        <is>
          <t>NOTE: Adams County -- use Colorado Statewide (1.01 for Class D) or Denver (1.00 for Class D). Confirm with county practice.</t>
        </is>
      </c>
    </row>
    <row r="95" ht="8.1" customHeight="1" s="1439"/>
    <row r="96" ht="15.95" customHeight="1" s="1439">
      <c r="A96" s="1440" t="inlineStr">
        <is>
          <t>TABLE D -- Wet Sprinkler System Add-On per SF | MVS Sec.14, p.37 (Feb 2024)</t>
        </is>
      </c>
    </row>
    <row r="97" ht="14.1" customHeight="1" s="1439">
      <c r="A97" s="1418" t="inlineStr">
        <is>
          <t>Coverage SF</t>
        </is>
      </c>
      <c r="B97" s="1418" t="inlineStr">
        <is>
          <t>Low Cost</t>
        </is>
      </c>
      <c r="C97" s="1418" t="inlineStr">
        <is>
          <t>Average</t>
        </is>
      </c>
      <c r="D97" s="1418" t="inlineStr">
        <is>
          <t>Good</t>
        </is>
      </c>
      <c r="E97" s="1418" t="inlineStr">
        <is>
          <t>Excellent</t>
        </is>
      </c>
      <c r="F97" s="1418" t="n"/>
    </row>
    <row r="98" ht="12.95" customHeight="1" s="1439">
      <c r="A98" s="67" t="n">
        <v>5000</v>
      </c>
      <c r="B98" s="1691" t="n">
        <v>4.17</v>
      </c>
      <c r="C98" s="1691" t="n">
        <v>5.02</v>
      </c>
      <c r="D98" s="1691" t="n">
        <v>6.05</v>
      </c>
      <c r="E98" s="1691" t="n">
        <v>7.28</v>
      </c>
    </row>
    <row r="99" ht="12.95" customHeight="1" s="1439">
      <c r="A99" s="67" t="n">
        <v>10000</v>
      </c>
      <c r="B99" s="1691" t="n">
        <v>3.77</v>
      </c>
      <c r="C99" s="1691" t="n">
        <v>4.52</v>
      </c>
      <c r="D99" s="1691" t="n">
        <v>5.41</v>
      </c>
      <c r="E99" s="1691" t="n">
        <v>6.48</v>
      </c>
    </row>
    <row r="100" ht="12.95" customHeight="1" s="1439">
      <c r="A100" s="67" t="n">
        <v>20000</v>
      </c>
      <c r="B100" s="1691" t="n">
        <v>3.37</v>
      </c>
      <c r="C100" s="1691" t="n">
        <v>4.02</v>
      </c>
      <c r="D100" s="1691" t="n">
        <v>4.78</v>
      </c>
      <c r="E100" s="1691" t="n">
        <v>5.7</v>
      </c>
    </row>
    <row r="101" ht="12.95" customHeight="1" s="1439">
      <c r="A101" s="67" t="n">
        <v>40000</v>
      </c>
      <c r="B101" s="1691" t="n">
        <v>3.04</v>
      </c>
      <c r="C101" s="1691" t="n">
        <v>3.6</v>
      </c>
      <c r="D101" s="1691" t="n">
        <v>4.27</v>
      </c>
      <c r="E101" s="1691" t="n">
        <v>5.06</v>
      </c>
    </row>
    <row r="102" ht="12.95" customHeight="1" s="1439">
      <c r="A102" s="67" t="n">
        <v>60000</v>
      </c>
      <c r="B102" s="1691" t="n">
        <v>2.87</v>
      </c>
      <c r="C102" s="1691" t="n">
        <v>3.39</v>
      </c>
      <c r="D102" s="1691" t="n">
        <v>3.99</v>
      </c>
      <c r="E102" s="1691" t="n">
        <v>4.71</v>
      </c>
    </row>
    <row r="103" ht="12.95" customHeight="1" s="1439">
      <c r="A103" s="67" t="n">
        <v>100000</v>
      </c>
      <c r="B103" s="1691" t="n">
        <v>2.66</v>
      </c>
      <c r="C103" s="1691" t="n">
        <v>3.13</v>
      </c>
      <c r="D103" s="1691" t="n">
        <v>3.68</v>
      </c>
      <c r="E103" s="1691" t="n">
        <v>4.32</v>
      </c>
    </row>
    <row r="104" ht="12.95" customHeight="1" s="1439">
      <c r="A104" s="67" t="n">
        <v>150000</v>
      </c>
      <c r="B104" s="1691" t="n">
        <v>2.49</v>
      </c>
      <c r="C104" s="1691" t="n">
        <v>2.92</v>
      </c>
      <c r="D104" s="1691" t="n">
        <v>3.43</v>
      </c>
      <c r="E104" s="1691" t="n">
        <v>4.03</v>
      </c>
    </row>
    <row r="105" ht="12.95" customHeight="1" s="1439">
      <c r="A105" s="67" t="n">
        <v>200000</v>
      </c>
      <c r="B105" s="1691" t="n">
        <v>2.4</v>
      </c>
      <c r="C105" s="1691" t="n">
        <v>2.81</v>
      </c>
      <c r="D105" s="1691" t="n">
        <v>3.28</v>
      </c>
      <c r="E105" s="1691" t="n">
        <v>3.84</v>
      </c>
    </row>
    <row r="106" ht="8.1" customHeight="1" s="1439"/>
    <row r="107" ht="15.95" customHeight="1" s="1439">
      <c r="A107" s="1440" t="inlineStr">
        <is>
          <t>TABLE E -- Site Paving Costs per SF | MVS Sec.66, pp.1-2 (Dec 2023)</t>
        </is>
      </c>
    </row>
    <row r="108" ht="14.1" customHeight="1" s="1439">
      <c r="A108" s="1418" t="inlineStr">
        <is>
          <t>Paving Type</t>
        </is>
      </c>
      <c r="B108" s="1418" t="inlineStr">
        <is>
          <t>Low</t>
        </is>
      </c>
      <c r="C108" s="1418" t="inlineStr">
        <is>
          <t>Average</t>
        </is>
      </c>
      <c r="D108" s="1418" t="inlineStr">
        <is>
          <t>High</t>
        </is>
      </c>
      <c r="E108" s="1418" t="inlineStr">
        <is>
          <t>Notes</t>
        </is>
      </c>
      <c r="F108" s="1418" t="n"/>
    </row>
    <row r="109" ht="12.95" customHeight="1" s="1439">
      <c r="A109" s="1419" t="inlineStr">
        <is>
          <t>4-inch Asphalt (Large &gt;3,000 SF)</t>
        </is>
      </c>
      <c r="B109" s="1691" t="n">
        <v>2.92</v>
      </c>
      <c r="C109" s="1691" t="n">
        <v>3.1</v>
      </c>
      <c r="D109" s="1691" t="n">
        <v>3.51</v>
      </c>
      <c r="E109" s="1419" t="inlineStr">
        <is>
          <t>Sec.66 p.1</t>
        </is>
      </c>
    </row>
    <row r="110" ht="12.95" customHeight="1" s="1439">
      <c r="A110" s="1419" t="inlineStr">
        <is>
          <t>6-inch Concrete (Large &gt;3,000 SF)</t>
        </is>
      </c>
      <c r="B110" s="1691" t="n">
        <v>4.66</v>
      </c>
      <c r="C110" s="1691" t="n">
        <v>5.51</v>
      </c>
      <c r="D110" s="1691" t="n">
        <v>7.71</v>
      </c>
      <c r="E110" s="1419" t="inlineStr">
        <is>
          <t>Sec.66 p.1</t>
        </is>
      </c>
    </row>
    <row r="111" ht="12.95" customHeight="1" s="1439">
      <c r="A111" s="1419" t="inlineStr">
        <is>
          <t>2-inch Asphalt on 2-inch base (Small)</t>
        </is>
      </c>
      <c r="B111" s="1691" t="n">
        <v>2.87</v>
      </c>
      <c r="C111" s="1691" t="n">
        <v>3.56</v>
      </c>
      <c r="D111" s="1691" t="n">
        <v>4.24</v>
      </c>
      <c r="E111" s="1419" t="inlineStr">
        <is>
          <t>Sec.66 p.2</t>
        </is>
      </c>
    </row>
    <row r="112" ht="12.95" customHeight="1" s="1439">
      <c r="A112" s="1419" t="inlineStr">
        <is>
          <t>4-inch Concrete unreinforced (Small)</t>
        </is>
      </c>
      <c r="B112" s="1691" t="n">
        <v>6.42</v>
      </c>
      <c r="C112" s="1691" t="n">
        <v>8</v>
      </c>
      <c r="D112" s="1691" t="n">
        <v>9.58</v>
      </c>
      <c r="E112" s="1419" t="inlineStr">
        <is>
          <t>Sec.66 p.2</t>
        </is>
      </c>
    </row>
    <row r="114">
      <c r="A114" t="inlineStr">
        <is>
          <t>TABLE F -- Occ. 407: Distribution Warehouses | Base Cost per SF | MVS Sec.14, p.23 (Feb 2024) | Space heaters configuration</t>
        </is>
      </c>
    </row>
    <row r="115">
      <c r="A115" s="1433" t="inlineStr">
        <is>
          <t>Class</t>
        </is>
      </c>
      <c r="B115" s="1433" t="inlineStr">
        <is>
          <t>Quality</t>
        </is>
      </c>
      <c r="C115" s="1433" t="inlineStr">
        <is>
          <t>$/SF</t>
        </is>
      </c>
      <c r="D115" s="1433" t="inlineStr">
        <is>
          <t>Key</t>
        </is>
      </c>
    </row>
    <row r="116">
      <c r="A116" t="inlineStr">
        <is>
          <t>A</t>
        </is>
      </c>
      <c r="B116" t="inlineStr">
        <is>
          <t>Good</t>
        </is>
      </c>
      <c r="C116" t="n">
        <v>123</v>
      </c>
      <c r="D116" t="inlineStr">
        <is>
          <t>A~Good</t>
        </is>
      </c>
    </row>
    <row r="117">
      <c r="A117" t="inlineStr">
        <is>
          <t>A</t>
        </is>
      </c>
      <c r="B117" t="inlineStr">
        <is>
          <t>Average</t>
        </is>
      </c>
      <c r="C117" t="n">
        <v>108</v>
      </c>
      <c r="D117" t="inlineStr">
        <is>
          <t>A~Average</t>
        </is>
      </c>
    </row>
    <row r="118">
      <c r="A118" t="inlineStr">
        <is>
          <t>B</t>
        </is>
      </c>
      <c r="B118" t="inlineStr">
        <is>
          <t>Good</t>
        </is>
      </c>
      <c r="C118" t="n">
        <v>103</v>
      </c>
      <c r="D118" t="inlineStr">
        <is>
          <t>B~Good</t>
        </is>
      </c>
    </row>
    <row r="119">
      <c r="A119" t="inlineStr">
        <is>
          <t>B</t>
        </is>
      </c>
      <c r="B119" t="inlineStr">
        <is>
          <t>Average</t>
        </is>
      </c>
      <c r="C119" t="n">
        <v>70.5</v>
      </c>
      <c r="D119" t="inlineStr">
        <is>
          <t>B~Average</t>
        </is>
      </c>
    </row>
    <row r="120">
      <c r="A120" t="inlineStr">
        <is>
          <t>C</t>
        </is>
      </c>
      <c r="B120" t="inlineStr">
        <is>
          <t>Excellent</t>
        </is>
      </c>
      <c r="C120" t="n">
        <v>92.5</v>
      </c>
      <c r="D120" t="inlineStr">
        <is>
          <t>C~Excellent</t>
        </is>
      </c>
    </row>
    <row r="121">
      <c r="A121" t="inlineStr">
        <is>
          <t>C</t>
        </is>
      </c>
      <c r="B121" t="inlineStr">
        <is>
          <t>Good</t>
        </is>
      </c>
      <c r="C121" t="n">
        <v>57</v>
      </c>
      <c r="D121" t="inlineStr">
        <is>
          <t>C~Good</t>
        </is>
      </c>
    </row>
    <row r="122">
      <c r="A122" t="inlineStr">
        <is>
          <t>C</t>
        </is>
      </c>
      <c r="B122" t="inlineStr">
        <is>
          <t>Average</t>
        </is>
      </c>
      <c r="C122" t="n">
        <v>94.5</v>
      </c>
      <c r="D122" t="inlineStr">
        <is>
          <t>C~Average</t>
        </is>
      </c>
    </row>
    <row r="123">
      <c r="A123" t="inlineStr">
        <is>
          <t>S</t>
        </is>
      </c>
      <c r="B123" t="inlineStr">
        <is>
          <t>Low Cost</t>
        </is>
      </c>
      <c r="C123" t="n">
        <v>45.5</v>
      </c>
      <c r="D123" t="inlineStr">
        <is>
          <t>S~Low Cost</t>
        </is>
      </c>
    </row>
    <row r="125">
      <c r="A125" t="inlineStr">
        <is>
          <t>TABLE G -- Story Height Multiplier Lookup (single-column, for VLOOKUP) | MVS Sec.14, p.39 (Feb 2024)</t>
        </is>
      </c>
    </row>
    <row r="126">
      <c r="A126" s="1433" t="inlineStr">
        <is>
          <t>Ht (ft)</t>
        </is>
      </c>
      <c r="B126" s="1433" t="inlineStr">
        <is>
          <t>Multiplier</t>
        </is>
      </c>
    </row>
    <row r="127">
      <c r="A127" t="n">
        <v>8</v>
      </c>
      <c r="B127" t="n">
        <v>0.885</v>
      </c>
    </row>
    <row r="128">
      <c r="A128" t="n">
        <v>10</v>
      </c>
      <c r="B128" t="n">
        <v>0.921</v>
      </c>
    </row>
    <row r="129">
      <c r="A129" t="n">
        <v>12</v>
      </c>
      <c r="B129" t="n">
        <v>0.96</v>
      </c>
    </row>
    <row r="130">
      <c r="A130" t="n">
        <v>14</v>
      </c>
      <c r="B130" t="n">
        <v>1</v>
      </c>
    </row>
    <row r="131">
      <c r="A131" t="n">
        <v>16</v>
      </c>
      <c r="B131" t="n">
        <v>1.041</v>
      </c>
    </row>
    <row r="132">
      <c r="A132" t="n">
        <v>18</v>
      </c>
      <c r="B132" t="n">
        <v>1.086</v>
      </c>
    </row>
    <row r="133">
      <c r="A133" t="n">
        <v>20</v>
      </c>
      <c r="B133" t="n">
        <v>1.133</v>
      </c>
    </row>
    <row r="134">
      <c r="A134" t="n">
        <v>22</v>
      </c>
      <c r="B134" t="n">
        <v>1.181</v>
      </c>
    </row>
    <row r="135">
      <c r="A135" t="n">
        <v>24</v>
      </c>
      <c r="B135" t="n">
        <v>1.231</v>
      </c>
    </row>
    <row r="136">
      <c r="A136" t="n">
        <v>26</v>
      </c>
      <c r="B136" t="n">
        <v>1.281</v>
      </c>
    </row>
    <row r="137">
      <c r="A137" t="n">
        <v>28</v>
      </c>
      <c r="B137" t="n">
        <v>1.331</v>
      </c>
    </row>
    <row r="138">
      <c r="A138" t="n">
        <v>30</v>
      </c>
      <c r="B138" t="n">
        <v>1.382</v>
      </c>
    </row>
    <row r="139">
      <c r="A139" t="n">
        <v>35</v>
      </c>
      <c r="B139" t="n">
        <v>1.515</v>
      </c>
    </row>
    <row r="140">
      <c r="A140" t="n">
        <v>40</v>
      </c>
      <c r="B140" t="n">
        <v>1.65</v>
      </c>
    </row>
    <row r="141">
      <c r="A141" t="n">
        <v>45</v>
      </c>
      <c r="B141" t="n">
        <v>1.788</v>
      </c>
    </row>
    <row r="142">
      <c r="A142" t="n">
        <v>50</v>
      </c>
      <c r="B142" t="n">
        <v>1.93</v>
      </c>
    </row>
  </sheetData>
  <mergeCells count="17">
    <mergeCell ref="A24:F24"/>
    <mergeCell ref="A107:F107"/>
    <mergeCell ref="A82:F82"/>
    <mergeCell ref="A84:F84"/>
    <mergeCell ref="A94:F94"/>
    <mergeCell ref="A1:F1"/>
    <mergeCell ref="A9:F9"/>
    <mergeCell ref="A77:F77"/>
    <mergeCell ref="A17:F17"/>
    <mergeCell ref="A34:F34"/>
    <mergeCell ref="A40:F40"/>
    <mergeCell ref="A3:F3"/>
    <mergeCell ref="A30:F30"/>
    <mergeCell ref="A39:F39"/>
    <mergeCell ref="A96:F96"/>
    <mergeCell ref="A64:F64"/>
    <mergeCell ref="B13:F13"/>
  </mergeCells>
  <dataValidations count="5">
    <dataValidation sqref="C5" showDropDown="0" showInputMessage="0" showErrorMessage="1" allowBlank="0" errorTitle="Invalid Occupancy" error="Choose Occ. 406 (Storage) or Occ. 407 (Distribution)" type="list">
      <formula1>"Occ. 406,Occ. 407"</formula1>
    </dataValidation>
    <dataValidation sqref="C6" showDropDown="0" showInputMessage="0" showErrorMessage="0" allowBlank="0" type="list">
      <formula1>"A,B,C,C-Mill,D,D-Pole,S"</formula1>
    </dataValidation>
    <dataValidation sqref="C7" showDropDown="0" showInputMessage="0" showErrorMessage="0" allowBlank="0" type="list">
      <formula1>"Excellent,Good,Average,Low Cost"</formula1>
    </dataValidation>
    <dataValidation sqref="C8" showDropDown="0" showInputMessage="0" showErrorMessage="0" allowBlank="0" type="list">
      <formula1>"Colorado Statewide,Denver,Boulder,Colorado Springs,Fort Collins,Grand Junction,Greeley,Pueblo"</formula1>
    </dataValidation>
    <dataValidation sqref="H15" showDropDown="0" showInputMessage="0" showErrorMessage="0" allowBlank="0" type="list">
      <formula1>"Low Cost,Average,Good,Excellent"</formula1>
    </dataValid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A1:U542"/>
  <sheetViews>
    <sheetView topLeftCell="F1" zoomScale="130" zoomScaleNormal="130" workbookViewId="0">
      <selection activeCell="N40" sqref="N40"/>
    </sheetView>
  </sheetViews>
  <sheetFormatPr baseColWidth="8" defaultColWidth="9.140625" defaultRowHeight="15"/>
  <cols>
    <col width="1.7109375" customWidth="1" style="1550" min="1" max="1"/>
    <col width="42.42578125" bestFit="1" customWidth="1" style="372" min="2" max="2"/>
    <col width="13.5703125" customWidth="1" style="1547" min="3" max="3"/>
    <col width="9.85546875" customWidth="1" style="1547" min="4" max="4"/>
    <col width="1.7109375" customWidth="1" style="1547" min="5" max="5"/>
    <col width="11.7109375" customWidth="1" style="1836" min="6" max="6"/>
    <col width="11.140625" bestFit="1" customWidth="1" style="1836" min="7" max="7"/>
    <col width="1.7109375" customWidth="1" style="1550" min="8" max="8"/>
    <col width="16" customWidth="1" style="1550" min="9" max="9"/>
    <col width="9.140625" customWidth="1" style="1550" min="10" max="10"/>
    <col width="18.28515625" customWidth="1" style="1550" min="11" max="11"/>
    <col width="15.7109375" bestFit="1" customWidth="1" style="1550" min="12" max="12"/>
    <col width="8.5703125" customWidth="1" style="1550" min="13" max="13"/>
    <col width="15.7109375" bestFit="1" customWidth="1" style="1550" min="14" max="14"/>
    <col width="15.7109375" customWidth="1" style="1550" min="15" max="15"/>
    <col width="3.85546875" customWidth="1" style="1550" min="16" max="16"/>
    <col width="40.42578125" bestFit="1" customWidth="1" style="1550" min="17" max="17"/>
    <col width="13.28515625" customWidth="1" style="1550" min="18" max="18"/>
    <col width="7.5703125" bestFit="1" customWidth="1" style="1550" min="19" max="19"/>
    <col width="15.7109375" customWidth="1" style="1550" min="20" max="21"/>
    <col width="9.140625" customWidth="1" style="1550" min="22" max="22"/>
    <col width="9.140625" customWidth="1" style="1550" min="23" max="16384"/>
  </cols>
  <sheetData>
    <row r="1">
      <c r="A1" s="821" t="inlineStr">
        <is>
          <t>COST APPROACH</t>
        </is>
      </c>
      <c r="B1" s="874" t="n"/>
      <c r="C1" s="874" t="n"/>
      <c r="D1" s="361" t="n"/>
      <c r="E1" s="362" t="n"/>
      <c r="F1" s="362" t="n"/>
      <c r="G1" s="362" t="n"/>
      <c r="H1" s="362" t="n"/>
      <c r="I1" s="1299" t="inlineStr">
        <is>
          <t>NOTES</t>
        </is>
      </c>
      <c r="J1" s="1300" t="n"/>
      <c r="K1" s="1300" t="n"/>
      <c r="L1" s="1300" t="n"/>
      <c r="M1" s="1238" t="n"/>
    </row>
    <row r="2">
      <c r="B2" s="1550" t="n"/>
      <c r="I2" s="1278" t="inlineStr">
        <is>
          <t>Change Highlighted fields only</t>
        </is>
      </c>
      <c r="J2" s="1235" t="n"/>
      <c r="K2" s="1235" t="n"/>
      <c r="L2" s="1235" t="n"/>
      <c r="M2" s="1240" t="n"/>
      <c r="Q2" s="366" t="n"/>
      <c r="R2" s="366" t="n"/>
    </row>
    <row r="3" ht="15.75" customHeight="1" s="1439">
      <c r="B3" s="1546" t="inlineStr">
        <is>
          <t xml:space="preserve">COST APPROACH SUMMARY </t>
        </is>
      </c>
      <c r="I3" s="1278" t="inlineStr">
        <is>
          <t>Change highlighted areas to WHITE when complete</t>
        </is>
      </c>
      <c r="J3" s="1235" t="n"/>
      <c r="K3" s="1235" t="n"/>
      <c r="L3" s="1235" t="n"/>
      <c r="M3" s="1240" t="n"/>
      <c r="Q3" s="366" t="n"/>
      <c r="R3" s="112" t="n"/>
    </row>
    <row r="4" ht="15.95" customFormat="1" customHeight="1" s="112">
      <c r="B4" s="367" t="inlineStr">
        <is>
          <t>Replacement Cost New (RCN)</t>
        </is>
      </c>
      <c r="C4" s="368" t="inlineStr">
        <is>
          <t>Area (SF)</t>
        </is>
      </c>
      <c r="D4" s="368" t="inlineStr">
        <is>
          <t>$/SF</t>
        </is>
      </c>
      <c r="E4" s="368" t="n"/>
      <c r="F4" s="1837" t="inlineStr">
        <is>
          <t>Subtotal</t>
        </is>
      </c>
      <c r="G4" s="1837" t="inlineStr">
        <is>
          <t>Total
Cost</t>
        </is>
      </c>
      <c r="I4" s="1278" t="inlineStr">
        <is>
          <t>Check all cells for accuracy after completing</t>
        </is>
      </c>
      <c r="J4" s="1297" t="n"/>
      <c r="K4" s="1297" t="n"/>
      <c r="L4" s="1297" t="n"/>
      <c r="M4" s="1301" t="n"/>
    </row>
    <row r="5" customFormat="1" s="366">
      <c r="B5" s="374" t="inlineStr">
        <is>
          <t>Building Improvements</t>
        </is>
      </c>
      <c r="C5" s="375" t="n"/>
      <c r="D5" s="375" t="n"/>
      <c r="E5" s="375" t="n"/>
      <c r="F5" s="1838" t="n"/>
      <c r="G5" s="1838" t="n"/>
      <c r="I5" s="1278" t="inlineStr">
        <is>
          <t>Remember to spell check every worksheet as you go.</t>
        </is>
      </c>
      <c r="J5" s="1298" t="n"/>
      <c r="K5" s="1298" t="n"/>
      <c r="L5" s="1298" t="n"/>
      <c r="M5" s="1302" t="n"/>
      <c r="Q5" s="112" t="n"/>
      <c r="R5" s="112" t="n"/>
    </row>
    <row r="6" ht="12.75" customFormat="1" customHeight="1" s="366">
      <c r="B6" s="377" t="inlineStr">
        <is>
          <t>Base Cost</t>
        </is>
      </c>
      <c r="C6" s="378">
        <f>'Property Info'!B4</f>
        <v/>
      </c>
      <c r="D6" s="1839">
        <f>'M&amp;S Inputs'!C14</f>
        <v/>
      </c>
      <c r="E6" s="1840" t="n"/>
      <c r="F6" s="1838">
        <f>C6*D6</f>
        <v/>
      </c>
      <c r="G6" s="1838" t="n"/>
      <c r="I6" s="1303" t="inlineStr">
        <is>
          <t xml:space="preserve">LAND VALUE IS SET TO VALUE CONCLUDED IN THE LAND SALES WORKSHEET. </t>
        </is>
      </c>
      <c r="J6" s="1298" t="n"/>
      <c r="K6" s="1298" t="n"/>
      <c r="L6" s="1298" t="n"/>
      <c r="M6" s="1302" t="n"/>
      <c r="Q6" s="112" t="n"/>
      <c r="R6" s="112" t="n"/>
    </row>
    <row r="7" ht="12.75" customFormat="1" customHeight="1" s="366">
      <c r="B7" s="377" t="inlineStr">
        <is>
          <t>Sprinklers</t>
        </is>
      </c>
      <c r="C7" s="380">
        <f>C6</f>
        <v/>
      </c>
      <c r="D7" s="1841">
        <f>'M&amp;S Inputs'!C15</f>
        <v/>
      </c>
      <c r="E7" s="1842" t="n"/>
      <c r="F7" s="1843">
        <f>C7*D7</f>
        <v/>
      </c>
      <c r="G7" s="1838" t="n"/>
      <c r="I7" s="1303" t="inlineStr">
        <is>
          <t xml:space="preserve">IF YOU ARE USING LAND VALUE FROM REALWARE, OVERWRITE THAT CELL WITH THE </t>
        </is>
      </c>
      <c r="J7" s="1298" t="n"/>
      <c r="K7" s="1297" t="n"/>
      <c r="L7" s="1297" t="n"/>
      <c r="M7" s="1301" t="n"/>
      <c r="N7" s="112" t="n"/>
      <c r="O7" s="112" t="n"/>
      <c r="P7" s="112" t="n"/>
      <c r="Q7" s="112" t="n"/>
      <c r="R7" s="112" t="n"/>
    </row>
    <row r="8" hidden="1" ht="12.75" customFormat="1" customHeight="1" s="366">
      <c r="B8" s="377" t="n"/>
      <c r="C8" s="380" t="n"/>
      <c r="D8" s="1844" t="n"/>
      <c r="E8" s="1842" t="n"/>
      <c r="F8" s="1843" t="n"/>
      <c r="G8" s="1838" t="n"/>
      <c r="I8" s="1303" t="n"/>
      <c r="J8" s="1297" t="n"/>
      <c r="K8" s="1297" t="n"/>
      <c r="L8" s="1297" t="n"/>
      <c r="M8" s="1301" t="n"/>
      <c r="N8" s="112" t="n"/>
      <c r="O8" s="112" t="n"/>
      <c r="P8" s="112" t="n"/>
      <c r="Q8" s="112" t="n"/>
      <c r="R8" s="112" t="n"/>
    </row>
    <row r="9" hidden="1" ht="12.75" customFormat="1" customHeight="1" s="366">
      <c r="B9" s="377" t="n"/>
      <c r="C9" s="380" t="n"/>
      <c r="D9" s="1844" t="n"/>
      <c r="E9" s="1842" t="n"/>
      <c r="F9" s="1843" t="n"/>
      <c r="G9" s="1838" t="n"/>
      <c r="I9" s="1303" t="n"/>
      <c r="J9" s="1297" t="n"/>
      <c r="K9" s="1297" t="n"/>
      <c r="L9" s="1297" t="n"/>
      <c r="M9" s="1301" t="n"/>
      <c r="N9" s="112" t="n"/>
      <c r="O9" s="112" t="n"/>
      <c r="P9" s="112" t="n"/>
      <c r="Q9" s="112" t="n"/>
      <c r="R9" s="112" t="n"/>
    </row>
    <row r="10" hidden="1" ht="12.75" customFormat="1" customHeight="1" s="366">
      <c r="B10" s="377" t="n"/>
      <c r="C10" s="380" t="n"/>
      <c r="D10" s="1844" t="n"/>
      <c r="E10" s="1842" t="n"/>
      <c r="F10" s="1843" t="n"/>
      <c r="G10" s="1838" t="n"/>
      <c r="I10" s="1303" t="n"/>
      <c r="J10" s="1297" t="n"/>
      <c r="K10" s="1297" t="n"/>
      <c r="L10" s="1297" t="n"/>
      <c r="M10" s="1301" t="n"/>
      <c r="N10" s="112" t="n"/>
      <c r="O10" s="112" t="n"/>
      <c r="P10" s="112" t="n"/>
      <c r="Q10" s="112" t="n"/>
      <c r="R10" s="112" t="n"/>
    </row>
    <row r="11" hidden="1" ht="12.75" customFormat="1" customHeight="1" s="366">
      <c r="B11" s="383" t="n"/>
      <c r="C11" s="380" t="n"/>
      <c r="D11" s="1844" t="n"/>
      <c r="E11" s="1842" t="n"/>
      <c r="F11" s="1843" t="n"/>
      <c r="G11" s="1838" t="n"/>
      <c r="I11" s="1303" t="n"/>
      <c r="J11" s="1297" t="n"/>
      <c r="K11" s="1297" t="n"/>
      <c r="L11" s="1297" t="n"/>
      <c r="M11" s="1301" t="n"/>
      <c r="N11" s="112" t="n"/>
      <c r="O11" s="112" t="n"/>
      <c r="P11" s="112" t="n"/>
      <c r="Q11" s="112" t="n"/>
      <c r="R11" s="112" t="n"/>
    </row>
    <row r="12" hidden="1" ht="12.75" customFormat="1" customHeight="1" s="366">
      <c r="B12" s="383" t="n"/>
      <c r="C12" s="380" t="n"/>
      <c r="D12" s="1844" t="n"/>
      <c r="E12" s="1842" t="n"/>
      <c r="F12" s="1843" t="n"/>
      <c r="G12" s="1838" t="n"/>
      <c r="I12" s="1303" t="n"/>
      <c r="J12" s="1297" t="n"/>
      <c r="K12" s="1297" t="n"/>
      <c r="L12" s="1297" t="n"/>
      <c r="M12" s="1301" t="n"/>
      <c r="N12" s="112" t="n"/>
      <c r="O12" s="112" t="n"/>
      <c r="P12" s="112" t="n"/>
      <c r="R12" s="112" t="n"/>
    </row>
    <row r="13" ht="13.5" customFormat="1" customHeight="1" s="366" thickBot="1">
      <c r="B13" s="377" t="inlineStr">
        <is>
          <t>Subtotal</t>
        </is>
      </c>
      <c r="C13" s="384" t="n"/>
      <c r="D13" s="1844" t="n"/>
      <c r="E13" s="1842" t="n"/>
      <c r="F13" s="1845">
        <f>SUM(F6:F12)</f>
        <v/>
      </c>
      <c r="G13" s="1838" t="n"/>
      <c r="I13" s="1304" t="inlineStr">
        <is>
          <t>APPROPRIATE LAND VALUE.</t>
        </is>
      </c>
      <c r="J13" s="1305" t="n"/>
      <c r="K13" s="1305" t="n"/>
      <c r="L13" s="1305" t="n"/>
      <c r="M13" s="1306" t="n"/>
      <c r="N13" s="112" t="n"/>
      <c r="O13" s="112" t="n"/>
      <c r="P13" s="112" t="n"/>
      <c r="R13" s="112" t="n"/>
    </row>
    <row r="14" ht="12.75" customFormat="1" customHeight="1" s="366">
      <c r="B14" s="374" t="inlineStr">
        <is>
          <t>Multipliers</t>
        </is>
      </c>
      <c r="C14" s="386" t="n"/>
      <c r="D14" s="1844" t="n"/>
      <c r="E14" s="1842" t="n"/>
      <c r="F14" s="1843" t="n"/>
      <c r="G14" s="1838" t="n"/>
      <c r="I14" s="112" t="n"/>
      <c r="J14" s="112" t="n"/>
      <c r="K14" s="112" t="n"/>
      <c r="L14" s="112" t="n"/>
      <c r="M14" s="112" t="n"/>
      <c r="N14" s="112" t="n"/>
      <c r="O14" s="112" t="n"/>
      <c r="P14" s="112" t="n"/>
      <c r="R14" s="112" t="n"/>
    </row>
    <row r="15" ht="12.75" customFormat="1" customHeight="1" s="366">
      <c r="B15" s="377" t="inlineStr">
        <is>
          <t>Current Cost</t>
        </is>
      </c>
      <c r="C15" s="301" t="n"/>
      <c r="D15" s="1846">
        <f>'M&amp;S Inputs'!C18</f>
        <v/>
      </c>
      <c r="E15" s="1847" t="n"/>
      <c r="F15" s="1843" t="n"/>
      <c r="G15" s="1838" t="n"/>
      <c r="J15" s="112" t="n"/>
      <c r="K15" s="112" t="n"/>
      <c r="L15" s="112" t="n"/>
      <c r="M15" s="112" t="n"/>
      <c r="N15" s="112" t="n"/>
      <c r="O15" s="112" t="n"/>
      <c r="P15" s="112" t="n"/>
      <c r="R15" s="112" t="n"/>
    </row>
    <row r="16" ht="12.75" customFormat="1" customHeight="1" s="366">
      <c r="B16" s="377" t="inlineStr">
        <is>
          <t>Local Area</t>
        </is>
      </c>
      <c r="C16" s="301" t="n"/>
      <c r="D16" s="1846">
        <f>'M&amp;S Inputs'!C19</f>
        <v/>
      </c>
      <c r="E16" s="1847" t="n"/>
      <c r="F16" s="1843" t="n"/>
      <c r="G16" s="1838" t="n"/>
      <c r="J16" s="112" t="n"/>
      <c r="K16" s="112" t="n"/>
      <c r="L16" s="112" t="n"/>
      <c r="M16" s="112" t="n"/>
      <c r="N16" s="112" t="n"/>
      <c r="O16" s="112" t="n"/>
      <c r="P16" s="112" t="n"/>
      <c r="R16" s="112" t="n"/>
    </row>
    <row r="17" ht="12.75" customFormat="1" customHeight="1" s="366">
      <c r="B17" s="377" t="inlineStr">
        <is>
          <t>Area Multiplier</t>
        </is>
      </c>
      <c r="C17" s="301" t="n"/>
      <c r="D17" s="1846">
        <f>'M&amp;S Inputs'!C20</f>
        <v/>
      </c>
      <c r="E17" s="1847" t="n"/>
      <c r="F17" s="1843" t="n"/>
      <c r="G17" s="1838" t="n"/>
      <c r="J17" s="112" t="n"/>
      <c r="K17" s="112" t="n"/>
      <c r="L17" s="112" t="n"/>
      <c r="M17" s="112" t="n"/>
      <c r="N17" s="112" t="n"/>
      <c r="O17" s="112" t="n"/>
      <c r="P17" s="112" t="n"/>
      <c r="R17" s="112" t="n"/>
    </row>
    <row r="18" ht="12.75" customFormat="1" customHeight="1" s="366">
      <c r="B18" s="377" t="inlineStr">
        <is>
          <t>Story Height (Assumed 18' Average)</t>
        </is>
      </c>
      <c r="C18" s="301" t="n"/>
      <c r="D18" s="1848">
        <f>'M&amp;S Inputs'!C22</f>
        <v/>
      </c>
      <c r="E18" s="1847" t="n"/>
      <c r="F18" s="1843" t="n"/>
      <c r="G18" s="1838" t="n"/>
      <c r="J18" s="112" t="n"/>
      <c r="K18" s="112" t="n"/>
      <c r="L18" s="112" t="n"/>
      <c r="M18" s="112" t="n"/>
      <c r="N18" s="112" t="n"/>
      <c r="O18" s="112" t="n"/>
      <c r="P18" s="112" t="n"/>
      <c r="R18" s="112" t="n"/>
    </row>
    <row r="19" ht="12.75" customFormat="1" customHeight="1" s="366">
      <c r="B19" s="377" t="inlineStr">
        <is>
          <t>Product of Multipliers</t>
        </is>
      </c>
      <c r="C19" s="301" t="n"/>
      <c r="D19" s="1849" t="n"/>
      <c r="E19" s="1850" t="n"/>
      <c r="F19" s="1851">
        <f>ROUND(PRODUCT(D15:D18),3)</f>
        <v/>
      </c>
      <c r="G19" s="1838" t="n"/>
      <c r="J19" s="112" t="n"/>
      <c r="K19" s="112" t="n"/>
      <c r="L19" s="112" t="n"/>
      <c r="M19" s="112" t="n"/>
      <c r="N19" s="112" t="n"/>
      <c r="O19" s="112" t="n"/>
      <c r="P19" s="112" t="n"/>
      <c r="R19" s="112" t="n"/>
    </row>
    <row r="20" ht="12.75" customFormat="1" customHeight="1" s="366">
      <c r="B20" s="392" t="inlineStr">
        <is>
          <t>Adjusted Base Building Cost</t>
        </is>
      </c>
      <c r="C20" s="386" t="n"/>
      <c r="D20" s="1842" t="n"/>
      <c r="E20" s="1842" t="n"/>
      <c r="F20" s="1845" t="n"/>
      <c r="G20" s="1838">
        <f>F19*F13</f>
        <v/>
      </c>
      <c r="J20" s="112" t="n"/>
      <c r="K20" s="112" t="n"/>
      <c r="L20" s="112" t="n"/>
      <c r="M20" s="112" t="n"/>
      <c r="N20" s="112" t="n"/>
      <c r="O20" s="112" t="n"/>
      <c r="P20" s="112" t="n"/>
    </row>
    <row r="21" ht="12.75" customFormat="1" customHeight="1" s="366">
      <c r="B21" s="374" t="inlineStr">
        <is>
          <t xml:space="preserve">Site Improvements (Component SF Based on Appraiser Measurement) </t>
        </is>
      </c>
      <c r="C21" s="386" t="n"/>
      <c r="D21" s="1842" t="n"/>
      <c r="E21" s="1842" t="n"/>
      <c r="F21" s="1843" t="n"/>
      <c r="G21" s="1838" t="n"/>
      <c r="J21" s="112" t="n"/>
      <c r="K21" s="112" t="n"/>
      <c r="L21" s="112" t="n"/>
      <c r="M21" s="112" t="n"/>
      <c r="N21" s="112" t="n"/>
      <c r="O21" s="112" t="n"/>
      <c r="P21" s="112" t="n"/>
    </row>
    <row r="22" ht="12.75" customFormat="1" customHeight="1" s="366">
      <c r="B22" s="377" t="inlineStr">
        <is>
          <t>Parking/Loading Areas (asphalt)</t>
        </is>
      </c>
      <c r="C22" s="1285" t="n">
        <v>37800</v>
      </c>
      <c r="D22" s="1841">
        <f>'M&amp;S Inputs'!C25</f>
        <v/>
      </c>
      <c r="E22" s="1842" t="n"/>
      <c r="F22" s="1843">
        <f>D22*C22</f>
        <v/>
      </c>
      <c r="G22" s="1838" t="n"/>
      <c r="J22" s="112" t="n"/>
      <c r="K22" s="112" t="n"/>
      <c r="L22" s="112" t="n"/>
      <c r="M22" s="112" t="n"/>
      <c r="N22" s="112" t="n"/>
      <c r="O22" s="112" t="n"/>
      <c r="P22" s="112" t="n"/>
    </row>
    <row r="23" ht="12.75" customFormat="1" customHeight="1" s="366">
      <c r="B23" s="377" t="inlineStr">
        <is>
          <t>Striping (Per Space)</t>
        </is>
      </c>
      <c r="C23" s="1285" t="n">
        <v>71</v>
      </c>
      <c r="D23" s="1841">
        <f>'M&amp;S Inputs'!C27</f>
        <v/>
      </c>
      <c r="E23" s="1842" t="n"/>
      <c r="F23" s="1843">
        <f>D23*C23</f>
        <v/>
      </c>
      <c r="G23" s="1838" t="n"/>
      <c r="J23" s="112" t="n"/>
      <c r="K23" s="112" t="n"/>
      <c r="L23" s="112" t="n"/>
      <c r="M23" s="112" t="n"/>
      <c r="N23" s="112" t="n"/>
      <c r="O23" s="112" t="n"/>
      <c r="P23" s="112" t="n"/>
    </row>
    <row r="24" ht="12.75" customFormat="1" customHeight="1" s="366">
      <c r="B24" s="377" t="inlineStr">
        <is>
          <t>Paving (concrete)</t>
        </is>
      </c>
      <c r="C24" s="1285">
        <f>3564.94+334.9+942.42+495</f>
        <v/>
      </c>
      <c r="D24" s="1841">
        <f>'M&amp;S Inputs'!C26</f>
        <v/>
      </c>
      <c r="E24" s="1842" t="n"/>
      <c r="F24" s="1843">
        <f>D24*C24</f>
        <v/>
      </c>
      <c r="G24" s="1838" t="n"/>
    </row>
    <row r="25" hidden="1" ht="17.25" customFormat="1" customHeight="1" s="366">
      <c r="B25" s="383" t="inlineStr">
        <is>
          <t>Other1</t>
        </is>
      </c>
      <c r="C25" s="1285" t="n"/>
      <c r="D25" s="1844" t="n"/>
      <c r="E25" s="1842" t="n"/>
      <c r="F25" s="1843">
        <f>D25*C25</f>
        <v/>
      </c>
      <c r="G25" s="1838" t="n"/>
    </row>
    <row r="26" hidden="1" ht="12.75" customFormat="1" customHeight="1" s="366">
      <c r="B26" s="383" t="inlineStr">
        <is>
          <t>Other2</t>
        </is>
      </c>
      <c r="C26" s="1286" t="n"/>
      <c r="D26" s="1844" t="n"/>
      <c r="E26" s="1842" t="n"/>
      <c r="F26" s="1843">
        <f>D26*C26</f>
        <v/>
      </c>
      <c r="G26" s="1838" t="n"/>
    </row>
    <row r="27" ht="12.75" customFormat="1" customHeight="1" s="366">
      <c r="B27" s="377" t="inlineStr">
        <is>
          <t>Landscaping, Lighting, Other Site Improvements</t>
        </is>
      </c>
      <c r="C27" s="1286">
        <f>27877.68+472.99</f>
        <v/>
      </c>
      <c r="D27" s="1841">
        <f>'M&amp;S Inputs'!C28</f>
        <v/>
      </c>
      <c r="E27" s="236" t="n"/>
      <c r="F27" s="1852">
        <f>D27*C27</f>
        <v/>
      </c>
      <c r="G27" s="1838" t="n"/>
    </row>
    <row r="28" ht="12.75" customFormat="1" customHeight="1" s="366">
      <c r="B28" s="392" t="inlineStr">
        <is>
          <t>Total Site Improvements</t>
        </is>
      </c>
      <c r="C28" s="386" t="n"/>
      <c r="D28" s="236" t="n"/>
      <c r="E28" s="236" t="n"/>
      <c r="F28" s="394" t="n"/>
      <c r="G28" s="1853">
        <f>SUM(F22:F27)</f>
        <v/>
      </c>
    </row>
    <row r="29" ht="12.75" customFormat="1" customHeight="1" s="366">
      <c r="B29" s="392" t="inlineStr">
        <is>
          <t>Total Construction Costs</t>
        </is>
      </c>
      <c r="C29" s="386" t="n"/>
      <c r="D29" s="236" t="n"/>
      <c r="E29" s="236" t="n"/>
      <c r="F29" s="301" t="n"/>
      <c r="G29" s="1838">
        <f>SUM(G20:G28)</f>
        <v/>
      </c>
      <c r="I29" s="1854" t="n"/>
    </row>
    <row r="30" ht="12.75" customFormat="1" customHeight="1" s="366">
      <c r="B30" s="377" t="inlineStr">
        <is>
          <t>Plus Other Indirect Costs (% of Direct Costs)</t>
        </is>
      </c>
      <c r="C30" s="1855">
        <f>'M&amp;S Inputs'!C31</f>
        <v/>
      </c>
      <c r="D30" s="1856" t="n"/>
      <c r="E30" s="1856" t="n"/>
      <c r="F30" s="301" t="n"/>
      <c r="G30" s="1853">
        <f>G29*(C30)</f>
        <v/>
      </c>
    </row>
    <row r="31" ht="12.75" customFormat="1" customHeight="1" s="366">
      <c r="B31" s="392" t="inlineStr">
        <is>
          <t>Subtotal Replacement Cost New (RCN)</t>
        </is>
      </c>
      <c r="C31" s="396" t="n"/>
      <c r="D31" s="386" t="n"/>
      <c r="E31" s="386" t="n"/>
      <c r="F31" s="1843" t="n"/>
      <c r="G31" s="1857">
        <f>SUM(G29:G30)</f>
        <v/>
      </c>
    </row>
    <row r="32" ht="12.75" customFormat="1" customHeight="1" s="366">
      <c r="B32" s="377" t="inlineStr">
        <is>
          <t>Plus Entrepreneurial Profit (% of RCN)</t>
        </is>
      </c>
      <c r="C32" s="1855">
        <f>'M&amp;S Inputs'!C32</f>
        <v/>
      </c>
      <c r="D32" s="1856" t="n"/>
      <c r="E32" s="1856" t="n"/>
      <c r="F32" s="236" t="n"/>
      <c r="G32" s="1858">
        <f>G31*C32</f>
        <v/>
      </c>
    </row>
    <row r="33" ht="12.75" customFormat="1" customHeight="1" s="366">
      <c r="B33" s="392" t="inlineStr">
        <is>
          <t>Total Replacement Cost New (RCN)</t>
        </is>
      </c>
      <c r="C33" s="375" t="n"/>
      <c r="D33" s="375" t="n"/>
      <c r="E33" s="375" t="n"/>
      <c r="F33" s="1838" t="n"/>
      <c r="G33" s="1857">
        <f>SUM(G31:G32)</f>
        <v/>
      </c>
      <c r="I33" s="1859" t="n"/>
    </row>
    <row r="34" ht="12.75" customFormat="1" customHeight="1" s="366">
      <c r="B34" s="377" t="inlineStr">
        <is>
          <t>per square foot of gross building area</t>
        </is>
      </c>
      <c r="C34" s="386" t="n"/>
      <c r="D34" s="386" t="n"/>
      <c r="E34" s="386" t="n"/>
      <c r="F34" s="1843" t="n"/>
      <c r="G34" s="1842">
        <f>caRCN/10000</f>
        <v/>
      </c>
    </row>
    <row r="35" ht="11.25" customFormat="1" customHeight="1" s="366">
      <c r="B35" s="400" t="n"/>
      <c r="C35" s="386" t="n"/>
      <c r="D35" s="386" t="n"/>
      <c r="E35" s="386" t="n"/>
      <c r="F35" s="1843" t="n"/>
      <c r="G35" s="1843" t="n"/>
    </row>
    <row r="36" ht="12.75" customFormat="1" customHeight="1" s="366">
      <c r="B36" s="400" t="inlineStr">
        <is>
          <t>Less Accrued Depreciation</t>
        </is>
      </c>
      <c r="C36" s="386" t="n"/>
      <c r="D36" s="386" t="n"/>
      <c r="E36" s="386" t="n"/>
      <c r="F36" s="1843" t="n"/>
      <c r="G36" s="1843" t="n"/>
    </row>
    <row r="37" ht="12.75" customFormat="1" customHeight="1" s="366">
      <c r="B37" s="392" t="inlineStr">
        <is>
          <t>Physical</t>
        </is>
      </c>
      <c r="C37" s="475" t="n"/>
      <c r="D37" s="475" t="n"/>
      <c r="E37" s="475" t="n"/>
      <c r="F37" s="301" t="n"/>
      <c r="G37" s="1843" t="n"/>
    </row>
    <row r="38" ht="12.75" customFormat="1" customHeight="1" s="366">
      <c r="B38" s="401" t="inlineStr">
        <is>
          <t>Curable (Deferred Maintenance)</t>
        </is>
      </c>
      <c r="C38" s="475" t="n"/>
      <c r="D38" s="475" t="n"/>
      <c r="E38" s="475" t="n"/>
      <c r="F38" s="1860">
        <f>'M&amp;S Inputs'!C35</f>
        <v/>
      </c>
      <c r="G38" s="1843" t="n"/>
      <c r="Q38" s="371" t="n"/>
      <c r="R38" s="371" t="n"/>
    </row>
    <row r="39" ht="12.75" customFormat="1" customHeight="1" s="366">
      <c r="B39" s="401" t="inlineStr">
        <is>
          <t>Incurable</t>
        </is>
      </c>
      <c r="C39" s="475" t="n"/>
      <c r="D39" s="475" t="n"/>
      <c r="E39" s="475" t="n"/>
      <c r="F39" s="301" t="n"/>
      <c r="G39" s="1843" t="n"/>
      <c r="Q39" s="1553" t="n"/>
      <c r="R39" s="1553" t="n"/>
      <c r="U39" s="366" t="n">
        <v>251225</v>
      </c>
    </row>
    <row r="40" ht="12.75" customFormat="1" customHeight="1" s="366">
      <c r="B40" s="403" t="inlineStr">
        <is>
          <t>Effective Age (Years)</t>
        </is>
      </c>
      <c r="C40" s="1861">
        <f>Improvements!C98</f>
        <v/>
      </c>
      <c r="D40" s="1843" t="n"/>
      <c r="E40" s="1843" t="n"/>
      <c r="F40" s="1843" t="n"/>
      <c r="G40" s="1843" t="n"/>
      <c r="Q40" s="1553" t="n"/>
      <c r="R40" s="1553" t="n"/>
      <c r="U40" s="366" t="n">
        <v>5000</v>
      </c>
    </row>
    <row r="41" ht="12.75" customFormat="1" customHeight="1" s="366">
      <c r="B41" s="403" t="inlineStr">
        <is>
          <t>Economic Life</t>
        </is>
      </c>
      <c r="C41" s="1862">
        <f>Improvements!C97</f>
        <v/>
      </c>
      <c r="D41" s="301" t="n"/>
      <c r="E41" s="301" t="n"/>
      <c r="F41" s="1843" t="n"/>
      <c r="G41" s="1843" t="n"/>
      <c r="Q41" s="1550" t="n"/>
      <c r="R41" s="1550" t="n"/>
      <c r="U41" s="366" t="n">
        <v>138125</v>
      </c>
    </row>
    <row r="42" ht="12.75" customFormat="1" customHeight="1" s="366">
      <c r="B42" s="403" t="inlineStr">
        <is>
          <t>Total Incurable Physical Depreciation</t>
        </is>
      </c>
      <c r="C42" s="1863">
        <f>C40/C41</f>
        <v/>
      </c>
      <c r="D42" s="1843" t="n"/>
      <c r="E42" s="1843" t="n"/>
      <c r="F42" s="1843">
        <f>G33*C42</f>
        <v/>
      </c>
      <c r="G42" s="1843" t="n"/>
      <c r="Q42" s="1550" t="n"/>
      <c r="R42" s="1550" t="n"/>
      <c r="U42" s="366" t="n">
        <v>198000</v>
      </c>
    </row>
    <row r="43" ht="12.75" customFormat="1" customHeight="1" s="366">
      <c r="B43" s="392" t="inlineStr">
        <is>
          <t>Functional Obsolescence</t>
        </is>
      </c>
      <c r="C43" s="1855">
        <f>'M&amp;S Inputs'!C36</f>
        <v/>
      </c>
      <c r="D43" s="475" t="n"/>
      <c r="E43" s="475" t="n"/>
      <c r="F43" s="1843">
        <f>C43*caRCN</f>
        <v/>
      </c>
      <c r="G43" s="1843" t="n"/>
      <c r="Q43" s="1550" t="n"/>
      <c r="R43" s="1550" t="n"/>
      <c r="U43" s="366">
        <f>SUM(U39:U42)</f>
        <v/>
      </c>
    </row>
    <row r="44" ht="12.75" customFormat="1" customHeight="1" s="366">
      <c r="B44" s="392" t="inlineStr">
        <is>
          <t>External Obsolescence</t>
        </is>
      </c>
      <c r="C44" s="1864">
        <f>'M&amp;S Inputs'!C37</f>
        <v/>
      </c>
      <c r="D44" s="475" t="n"/>
      <c r="E44" s="475" t="n"/>
      <c r="F44" s="1865">
        <f>C44*caRCN</f>
        <v/>
      </c>
      <c r="G44" s="1843" t="n"/>
      <c r="Q44" s="1550" t="n"/>
      <c r="R44" s="1550" t="n"/>
    </row>
    <row r="45" ht="12.75" customFormat="1" customHeight="1" s="366">
      <c r="B45" s="392" t="inlineStr">
        <is>
          <t>Total</t>
        </is>
      </c>
      <c r="C45" s="1866">
        <f>G45/caRCN</f>
        <v/>
      </c>
      <c r="D45" s="475" t="n"/>
      <c r="E45" s="475" t="n"/>
      <c r="F45" s="301" t="n"/>
      <c r="G45" s="1867">
        <f>SUM(F38:F44)</f>
        <v/>
      </c>
      <c r="Q45" s="1550" t="n"/>
      <c r="R45" s="1550" t="n"/>
    </row>
    <row r="46" ht="12.75" customFormat="1" customHeight="1" s="366">
      <c r="B46" s="400" t="inlineStr">
        <is>
          <t>Depreciated Value of the Improvements</t>
        </is>
      </c>
      <c r="C46" s="386" t="n"/>
      <c r="D46" s="386" t="n"/>
      <c r="E46" s="386" t="n"/>
      <c r="F46" s="1843" t="n"/>
      <c r="G46" s="1868">
        <f>G33-G45</f>
        <v/>
      </c>
      <c r="Q46" s="1550" t="n"/>
      <c r="R46" s="1550" t="n"/>
    </row>
    <row r="47" ht="12.75" customFormat="1" customHeight="1" s="366">
      <c r="B47" s="377" t="inlineStr">
        <is>
          <t>per square foot of gross building area</t>
        </is>
      </c>
      <c r="C47" s="475" t="n"/>
      <c r="D47" s="475" t="n"/>
      <c r="E47" s="475" t="n"/>
      <c r="F47" s="1868" t="n"/>
      <c r="G47" s="1842">
        <f>caRCNDeprec/10000</f>
        <v/>
      </c>
      <c r="Q47" s="1550" t="n"/>
      <c r="R47" s="1550" t="n"/>
    </row>
    <row r="48" ht="3.95" customFormat="1" customHeight="1" s="366">
      <c r="B48" s="374" t="n"/>
      <c r="C48" s="475" t="n"/>
      <c r="D48" s="475" t="n"/>
      <c r="E48" s="475" t="n"/>
      <c r="F48" s="1868" t="n"/>
      <c r="G48" s="1843" t="n"/>
      <c r="Q48" s="1550" t="n"/>
      <c r="R48" s="1550" t="n"/>
    </row>
    <row r="49" ht="12.75" customFormat="1" customHeight="1" s="366">
      <c r="B49" s="400" t="inlineStr">
        <is>
          <t>Plus Land Value</t>
        </is>
      </c>
      <c r="C49" s="486" t="n"/>
      <c r="D49" s="475" t="n"/>
      <c r="E49" s="475" t="n"/>
      <c r="F49" s="1868" t="n"/>
      <c r="G49" s="1867">
        <f>'Land Sales'!C65</f>
        <v/>
      </c>
      <c r="Q49" s="1550" t="n"/>
      <c r="R49" s="1550" t="n"/>
    </row>
    <row r="50" ht="3.95" customFormat="1" customHeight="1" s="366">
      <c r="B50" s="400" t="n"/>
      <c r="C50" s="375" t="n"/>
      <c r="D50" s="375" t="n"/>
      <c r="E50" s="375" t="n"/>
      <c r="F50" s="1838" t="n"/>
      <c r="G50" s="1838" t="n"/>
      <c r="Q50" s="1550" t="n"/>
      <c r="R50" s="1550" t="n"/>
    </row>
    <row r="51" ht="12.75" customFormat="1" customHeight="1" s="366">
      <c r="B51" s="400" t="inlineStr">
        <is>
          <t>Indicated Value by Cost Approach</t>
        </is>
      </c>
      <c r="C51" s="375" t="n"/>
      <c r="D51" s="375" t="n"/>
      <c r="E51" s="375" t="n"/>
      <c r="F51" s="1838" t="n"/>
      <c r="G51" s="1857">
        <f>G46+G49</f>
        <v/>
      </c>
      <c r="Q51" s="1550" t="n"/>
      <c r="R51" s="1550" t="n"/>
    </row>
    <row r="52" ht="12.75" customFormat="1" customHeight="1" s="366">
      <c r="B52" s="1869" t="n">
        <v>5000</v>
      </c>
      <c r="C52" s="406" t="n"/>
      <c r="D52" s="359" t="n"/>
      <c r="E52" s="359" t="n"/>
      <c r="F52" s="1838" t="n"/>
      <c r="G52" s="1870">
        <f>ROUND((G51/B52),0)*B52</f>
        <v/>
      </c>
      <c r="Q52" s="1550" t="n"/>
      <c r="R52" s="1550" t="n"/>
    </row>
    <row r="53" ht="12.75" customFormat="1" customHeight="1" s="366">
      <c r="B53" s="408" t="inlineStr">
        <is>
          <t>per square foot of gross building area</t>
        </is>
      </c>
      <c r="C53" s="375" t="n"/>
      <c r="D53" s="359" t="n"/>
      <c r="E53" s="359" t="n"/>
      <c r="F53" s="1838" t="n"/>
      <c r="G53" s="1871">
        <f>G52/C6</f>
        <v/>
      </c>
      <c r="Q53" s="1550" t="n"/>
      <c r="R53" s="1550" t="n"/>
    </row>
    <row r="54" ht="5.25" customFormat="1" customHeight="1" s="366">
      <c r="B54" s="408" t="n"/>
      <c r="C54" s="375" t="n"/>
      <c r="D54" s="359" t="n"/>
      <c r="E54" s="359" t="n"/>
      <c r="F54" s="1838" t="n"/>
      <c r="G54" s="1872" t="n"/>
      <c r="Q54" s="1550" t="n"/>
      <c r="R54" s="1550" t="n"/>
    </row>
    <row r="55" ht="12" customFormat="1" customHeight="1" s="1553">
      <c r="B55" s="1427" t="inlineStr">
        <is>
          <t>MVS June 2024 Ed.</t>
        </is>
      </c>
      <c r="C55" s="1428">
        <f>"Occ. 406 Storage Warehouse | "&amp;'M&amp;S Inputs'!C4&amp;" | "&amp;'M&amp;S Inputs'!C5</f>
        <v/>
      </c>
      <c r="D55" s="1428">
        <f>"Class: "&amp;'M&amp;S Inputs'!C6&amp;" / "&amp;'M&amp;S Inputs'!C7</f>
        <v/>
      </c>
      <c r="E55" s="1287" t="n"/>
      <c r="F55" s="1873" t="n"/>
      <c r="G55" s="1873" t="n"/>
      <c r="Q55" s="1549" t="n"/>
    </row>
    <row r="56" ht="12.75" customFormat="1" customHeight="1" s="1553">
      <c r="B56" s="1429" t="inlineStr">
        <is>
          <t>Colorado -- EASTERN region</t>
        </is>
      </c>
      <c r="C56" s="1430">
        <f>"CCM: "&amp;TEXT('M&amp;S Inputs'!C18,"0.000")&amp;" | LAM: "&amp;TEXT('M&amp;S Inputs'!C19,"0.000")</f>
        <v/>
      </c>
      <c r="D56" s="1431" t="inlineStr">
        <is>
          <t>Sec.99 p.3 and p.7 (Jan 2025 update)</t>
        </is>
      </c>
      <c r="E56" s="1289" t="n"/>
      <c r="F56" s="1874" t="n"/>
      <c r="G56" s="1875" t="n"/>
      <c r="Q56" s="1309" t="n"/>
      <c r="R56" s="1309" t="n"/>
      <c r="S56" s="1309" t="n"/>
    </row>
    <row r="57">
      <c r="B57" s="1292" t="n"/>
      <c r="C57" s="1432">
        <f>"Story Ht Mult: "&amp;TEXT('M&amp;S Inputs'!C22,"0.000")&amp;" | Area Mult: "&amp;TEXT('M&amp;S Inputs'!C20,"0.000")</f>
        <v/>
      </c>
      <c r="D57" s="1293" t="n"/>
      <c r="E57" s="1294" t="n"/>
      <c r="F57" s="1876" t="n"/>
      <c r="G57" s="1876" t="n"/>
      <c r="R57" s="1877" t="n"/>
    </row>
    <row r="58">
      <c r="B58" s="411" t="n"/>
      <c r="C58" s="412" t="n"/>
      <c r="D58" s="412" t="n"/>
      <c r="E58" s="412" t="n"/>
      <c r="F58" s="1878" t="n"/>
      <c r="G58" s="1878" t="n"/>
      <c r="Q58" s="1553" t="n"/>
      <c r="R58" s="1879" t="n"/>
      <c r="S58" s="1880" t="n"/>
    </row>
    <row r="59" ht="17.25" customHeight="1" s="1439">
      <c r="B59" s="362" t="n"/>
      <c r="C59" s="414" t="n"/>
      <c r="D59" s="415" t="n"/>
      <c r="E59" s="415" t="n"/>
      <c r="F59" s="1881" t="n"/>
      <c r="G59" s="1881" t="n"/>
      <c r="K59" s="1549" t="n"/>
      <c r="P59" s="1549" t="n"/>
      <c r="Q59" s="1553" t="n"/>
      <c r="R59" s="1879" t="n"/>
      <c r="S59" s="1880" t="n"/>
    </row>
    <row r="60">
      <c r="B60" s="417" t="n"/>
      <c r="C60" s="1882" t="n"/>
      <c r="D60" s="415" t="n"/>
      <c r="E60" s="415" t="n"/>
      <c r="F60" s="1881" t="n"/>
      <c r="G60" s="1881" t="n"/>
      <c r="K60" s="1312" t="n"/>
      <c r="L60" s="1313" t="n"/>
      <c r="M60" s="1313" t="n"/>
      <c r="N60" s="1313" t="n"/>
      <c r="O60" s="1313" t="n"/>
      <c r="P60" s="1313" t="n"/>
      <c r="Q60" s="1553" t="n"/>
      <c r="R60" s="1879" t="n"/>
      <c r="S60" s="1880" t="n"/>
    </row>
    <row r="61">
      <c r="B61" s="419" t="n"/>
      <c r="C61" s="415" t="n"/>
      <c r="D61" s="415" t="n"/>
      <c r="E61" s="415" t="n"/>
      <c r="F61" s="1881" t="n"/>
      <c r="G61" s="1881" t="n"/>
      <c r="K61" s="1312" t="n"/>
      <c r="L61" s="1314" t="n"/>
      <c r="M61" s="1313" t="n"/>
      <c r="N61" s="1313" t="n"/>
      <c r="O61" s="1313" t="n"/>
      <c r="P61" s="1313" t="n"/>
      <c r="Q61" s="1553" t="n"/>
      <c r="R61" s="1879" t="n"/>
      <c r="S61" s="1880" t="n"/>
    </row>
    <row r="62">
      <c r="B62" s="419" t="n"/>
      <c r="C62" s="415" t="n"/>
      <c r="D62" s="415" t="n"/>
      <c r="E62" s="415" t="n"/>
      <c r="F62" s="1881" t="n"/>
      <c r="G62" s="1881" t="n"/>
      <c r="K62" s="1312" t="n"/>
      <c r="L62" s="1314" t="n"/>
      <c r="M62" s="1313" t="n"/>
      <c r="N62" s="1313" t="n"/>
      <c r="O62" s="1313" t="n"/>
      <c r="P62" s="1313" t="n"/>
      <c r="Q62" s="3" t="n"/>
      <c r="R62" s="1883" t="n"/>
      <c r="S62" s="1884" t="n"/>
    </row>
    <row r="63">
      <c r="B63" s="419" t="n"/>
      <c r="C63" s="415" t="n"/>
      <c r="D63" s="415" t="n"/>
      <c r="E63" s="415" t="n"/>
      <c r="F63" s="1881" t="n"/>
      <c r="G63" s="1881" t="n"/>
      <c r="K63" s="1316" t="n"/>
      <c r="L63" s="1314" t="n"/>
      <c r="M63" s="1314" t="n"/>
      <c r="N63" s="1314" t="n"/>
      <c r="O63" s="1314" t="n"/>
      <c r="P63" s="1314" t="n"/>
    </row>
    <row r="64">
      <c r="B64" s="419" t="n"/>
      <c r="C64" s="415" t="n"/>
      <c r="D64" s="415" t="n"/>
      <c r="E64" s="415" t="n"/>
      <c r="F64" s="1881" t="n"/>
      <c r="G64" s="1881" t="n"/>
      <c r="K64" s="1316" t="n"/>
      <c r="L64" s="1885" t="n"/>
      <c r="M64" s="1885" t="n"/>
      <c r="N64" s="1885" t="n"/>
      <c r="O64" s="1885" t="n"/>
      <c r="P64" s="1885" t="n"/>
    </row>
    <row r="65">
      <c r="B65" s="419" t="n"/>
      <c r="C65" s="415" t="n"/>
      <c r="D65" s="415" t="n"/>
      <c r="E65" s="415" t="n"/>
      <c r="F65" s="1881" t="n"/>
      <c r="G65" s="1881" t="n"/>
    </row>
    <row r="66" hidden="1" s="1439">
      <c r="B66" s="1551" t="inlineStr">
        <is>
          <t>COST APPROACH SUMMARY - MVS</t>
        </is>
      </c>
    </row>
    <row r="67" hidden="1" s="1439">
      <c r="B67" s="367" t="inlineStr">
        <is>
          <t>Replacement Cost New (RCN)</t>
        </is>
      </c>
      <c r="C67" s="368" t="inlineStr">
        <is>
          <t>Area (SF)</t>
        </is>
      </c>
      <c r="D67" s="368" t="inlineStr">
        <is>
          <t>$/SF</t>
        </is>
      </c>
      <c r="E67" s="368" t="n"/>
      <c r="F67" s="1837" t="inlineStr">
        <is>
          <t>Subtotal</t>
        </is>
      </c>
      <c r="G67" s="1837" t="inlineStr">
        <is>
          <t>Total
Cost</t>
        </is>
      </c>
      <c r="H67" s="362" t="n"/>
      <c r="I67" s="362" t="n"/>
    </row>
    <row r="68" hidden="1" s="1439">
      <c r="B68" s="374" t="inlineStr">
        <is>
          <t>Building Improvements</t>
        </is>
      </c>
      <c r="C68" s="375" t="n"/>
      <c r="D68" s="375" t="n"/>
      <c r="E68" s="375" t="n"/>
      <c r="F68" s="1838" t="n"/>
      <c r="G68" s="1838" t="n"/>
      <c r="H68" s="362" t="n"/>
      <c r="I68" s="362" t="n"/>
    </row>
    <row r="69" hidden="1" s="1439">
      <c r="B69" s="377" t="inlineStr">
        <is>
          <t>Base Cost</t>
        </is>
      </c>
      <c r="C69" s="378">
        <f>'Property Info'!B4</f>
        <v/>
      </c>
      <c r="D69" s="1840" t="n">
        <v>69</v>
      </c>
      <c r="E69" s="1840" t="n"/>
      <c r="F69" s="1838">
        <f>C69*D69</f>
        <v/>
      </c>
      <c r="G69" s="1838" t="n"/>
      <c r="H69" s="362" t="n"/>
      <c r="I69" s="362" t="n"/>
    </row>
    <row r="70" hidden="1" s="1439">
      <c r="B70" s="377" t="inlineStr">
        <is>
          <t>Sprinklers</t>
        </is>
      </c>
      <c r="C70" s="380">
        <f>'Property Info'!B4</f>
        <v/>
      </c>
      <c r="D70" s="1842" t="n">
        <v>4.5</v>
      </c>
      <c r="E70" s="1842" t="n"/>
      <c r="F70" s="1843">
        <f>D70*C70</f>
        <v/>
      </c>
      <c r="G70" s="1838" t="n"/>
      <c r="H70" s="362" t="n"/>
      <c r="I70" s="362" t="n"/>
    </row>
    <row r="71" hidden="1" ht="15" customHeight="1" s="1439">
      <c r="B71" s="377" t="n"/>
      <c r="C71" s="380" t="n"/>
      <c r="D71" s="1842" t="n"/>
      <c r="E71" s="1842" t="n"/>
      <c r="F71" s="1843" t="n"/>
      <c r="G71" s="1838" t="n"/>
      <c r="H71" s="362" t="n"/>
      <c r="I71" s="362" t="n"/>
    </row>
    <row r="72" hidden="1" ht="15" customHeight="1" s="1439">
      <c r="B72" s="377" t="n"/>
      <c r="C72" s="380" t="n"/>
      <c r="D72" s="1842" t="n"/>
      <c r="E72" s="1842" t="n"/>
      <c r="F72" s="1843" t="n"/>
      <c r="G72" s="1838" t="n"/>
      <c r="H72" s="362" t="n"/>
      <c r="I72" s="362" t="n"/>
    </row>
    <row r="73" hidden="1" ht="15" customHeight="1" s="1439">
      <c r="B73" s="377" t="n"/>
      <c r="C73" s="380" t="n"/>
      <c r="D73" s="1842" t="n"/>
      <c r="E73" s="1842" t="n"/>
      <c r="F73" s="1843" t="n"/>
      <c r="G73" s="1838" t="n"/>
      <c r="H73" s="362" t="n"/>
      <c r="I73" s="362" t="n"/>
    </row>
    <row r="74" hidden="1" ht="15" customHeight="1" s="1439">
      <c r="B74" s="383" t="n"/>
      <c r="C74" s="380" t="n"/>
      <c r="D74" s="1842" t="n"/>
      <c r="E74" s="1842" t="n"/>
      <c r="F74" s="1843" t="n"/>
      <c r="G74" s="1838" t="n"/>
      <c r="H74" s="362" t="n"/>
      <c r="I74" s="362" t="n"/>
    </row>
    <row r="75" hidden="1" ht="15" customHeight="1" s="1439">
      <c r="B75" s="383" t="n"/>
      <c r="C75" s="380" t="n"/>
      <c r="D75" s="1842" t="n"/>
      <c r="E75" s="1842" t="n"/>
      <c r="F75" s="1843" t="n"/>
      <c r="G75" s="1838" t="n"/>
      <c r="H75" s="362" t="n"/>
      <c r="I75" s="362" t="n"/>
    </row>
    <row r="76" hidden="1" s="1439">
      <c r="B76" s="377" t="inlineStr">
        <is>
          <t>Subtotal</t>
        </is>
      </c>
      <c r="C76" s="384" t="n"/>
      <c r="D76" s="1842" t="n"/>
      <c r="E76" s="1842" t="n"/>
      <c r="F76" s="1845">
        <f>SUM(F69:F75)</f>
        <v/>
      </c>
      <c r="G76" s="1838" t="n"/>
      <c r="H76" s="362" t="n"/>
      <c r="I76" s="362" t="n"/>
    </row>
    <row r="77" hidden="1" s="1439">
      <c r="B77" s="374" t="inlineStr">
        <is>
          <t>Multipliers</t>
        </is>
      </c>
      <c r="C77" s="386" t="n"/>
      <c r="D77" s="1842" t="n"/>
      <c r="E77" s="1842" t="n"/>
      <c r="F77" s="1843" t="n"/>
      <c r="G77" s="1838" t="n"/>
      <c r="H77" s="362" t="n"/>
      <c r="I77" s="362" t="n"/>
    </row>
    <row r="78" hidden="1" s="1439">
      <c r="B78" s="377" t="inlineStr">
        <is>
          <t>Current Cost</t>
        </is>
      </c>
      <c r="C78" s="301" t="n"/>
      <c r="D78" s="1847" t="n">
        <v>1.01</v>
      </c>
      <c r="E78" s="1847" t="n"/>
      <c r="F78" s="1843" t="n"/>
      <c r="G78" s="1838" t="n"/>
      <c r="H78" s="362" t="n"/>
      <c r="I78" s="362" t="n"/>
    </row>
    <row r="79" hidden="1" s="1439">
      <c r="B79" s="377" t="inlineStr">
        <is>
          <t>Local Area</t>
        </is>
      </c>
      <c r="C79" s="301" t="n"/>
      <c r="D79" s="1847" t="n">
        <v>0.96</v>
      </c>
      <c r="E79" s="1847" t="n"/>
      <c r="F79" s="1843" t="n"/>
      <c r="G79" s="1838" t="n"/>
      <c r="H79" s="362" t="n"/>
      <c r="I79" s="362" t="n"/>
    </row>
    <row r="80" hidden="1" s="1439">
      <c r="B80" s="377" t="inlineStr">
        <is>
          <t>Area Multiplier</t>
        </is>
      </c>
      <c r="C80" s="301" t="n"/>
      <c r="D80" s="1847" t="n">
        <v>0.949</v>
      </c>
      <c r="E80" s="1847" t="n"/>
      <c r="F80" s="1843" t="n"/>
      <c r="G80" s="1838" t="n"/>
      <c r="H80" s="362" t="n"/>
      <c r="I80" s="362" t="n"/>
    </row>
    <row r="81" hidden="1" s="1439">
      <c r="B81" s="377" t="inlineStr">
        <is>
          <t>Story Height</t>
        </is>
      </c>
      <c r="C81" s="301" t="n"/>
      <c r="D81" s="1886" t="n">
        <v>1</v>
      </c>
      <c r="E81" s="1847" t="n"/>
      <c r="F81" s="1843" t="n"/>
      <c r="G81" s="1838" t="n"/>
      <c r="H81" s="362" t="n"/>
      <c r="I81" s="362" t="n"/>
    </row>
    <row r="82" hidden="1" s="1439">
      <c r="B82" s="377" t="inlineStr">
        <is>
          <t>Product of Multipliers</t>
        </is>
      </c>
      <c r="C82" s="301" t="n"/>
      <c r="D82" s="1849" t="n"/>
      <c r="E82" s="1850" t="n"/>
      <c r="F82" s="1851">
        <f>ROUND(PRODUCT(D78:D81),3)</f>
        <v/>
      </c>
      <c r="G82" s="1838" t="n"/>
      <c r="H82" s="362" t="n"/>
      <c r="I82" s="362" t="n"/>
    </row>
    <row r="83" hidden="1" s="1439">
      <c r="B83" s="392" t="inlineStr">
        <is>
          <t>Adjusted Base Building Cost</t>
        </is>
      </c>
      <c r="C83" s="386" t="n"/>
      <c r="D83" s="1842" t="n"/>
      <c r="E83" s="1842" t="n"/>
      <c r="F83" s="1845" t="n"/>
      <c r="G83" s="1838">
        <f>F82*F76</f>
        <v/>
      </c>
      <c r="H83" s="362" t="n"/>
      <c r="I83" s="362" t="n"/>
    </row>
    <row r="84" hidden="1" s="1439">
      <c r="B84" s="374" t="inlineStr">
        <is>
          <t>Site Improvements</t>
        </is>
      </c>
      <c r="C84" s="386" t="n"/>
      <c r="D84" s="1842" t="n"/>
      <c r="E84" s="1842" t="n"/>
      <c r="F84" s="1843" t="n"/>
      <c r="G84" s="1838" t="n"/>
      <c r="H84" s="362" t="n"/>
      <c r="I84" s="362" t="n"/>
    </row>
    <row r="85" hidden="1" s="1439">
      <c r="B85" s="377" t="inlineStr">
        <is>
          <t>Paving (asphalt)</t>
        </is>
      </c>
      <c r="C85" s="380" t="n"/>
      <c r="D85" s="1842" t="n"/>
      <c r="E85" s="1842" t="n"/>
      <c r="F85" s="1843" t="n"/>
      <c r="G85" s="1838" t="n"/>
      <c r="H85" s="362" t="n"/>
      <c r="I85" s="362" t="n"/>
    </row>
    <row r="86" hidden="1" s="1439">
      <c r="B86" s="377" t="inlineStr">
        <is>
          <t>Paving (concrete)</t>
        </is>
      </c>
      <c r="C86" s="380" t="n"/>
      <c r="D86" s="1842" t="n"/>
      <c r="E86" s="1842" t="n"/>
      <c r="F86" s="1843" t="n"/>
      <c r="G86" s="1838" t="n"/>
      <c r="H86" s="362" t="n"/>
      <c r="I86" s="362" t="n"/>
    </row>
    <row r="87" hidden="1" s="1439">
      <c r="B87" s="383" t="inlineStr">
        <is>
          <t>Other1</t>
        </is>
      </c>
      <c r="C87" s="380" t="n"/>
      <c r="D87" s="1842" t="n"/>
      <c r="E87" s="1842" t="n"/>
      <c r="F87" s="1843" t="n"/>
      <c r="G87" s="1838" t="n"/>
      <c r="H87" s="362" t="n"/>
      <c r="I87" s="362" t="n"/>
    </row>
    <row r="88" hidden="1" s="1439">
      <c r="B88" s="383" t="inlineStr">
        <is>
          <t>Other2</t>
        </is>
      </c>
      <c r="C88" s="386" t="n"/>
      <c r="D88" s="1842" t="n"/>
      <c r="E88" s="1842" t="n"/>
      <c r="F88" s="1843" t="n"/>
      <c r="G88" s="1838" t="n"/>
      <c r="H88" s="362" t="n"/>
      <c r="I88" s="362" t="n"/>
    </row>
    <row r="89" hidden="1" s="1439">
      <c r="B89" s="377" t="inlineStr">
        <is>
          <t>Landscaping, Lighting, Other Site Improvements</t>
        </is>
      </c>
      <c r="C89" s="386">
        <f>C27</f>
        <v/>
      </c>
      <c r="D89" s="1842" t="n">
        <v>4.5</v>
      </c>
      <c r="E89" s="236" t="n"/>
      <c r="F89" s="1852">
        <f>C89*D89</f>
        <v/>
      </c>
      <c r="G89" s="1838" t="n"/>
      <c r="H89" s="362" t="n"/>
      <c r="I89" s="362" t="n"/>
    </row>
    <row r="90" hidden="1" s="1439">
      <c r="B90" s="392" t="inlineStr">
        <is>
          <t>Total Site Improvements</t>
        </is>
      </c>
      <c r="C90" s="386" t="n"/>
      <c r="D90" s="236" t="n"/>
      <c r="E90" s="236" t="n"/>
      <c r="F90" s="394" t="n"/>
      <c r="G90" s="1853">
        <f>SUM(F85:F89)</f>
        <v/>
      </c>
      <c r="H90" s="362" t="n"/>
      <c r="I90" s="362" t="n"/>
    </row>
    <row r="91" hidden="1" s="1439">
      <c r="B91" s="392" t="inlineStr">
        <is>
          <t>Total Direct Costs</t>
        </is>
      </c>
      <c r="C91" s="386" t="n"/>
      <c r="D91" s="236" t="n"/>
      <c r="E91" s="236" t="n"/>
      <c r="F91" s="301" t="n"/>
      <c r="G91" s="1838">
        <f>SUM(G83:G90)</f>
        <v/>
      </c>
      <c r="H91" s="362" t="n"/>
      <c r="I91" s="362" t="n"/>
    </row>
    <row r="92" hidden="1" s="1439">
      <c r="B92" s="377" t="inlineStr">
        <is>
          <t>Plus Other Indirect Costs (% of Direct Costs)</t>
        </is>
      </c>
      <c r="C92" s="396" t="n">
        <v>0.15</v>
      </c>
      <c r="D92" s="1856" t="n"/>
      <c r="E92" s="1856" t="n"/>
      <c r="F92" s="301" t="n"/>
      <c r="G92" s="1853">
        <f>G91*(C92)</f>
        <v/>
      </c>
      <c r="H92" s="362" t="n"/>
      <c r="I92" s="362" t="n"/>
      <c r="R92" s="1877" t="n"/>
    </row>
    <row r="93" hidden="1" s="1439">
      <c r="B93" s="392" t="inlineStr">
        <is>
          <t>Subtotal Replacement Cost New (RCN)</t>
        </is>
      </c>
      <c r="C93" s="396" t="n"/>
      <c r="D93" s="386" t="n"/>
      <c r="E93" s="386" t="n"/>
      <c r="F93" s="1843" t="n"/>
      <c r="G93" s="1857">
        <f>SUM(G91:G92)</f>
        <v/>
      </c>
      <c r="H93" s="362" t="n"/>
      <c r="I93" s="362" t="n"/>
      <c r="R93" s="1877" t="n"/>
    </row>
    <row r="94" hidden="1" s="1439">
      <c r="B94" s="377" t="inlineStr">
        <is>
          <t>Plus Entrepreneurial Profit (% of RCN)</t>
        </is>
      </c>
      <c r="C94" s="396" t="n">
        <v>0.15</v>
      </c>
      <c r="D94" s="1856" t="n"/>
      <c r="E94" s="1856" t="n"/>
      <c r="F94" s="236" t="n"/>
      <c r="G94" s="1858">
        <f>G93*C94</f>
        <v/>
      </c>
      <c r="H94" s="362" t="n"/>
      <c r="I94" s="362" t="n"/>
      <c r="R94" s="1877" t="n"/>
    </row>
    <row r="95" hidden="1" s="1439">
      <c r="B95" s="392" t="inlineStr">
        <is>
          <t>Total Replacement Cost New (RCN)</t>
        </is>
      </c>
      <c r="C95" s="375" t="n"/>
      <c r="D95" s="375" t="n"/>
      <c r="E95" s="375" t="n"/>
      <c r="F95" s="1838" t="n"/>
      <c r="G95" s="1857">
        <f>SUM(G93:G94)</f>
        <v/>
      </c>
      <c r="H95" s="362" t="n"/>
      <c r="I95" s="362" t="n"/>
      <c r="R95" s="1877" t="n"/>
    </row>
    <row r="96" hidden="1" s="1439">
      <c r="B96" s="377" t="inlineStr">
        <is>
          <t>per square foot of gross building area</t>
        </is>
      </c>
      <c r="C96" s="375" t="n"/>
      <c r="D96" s="375" t="n"/>
      <c r="E96" s="375" t="n"/>
      <c r="F96" s="1838" t="n"/>
      <c r="G96" s="1840">
        <f>G95/C70</f>
        <v/>
      </c>
      <c r="H96" s="362" t="n"/>
      <c r="I96" s="362" t="n"/>
      <c r="R96" s="1877" t="n"/>
    </row>
    <row r="97" hidden="1" s="1439">
      <c r="B97" s="473" t="n"/>
      <c r="C97" s="386" t="n"/>
      <c r="D97" s="386" t="n"/>
      <c r="E97" s="386" t="n"/>
      <c r="F97" s="1843" t="n"/>
      <c r="G97" s="1843" t="n"/>
      <c r="H97" s="362" t="n"/>
      <c r="I97" s="362" t="n"/>
      <c r="R97" s="1877" t="n"/>
    </row>
    <row r="98" hidden="1" s="1439">
      <c r="B98" s="473" t="inlineStr">
        <is>
          <t>Less Accrued Depreciation</t>
        </is>
      </c>
      <c r="C98" s="386" t="n"/>
      <c r="D98" s="386" t="n"/>
      <c r="E98" s="386" t="n"/>
      <c r="F98" s="1843" t="n"/>
      <c r="G98" s="1843" t="n"/>
      <c r="H98" s="362" t="n"/>
      <c r="I98" s="362" t="n"/>
      <c r="R98" s="1877" t="n"/>
    </row>
    <row r="99" hidden="1" s="1439">
      <c r="B99" s="474" t="inlineStr">
        <is>
          <t>Physical</t>
        </is>
      </c>
      <c r="C99" s="475" t="n"/>
      <c r="D99" s="475" t="n"/>
      <c r="E99" s="475" t="n"/>
      <c r="F99" s="301" t="n"/>
      <c r="G99" s="1843" t="n"/>
      <c r="H99" s="362" t="n"/>
      <c r="I99" s="362" t="n"/>
      <c r="R99" s="1877" t="n"/>
    </row>
    <row r="100" hidden="1" s="1439">
      <c r="B100" s="476" t="inlineStr">
        <is>
          <t>Curable (Deferred Maintenance)</t>
        </is>
      </c>
      <c r="C100" s="475" t="n"/>
      <c r="D100" s="475" t="n"/>
      <c r="E100" s="475" t="n"/>
      <c r="F100" s="1843" t="n">
        <v>0</v>
      </c>
      <c r="G100" s="1843" t="n"/>
      <c r="H100" s="362" t="n"/>
      <c r="I100" s="362" t="n"/>
      <c r="R100" s="1877" t="n"/>
    </row>
    <row r="101" hidden="1" s="1439">
      <c r="B101" s="476" t="inlineStr">
        <is>
          <t>Incurable</t>
        </is>
      </c>
      <c r="C101" s="475" t="n"/>
      <c r="D101" s="475" t="n"/>
      <c r="E101" s="475" t="n"/>
      <c r="F101" s="301" t="n"/>
      <c r="G101" s="1843" t="n"/>
      <c r="H101" s="362" t="n"/>
      <c r="I101" s="362" t="n"/>
      <c r="R101" s="1877" t="n"/>
    </row>
    <row r="102" hidden="1" s="1439">
      <c r="B102" s="477" t="inlineStr">
        <is>
          <t>Effective Age (Years)</t>
        </is>
      </c>
      <c r="C102" s="1861" t="n">
        <v>15</v>
      </c>
      <c r="D102" s="1843" t="n"/>
      <c r="E102" s="1843" t="n"/>
      <c r="F102" s="1843" t="n"/>
      <c r="G102" s="1843" t="n"/>
      <c r="H102" s="362" t="n"/>
      <c r="I102" s="362" t="n"/>
      <c r="R102" s="1877" t="n"/>
    </row>
    <row r="103" hidden="1" s="1439">
      <c r="B103" s="477" t="inlineStr">
        <is>
          <t>Economic Life</t>
        </is>
      </c>
      <c r="C103" s="1862" t="n">
        <v>45</v>
      </c>
      <c r="D103" s="301" t="n"/>
      <c r="E103" s="301" t="n"/>
      <c r="F103" s="1843" t="n"/>
      <c r="G103" s="1843" t="n"/>
      <c r="H103" s="362" t="n"/>
      <c r="I103" s="362" t="n"/>
      <c r="R103" s="1877" t="n"/>
    </row>
    <row r="104" hidden="1" s="1439">
      <c r="B104" s="477" t="inlineStr">
        <is>
          <t>Total Incurable Physical Depreciation</t>
        </is>
      </c>
      <c r="C104" s="1863">
        <f>C102/C103</f>
        <v/>
      </c>
      <c r="D104" s="1843" t="n"/>
      <c r="E104" s="1843" t="n"/>
      <c r="F104" s="1843">
        <f>G95*C104</f>
        <v/>
      </c>
      <c r="G104" s="1843" t="n"/>
      <c r="H104" s="362" t="n"/>
      <c r="I104" s="362" t="n"/>
      <c r="R104" s="1877" t="n"/>
    </row>
    <row r="105" hidden="1" s="1439">
      <c r="B105" s="474" t="inlineStr">
        <is>
          <t>Functional Obsolescence</t>
        </is>
      </c>
      <c r="C105" s="1863" t="n">
        <v>0</v>
      </c>
      <c r="D105" s="475" t="n"/>
      <c r="E105" s="475" t="n"/>
      <c r="F105" s="1843">
        <f>C105*caRCN</f>
        <v/>
      </c>
      <c r="G105" s="1843" t="n"/>
      <c r="H105" s="362" t="n"/>
      <c r="I105" s="362" t="n"/>
      <c r="R105" s="1877" t="n"/>
    </row>
    <row r="106" hidden="1" s="1439">
      <c r="B106" s="474" t="inlineStr">
        <is>
          <t>External Obsolescence</t>
        </is>
      </c>
      <c r="C106" s="1887" t="n">
        <v>0</v>
      </c>
      <c r="D106" s="475" t="n"/>
      <c r="E106" s="475" t="n"/>
      <c r="F106" s="1865">
        <f>C106*caRCN</f>
        <v/>
      </c>
      <c r="G106" s="1843" t="n"/>
      <c r="H106" s="362" t="n"/>
      <c r="I106" s="362" t="n"/>
      <c r="R106" s="1877" t="n"/>
    </row>
    <row r="107" hidden="1" s="1439">
      <c r="B107" s="474" t="inlineStr">
        <is>
          <t>Total</t>
        </is>
      </c>
      <c r="C107" s="1866">
        <f>G107/caRCN</f>
        <v/>
      </c>
      <c r="D107" s="475" t="n"/>
      <c r="E107" s="475" t="n"/>
      <c r="F107" s="301" t="n"/>
      <c r="G107" s="1867">
        <f>SUM(F100:F106)</f>
        <v/>
      </c>
      <c r="H107" s="362" t="n"/>
      <c r="I107" s="362" t="n"/>
      <c r="R107" s="1877" t="n"/>
    </row>
    <row r="108" hidden="1" s="1439">
      <c r="B108" s="473" t="inlineStr">
        <is>
          <t>Depreciated Value of the Improvements</t>
        </is>
      </c>
      <c r="C108" s="386" t="n"/>
      <c r="D108" s="386" t="n"/>
      <c r="E108" s="386" t="n"/>
      <c r="F108" s="1843" t="n"/>
      <c r="G108" s="1888">
        <f>G95-G107</f>
        <v/>
      </c>
      <c r="H108" s="362" t="n"/>
      <c r="I108" s="362" t="n"/>
      <c r="R108" s="1877" t="n"/>
    </row>
    <row r="109" hidden="1" s="1439">
      <c r="B109" s="484" t="inlineStr">
        <is>
          <t>per square foot of gross building area</t>
        </is>
      </c>
      <c r="C109" s="475" t="n"/>
      <c r="D109" s="475" t="n"/>
      <c r="E109" s="475" t="n"/>
      <c r="F109" s="1868" t="n"/>
      <c r="G109" s="1842">
        <f>caRCNDeprec/10000</f>
        <v/>
      </c>
      <c r="H109" s="362" t="n"/>
      <c r="I109" s="362" t="n"/>
      <c r="R109" s="1877" t="n"/>
    </row>
    <row r="110" hidden="1" s="1439">
      <c r="B110" s="485" t="n"/>
      <c r="C110" s="475" t="n"/>
      <c r="D110" s="475" t="n"/>
      <c r="E110" s="475" t="n"/>
      <c r="F110" s="1868" t="n"/>
      <c r="G110" s="1843" t="n"/>
      <c r="H110" s="362" t="n"/>
      <c r="I110" s="362" t="n"/>
      <c r="Q110" s="373" t="n"/>
      <c r="R110" s="1889" t="n"/>
    </row>
    <row r="111" hidden="1" s="1439">
      <c r="B111" s="473" t="inlineStr">
        <is>
          <t>Plus Land Procurement Cost</t>
        </is>
      </c>
      <c r="C111" s="486" t="n"/>
      <c r="D111" s="475" t="n"/>
      <c r="E111" s="475" t="n"/>
      <c r="F111" s="1868" t="n"/>
      <c r="G111" s="1867">
        <f>'Land Sales'!C66</f>
        <v/>
      </c>
      <c r="H111" s="362" t="n"/>
      <c r="I111" s="362" t="n"/>
      <c r="Q111" s="373" t="n"/>
      <c r="R111" s="1889" t="n"/>
    </row>
    <row r="112" hidden="1" s="1439">
      <c r="B112" s="473" t="n"/>
      <c r="C112" s="386" t="n"/>
      <c r="D112" s="386" t="n"/>
      <c r="E112" s="386" t="n"/>
      <c r="F112" s="1843" t="n"/>
      <c r="G112" s="1843" t="n"/>
      <c r="H112" s="362" t="n"/>
      <c r="I112" s="362" t="n"/>
      <c r="R112" s="1877" t="n"/>
    </row>
    <row r="113" hidden="1" s="1439">
      <c r="B113" s="473" t="inlineStr">
        <is>
          <t>Indicated Value by Cost Approach</t>
        </is>
      </c>
      <c r="C113" s="386" t="n"/>
      <c r="D113" s="386" t="n"/>
      <c r="E113" s="386" t="n"/>
      <c r="F113" s="1843" t="n"/>
      <c r="G113" s="1868">
        <f>G108+G111</f>
        <v/>
      </c>
      <c r="H113" s="362" t="n"/>
      <c r="I113" s="1890" t="n"/>
      <c r="R113" s="1877" t="n"/>
    </row>
    <row r="114" hidden="1" s="1439">
      <c r="B114" s="1869" t="n">
        <v>5000</v>
      </c>
      <c r="C114" s="487" t="n"/>
      <c r="D114" s="301" t="n"/>
      <c r="E114" s="301" t="n"/>
      <c r="F114" s="1843" t="n"/>
      <c r="G114" s="1891">
        <f>ROUND((G113/B114),0)*B114</f>
        <v/>
      </c>
      <c r="H114" s="362" t="n"/>
      <c r="I114" s="362" t="n"/>
      <c r="R114" s="1877" t="n"/>
    </row>
    <row r="115" hidden="1" s="1439">
      <c r="B115" s="427" t="inlineStr">
        <is>
          <t>per square foot of gross building area</t>
        </is>
      </c>
      <c r="C115" s="428" t="n"/>
      <c r="D115" s="429" t="n"/>
      <c r="E115" s="429" t="n"/>
      <c r="F115" s="1853" t="n"/>
      <c r="G115" s="1892">
        <f>G114/C69</f>
        <v/>
      </c>
      <c r="H115" s="362" t="n"/>
      <c r="I115" s="362" t="n"/>
      <c r="R115" s="1877" t="n"/>
    </row>
    <row r="116" hidden="1" s="1439">
      <c r="B116" s="431" t="inlineStr">
        <is>
          <t>Source: Marshall Valuation Service</t>
        </is>
      </c>
      <c r="C116" s="431" t="inlineStr">
        <is>
          <t>Date: Feb. 2019</t>
        </is>
      </c>
      <c r="D116" s="301" t="n"/>
      <c r="E116" s="432" t="n"/>
      <c r="F116" s="432" t="n"/>
      <c r="G116" s="432" t="n"/>
      <c r="H116" s="362" t="n"/>
      <c r="I116" s="362" t="n"/>
      <c r="R116" s="1877" t="n"/>
    </row>
    <row r="117" hidden="1" s="1439">
      <c r="B117" s="868" t="inlineStr">
        <is>
          <t>Type: 407 - Industrial Warehouse</t>
        </is>
      </c>
      <c r="C117" s="1893" t="inlineStr">
        <is>
          <t>Section: 18</t>
        </is>
      </c>
      <c r="D117" s="1894" t="inlineStr">
        <is>
          <t>Page: 13</t>
        </is>
      </c>
      <c r="E117" s="1893" t="n"/>
      <c r="F117" s="1893" t="inlineStr">
        <is>
          <t>Class: C</t>
        </is>
      </c>
      <c r="G117" s="1894" t="inlineStr">
        <is>
          <t>Quality: Good</t>
        </is>
      </c>
      <c r="H117" s="362" t="n"/>
      <c r="I117" s="362" t="n"/>
      <c r="R117" s="1877" t="n"/>
    </row>
    <row r="118" hidden="1" s="1439">
      <c r="B118" s="419" t="n"/>
      <c r="C118" s="415" t="n"/>
      <c r="D118" s="415" t="n"/>
      <c r="E118" s="415" t="n"/>
      <c r="F118" s="1881" t="n"/>
      <c r="G118" s="1881" t="n"/>
      <c r="H118" s="362" t="n"/>
      <c r="I118" s="362" t="n"/>
      <c r="Q118" s="373" t="n"/>
      <c r="R118" s="1889" t="n"/>
    </row>
    <row r="119" hidden="1" s="1439">
      <c r="B119" s="1552" t="inlineStr">
        <is>
          <t>INSURABLE VALUE</t>
        </is>
      </c>
      <c r="E119" s="415" t="n"/>
      <c r="F119" s="1881" t="n"/>
      <c r="G119" s="1881" t="n"/>
      <c r="H119" s="362" t="n"/>
      <c r="I119" s="362" t="n"/>
      <c r="Q119" s="373" t="n"/>
      <c r="R119" s="1889" t="n"/>
    </row>
    <row r="120" hidden="1" s="1439">
      <c r="B120" s="435" t="inlineStr">
        <is>
          <t>Replacement Cost (Base Cost)</t>
        </is>
      </c>
      <c r="C120" s="1895" t="n"/>
      <c r="D120" s="1896">
        <f>G29</f>
        <v/>
      </c>
      <c r="E120" s="415" t="n"/>
      <c r="F120" s="1881" t="n"/>
      <c r="G120" s="1881" t="n"/>
      <c r="H120" s="362" t="n"/>
      <c r="I120" s="362" t="n"/>
      <c r="Q120" s="373" t="n"/>
      <c r="R120" s="1889" t="n"/>
    </row>
    <row r="121" hidden="1" s="1439">
      <c r="B121" s="360" t="inlineStr">
        <is>
          <t>Plus:  Indirect Costs</t>
        </is>
      </c>
      <c r="C121" s="1845" t="n"/>
      <c r="D121" s="1897" t="n">
        <v>0</v>
      </c>
      <c r="E121" s="415" t="n"/>
      <c r="F121" s="1881" t="n"/>
      <c r="G121" s="1881" t="n"/>
      <c r="H121" s="362" t="n"/>
      <c r="I121" s="362" t="n"/>
      <c r="Q121" s="373" t="n"/>
      <c r="R121" s="1889" t="n"/>
    </row>
    <row r="122" hidden="1" ht="24" customHeight="1" s="1439">
      <c r="B122" s="439" t="inlineStr">
        <is>
          <t>Plus:  Entrepreneurial Profit
(Est. 5% of Replacement and Indirect Cost)</t>
        </is>
      </c>
      <c r="C122" s="1865" t="n"/>
      <c r="D122" s="1898">
        <f>G32</f>
        <v/>
      </c>
      <c r="E122" s="415" t="n"/>
      <c r="F122" s="1881" t="n"/>
      <c r="G122" s="1881" t="n"/>
      <c r="H122" s="362" t="n"/>
      <c r="I122" s="362" t="n"/>
      <c r="R122" s="1877" t="n"/>
    </row>
    <row r="123" hidden="1" s="1439">
      <c r="B123" s="442" t="inlineStr">
        <is>
          <t>Replacement Cost (Base Cost + Indirect Costs + Profit</t>
        </is>
      </c>
      <c r="C123" s="1899" t="n"/>
      <c r="D123" s="444">
        <f>SUM(D120,D121,D122)</f>
        <v/>
      </c>
      <c r="E123" s="415" t="n"/>
      <c r="F123" s="1881" t="n"/>
      <c r="G123" s="1881" t="n"/>
      <c r="H123" s="362" t="n"/>
      <c r="I123" s="362" t="n"/>
      <c r="R123" s="1877" t="n"/>
    </row>
    <row r="124" hidden="1" s="1439">
      <c r="B124" s="360" t="inlineStr">
        <is>
          <t>Less:  5% of Replacement Costs for Excavations/Foundations</t>
        </is>
      </c>
      <c r="C124" s="1845">
        <f>ROUND(-0.05*D123, 0)</f>
        <v/>
      </c>
      <c r="D124" s="445" t="n"/>
      <c r="E124" s="415" t="n"/>
      <c r="F124" s="1881" t="n"/>
      <c r="G124" s="1881" t="n"/>
      <c r="H124" s="362" t="n"/>
      <c r="I124" s="362" t="n"/>
      <c r="R124" s="1877" t="n"/>
    </row>
    <row r="125" hidden="1" s="1439">
      <c r="B125" s="360" t="inlineStr">
        <is>
          <t>Less:  Site Work not included in Excavations/Foundations</t>
        </is>
      </c>
      <c r="C125" s="1843" t="n">
        <v>0</v>
      </c>
      <c r="D125" s="446" t="n"/>
      <c r="E125" s="415" t="n"/>
      <c r="F125" s="1881" t="n"/>
      <c r="G125" s="1881" t="n"/>
      <c r="H125" s="362" t="n"/>
      <c r="I125" s="362" t="n"/>
      <c r="R125" s="1877" t="n"/>
    </row>
    <row r="126" hidden="1" s="1439">
      <c r="B126" s="360" t="inlineStr">
        <is>
          <t>Less:  5% of Replacement Costs for Architect's Fees</t>
        </is>
      </c>
      <c r="C126" s="1865">
        <f>ROUND(-0.05*D123, 0)</f>
        <v/>
      </c>
      <c r="D126" s="447" t="n"/>
      <c r="E126" s="415" t="n"/>
      <c r="F126" s="1881" t="n"/>
      <c r="G126" s="1881" t="n"/>
      <c r="H126" s="362" t="n"/>
      <c r="I126" s="362" t="n"/>
      <c r="R126" s="1877" t="n"/>
    </row>
    <row r="127" hidden="1" s="1439">
      <c r="B127" s="442" t="inlineStr">
        <is>
          <t>Total Deductions</t>
        </is>
      </c>
      <c r="C127" s="1900">
        <f>SUM(C124:C126)</f>
        <v/>
      </c>
      <c r="D127" s="444" t="n"/>
      <c r="E127" s="415" t="n"/>
      <c r="F127" s="1881" t="n"/>
      <c r="G127" s="1881" t="n"/>
      <c r="H127" s="362" t="n"/>
      <c r="I127" s="362" t="n"/>
      <c r="R127" s="1877" t="n"/>
    </row>
    <row r="128" hidden="1" s="1439">
      <c r="B128" s="360" t="inlineStr">
        <is>
          <t>Plus:  Appliances</t>
        </is>
      </c>
      <c r="C128" s="1901" t="n"/>
      <c r="D128" s="1902" t="n">
        <v>0</v>
      </c>
      <c r="E128" s="415" t="n"/>
      <c r="F128" s="1881" t="n"/>
      <c r="G128" s="1881" t="n"/>
      <c r="H128" s="362" t="n"/>
      <c r="I128" s="362" t="n"/>
      <c r="R128" s="1877" t="n"/>
    </row>
    <row r="129" hidden="1" s="1439">
      <c r="B129" s="360" t="inlineStr">
        <is>
          <t>Plus:  Patios and Balconies</t>
        </is>
      </c>
      <c r="C129" s="1903" t="n"/>
      <c r="D129" s="1904" t="n">
        <v>0</v>
      </c>
      <c r="E129" s="415" t="n"/>
      <c r="F129" s="1881" t="n"/>
      <c r="G129" s="1881" t="n"/>
      <c r="H129" s="362" t="n"/>
      <c r="I129" s="362" t="n"/>
      <c r="R129" s="1877" t="n"/>
    </row>
    <row r="130" hidden="1" s="1439">
      <c r="B130" s="360" t="inlineStr">
        <is>
          <t>Plus:  Fireplaces</t>
        </is>
      </c>
      <c r="C130" s="1905" t="n"/>
      <c r="D130" s="1906" t="n">
        <v>0</v>
      </c>
      <c r="E130" s="415" t="n"/>
      <c r="F130" s="1881" t="n"/>
      <c r="G130" s="1881" t="n"/>
      <c r="H130" s="362" t="n"/>
      <c r="I130" s="362" t="n"/>
      <c r="R130" s="1877" t="n"/>
    </row>
    <row r="131" hidden="1" s="1439">
      <c r="B131" s="442" t="inlineStr">
        <is>
          <t>Total Inclusions</t>
        </is>
      </c>
      <c r="C131" s="1900" t="n"/>
      <c r="D131" s="1907">
        <f>SUM(D128:D130)</f>
        <v/>
      </c>
      <c r="E131" s="415" t="n"/>
      <c r="F131" s="1881" t="n"/>
      <c r="G131" s="1881" t="n"/>
      <c r="H131" s="362" t="n"/>
      <c r="I131" s="362" t="n"/>
      <c r="R131" s="1877" t="n"/>
    </row>
    <row r="132" hidden="1" s="1439">
      <c r="B132" s="455" t="inlineStr">
        <is>
          <t>Insurable Value</t>
        </is>
      </c>
      <c r="C132" s="456" t="n"/>
      <c r="D132" s="1908">
        <f>SUM(D123,C127,D131)</f>
        <v/>
      </c>
      <c r="E132" s="415" t="n"/>
      <c r="F132" s="1881" t="n"/>
      <c r="G132" s="1881" t="n"/>
      <c r="H132" s="362" t="n"/>
      <c r="I132" s="362" t="n"/>
    </row>
    <row r="133" hidden="1" s="1439">
      <c r="B133" s="1869" t="n">
        <v>5000</v>
      </c>
      <c r="C133" s="359" t="n"/>
      <c r="D133" s="1870">
        <f>MROUND(D132,5000)</f>
        <v/>
      </c>
      <c r="E133" s="415" t="n"/>
      <c r="F133" s="1881" t="n"/>
      <c r="G133" s="1909" t="n"/>
      <c r="H133" s="362" t="n"/>
      <c r="I133" s="362" t="n"/>
    </row>
    <row r="134" hidden="1" s="1439">
      <c r="B134" s="458" t="n"/>
      <c r="C134" s="458" t="n"/>
      <c r="D134" s="458" t="n"/>
      <c r="E134" s="415" t="n"/>
      <c r="F134" s="1881" t="n"/>
      <c r="G134" s="1881" t="n"/>
      <c r="H134" s="362" t="n"/>
      <c r="I134" s="362" t="n"/>
    </row>
    <row r="135" hidden="1" s="1439">
      <c r="B135" s="410">
        <f>B55</f>
        <v/>
      </c>
      <c r="C135" s="459" t="n"/>
      <c r="D135" s="460" t="n"/>
      <c r="E135" s="415" t="n"/>
      <c r="F135" s="1881" t="n"/>
      <c r="G135" s="1881" t="n"/>
      <c r="H135" s="362" t="n"/>
      <c r="I135" s="362" t="n"/>
    </row>
    <row r="136" hidden="1" s="1439">
      <c r="B136" s="461" t="n"/>
      <c r="C136" s="1910" t="n"/>
      <c r="D136" s="463" t="n"/>
      <c r="E136" s="415" t="n"/>
      <c r="F136" s="1881" t="n"/>
      <c r="G136" s="1881" t="n"/>
      <c r="H136" s="362" t="n"/>
      <c r="I136" s="362" t="n"/>
    </row>
    <row r="137">
      <c r="B137" s="419" t="n"/>
      <c r="C137" s="415" t="n"/>
      <c r="D137" s="415" t="n"/>
      <c r="E137" s="415" t="n"/>
      <c r="F137" s="1881" t="n"/>
      <c r="G137" s="1881" t="n"/>
      <c r="H137" s="362" t="n"/>
      <c r="I137" s="362" t="n"/>
    </row>
    <row r="138">
      <c r="B138" s="419" t="n"/>
      <c r="C138" s="415" t="n"/>
      <c r="D138" s="415" t="n"/>
      <c r="E138" s="415" t="n"/>
      <c r="F138" s="1881" t="n"/>
      <c r="G138" s="1881" t="n"/>
      <c r="H138" s="362" t="n"/>
      <c r="I138" s="362" t="n"/>
    </row>
    <row r="139">
      <c r="B139" s="419" t="n"/>
      <c r="C139" s="415" t="n"/>
      <c r="D139" s="415" t="n"/>
      <c r="E139" s="415" t="n"/>
      <c r="F139" s="1881" t="n"/>
      <c r="G139" s="1881" t="n"/>
      <c r="H139" s="362" t="n"/>
      <c r="I139" s="362" t="n"/>
    </row>
    <row r="140">
      <c r="B140" s="419" t="n"/>
      <c r="C140" s="415" t="n"/>
      <c r="D140" s="415" t="n"/>
      <c r="E140" s="415" t="n"/>
      <c r="F140" s="1881" t="n"/>
      <c r="G140" s="1881" t="n"/>
      <c r="H140" s="362" t="n"/>
      <c r="I140" s="362" t="n"/>
    </row>
    <row r="141">
      <c r="B141" s="419" t="n"/>
      <c r="C141" s="415" t="n"/>
      <c r="D141" s="415" t="n"/>
      <c r="E141" s="415" t="n"/>
      <c r="F141" s="1881" t="n"/>
      <c r="G141" s="1881" t="n"/>
      <c r="H141" s="362" t="n"/>
      <c r="I141" s="362" t="n"/>
    </row>
    <row r="142">
      <c r="B142" s="419" t="n"/>
      <c r="C142" s="415" t="n"/>
      <c r="D142" s="415" t="n"/>
      <c r="E142" s="415" t="n"/>
      <c r="F142" s="1881" t="n"/>
      <c r="G142" s="1881" t="n"/>
      <c r="H142" s="362" t="n"/>
      <c r="I142" s="362" t="n"/>
    </row>
    <row r="143">
      <c r="B143" s="419" t="n"/>
      <c r="C143" s="415" t="n"/>
      <c r="D143" s="415" t="n"/>
      <c r="E143" s="415" t="n"/>
      <c r="F143" s="1881" t="n"/>
      <c r="G143" s="1881" t="n"/>
      <c r="H143" s="362" t="n"/>
      <c r="I143" s="362" t="n"/>
    </row>
    <row r="144">
      <c r="B144" s="419" t="n"/>
      <c r="C144" s="415" t="n"/>
      <c r="D144" s="415" t="n"/>
      <c r="E144" s="415" t="n"/>
      <c r="F144" s="1881" t="n"/>
      <c r="G144" s="1881" t="n"/>
      <c r="H144" s="362" t="n"/>
      <c r="I144" s="362" t="n"/>
    </row>
    <row r="145">
      <c r="B145" s="419" t="n"/>
      <c r="C145" s="415" t="n"/>
      <c r="D145" s="415" t="n"/>
      <c r="E145" s="415" t="n"/>
      <c r="F145" s="1881" t="n"/>
      <c r="G145" s="1881" t="n"/>
      <c r="H145" s="362" t="n"/>
      <c r="I145" s="362" t="n"/>
    </row>
    <row r="146">
      <c r="B146" s="419" t="n"/>
      <c r="C146" s="415" t="n"/>
      <c r="D146" s="415" t="n"/>
      <c r="E146" s="415" t="n"/>
      <c r="F146" s="1881" t="n"/>
      <c r="G146" s="1881" t="n"/>
      <c r="H146" s="362" t="n"/>
      <c r="I146" s="362" t="n"/>
    </row>
    <row r="147">
      <c r="B147" s="419" t="n"/>
      <c r="C147" s="415" t="n"/>
      <c r="D147" s="415" t="n"/>
      <c r="E147" s="415" t="n"/>
      <c r="F147" s="1881" t="n"/>
      <c r="G147" s="1881" t="n"/>
      <c r="H147" s="362" t="n"/>
      <c r="I147" s="362" t="n"/>
    </row>
    <row r="223">
      <c r="Q223" s="373" t="n"/>
      <c r="R223" s="366" t="n"/>
    </row>
    <row r="224">
      <c r="Q224" s="373" t="n"/>
      <c r="R224" s="366" t="n"/>
    </row>
    <row r="225">
      <c r="Q225" s="373" t="n"/>
      <c r="R225" s="366" t="n"/>
    </row>
    <row r="226">
      <c r="Q226" s="373" t="n"/>
      <c r="R226" s="366" t="n"/>
    </row>
    <row r="341">
      <c r="Q341" s="373" t="n"/>
      <c r="R341" s="366" t="n"/>
    </row>
    <row r="540">
      <c r="Q540" s="373" t="n"/>
      <c r="R540" s="366" t="n"/>
    </row>
    <row r="541">
      <c r="Q541" s="373" t="n"/>
      <c r="R541" s="366" t="n"/>
    </row>
    <row r="542">
      <c r="Q542" s="373" t="n"/>
      <c r="R542" s="366" t="n"/>
    </row>
  </sheetData>
  <mergeCells count="5">
    <mergeCell ref="B3:G3"/>
    <mergeCell ref="K59:O59"/>
    <mergeCell ref="B66:G66"/>
    <mergeCell ref="B119:D119"/>
    <mergeCell ref="Q55:S55"/>
  </mergeCells>
  <dataValidations count="1">
    <dataValidation sqref="D11 D74" showDropDown="0" showInputMessage="1" showErrorMessage="1" allowBlank="1" prompt="Value is for average quality and 1-story flue. Each additional story for flue is $885."/>
  </dataValidation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B2:J17"/>
  <sheetViews>
    <sheetView workbookViewId="0">
      <selection activeCell="H23" sqref="H23"/>
    </sheetView>
  </sheetViews>
  <sheetFormatPr baseColWidth="8" defaultRowHeight="15"/>
  <cols>
    <col width="40.140625" customWidth="1" style="1439" min="2" max="2"/>
    <col width="14" bestFit="1" customWidth="1" style="1439" min="6" max="6"/>
    <col width="15.7109375" bestFit="1" customWidth="1" style="1439" min="7" max="10"/>
  </cols>
  <sheetData>
    <row r="2">
      <c r="B2" s="1546" t="inlineStr">
        <is>
          <t>Subject's Budgeted Construction Costs</t>
        </is>
      </c>
    </row>
    <row r="3">
      <c r="B3" s="1382" t="inlineStr">
        <is>
          <t>Item</t>
        </is>
      </c>
      <c r="C3" s="1382" t="inlineStr">
        <is>
          <t>Cost</t>
        </is>
      </c>
      <c r="D3" s="1382" t="inlineStr">
        <is>
          <t>Cost PSF</t>
        </is>
      </c>
    </row>
    <row r="4">
      <c r="B4" s="236" t="inlineStr">
        <is>
          <t>Site Inspection, Architectural &amp; Engineering</t>
        </is>
      </c>
      <c r="C4" s="1911" t="n">
        <v>208225</v>
      </c>
      <c r="D4" s="1912">
        <f>C4/'Property Info'!$B$4</f>
        <v/>
      </c>
    </row>
    <row r="5">
      <c r="B5" s="236" t="inlineStr">
        <is>
          <t>Government Fees &amp; Permits</t>
        </is>
      </c>
      <c r="C5" s="1911" t="n">
        <v>406500</v>
      </c>
      <c r="D5" s="1912">
        <f>C5/'Property Info'!$B$4</f>
        <v/>
      </c>
    </row>
    <row r="6">
      <c r="B6" s="236" t="inlineStr">
        <is>
          <t>Site Improvements</t>
        </is>
      </c>
      <c r="C6" s="1911" t="n">
        <v>733000</v>
      </c>
      <c r="D6" s="1912">
        <f>C6/'Property Info'!$B$4</f>
        <v/>
      </c>
    </row>
    <row r="7">
      <c r="B7" s="236" t="inlineStr">
        <is>
          <t>Off-Site Construction</t>
        </is>
      </c>
      <c r="C7" s="1911" t="n">
        <v>105000</v>
      </c>
      <c r="D7" s="1912">
        <f>C7/'Property Info'!$B$4</f>
        <v/>
      </c>
    </row>
    <row r="8">
      <c r="B8" s="236" t="inlineStr">
        <is>
          <t>Vertical Improvements</t>
        </is>
      </c>
      <c r="C8" s="1911" t="n">
        <v>2150000</v>
      </c>
      <c r="D8" s="1912">
        <f>C8/'Property Info'!$B$4</f>
        <v/>
      </c>
    </row>
    <row r="9">
      <c r="B9" s="236" t="inlineStr">
        <is>
          <t>Contractor Overhead &amp; Profit</t>
        </is>
      </c>
      <c r="C9" s="1911" t="n">
        <v>375000</v>
      </c>
      <c r="D9" s="1912">
        <f>C9/'Property Info'!$B$4</f>
        <v/>
      </c>
    </row>
    <row r="10">
      <c r="B10" s="236" t="inlineStr">
        <is>
          <t>Indirect Costs</t>
        </is>
      </c>
      <c r="C10" s="1911" t="n"/>
      <c r="D10" s="1912">
        <f>C10/'Property Info'!$B$4</f>
        <v/>
      </c>
    </row>
    <row r="11">
      <c r="B11" s="426" t="inlineStr">
        <is>
          <t>Total</t>
        </is>
      </c>
      <c r="C11" s="1913">
        <f>SUM(C4:C10)</f>
        <v/>
      </c>
      <c r="D11" s="1914">
        <f>C11/'Property Info'!$B$4</f>
        <v/>
      </c>
    </row>
    <row r="12">
      <c r="F12" s="1546" t="inlineStr">
        <is>
          <t>Comparable Constrution Cots</t>
        </is>
      </c>
    </row>
    <row r="13">
      <c r="F13" s="420" t="inlineStr">
        <is>
          <t>Comparable</t>
        </is>
      </c>
      <c r="G13" s="421" t="n">
        <v>1</v>
      </c>
      <c r="H13" s="421" t="n">
        <v>2</v>
      </c>
      <c r="I13" s="421" t="n">
        <v>3</v>
      </c>
      <c r="J13" s="421" t="n">
        <v>4</v>
      </c>
    </row>
    <row r="14">
      <c r="F14" s="420" t="inlineStr">
        <is>
          <t>Location</t>
        </is>
      </c>
      <c r="G14" s="422" t="inlineStr">
        <is>
          <t>Metro Denver</t>
        </is>
      </c>
      <c r="H14" s="421" t="inlineStr">
        <is>
          <t>Metro Denver</t>
        </is>
      </c>
      <c r="I14" s="421" t="inlineStr">
        <is>
          <t>Metro Denver</t>
        </is>
      </c>
      <c r="J14" s="421" t="inlineStr">
        <is>
          <t>Metro Denver</t>
        </is>
      </c>
    </row>
    <row r="15">
      <c r="F15" s="420" t="inlineStr">
        <is>
          <t>YOC</t>
        </is>
      </c>
      <c r="G15" s="422" t="n">
        <v>2015</v>
      </c>
      <c r="H15" s="421" t="n">
        <v>2016</v>
      </c>
      <c r="I15" s="421" t="n">
        <v>2019</v>
      </c>
      <c r="J15" s="421" t="n">
        <v>2019</v>
      </c>
    </row>
    <row r="16">
      <c r="F16" s="423" t="inlineStr">
        <is>
          <t>Property Type</t>
        </is>
      </c>
      <c r="G16" s="422" t="inlineStr">
        <is>
          <t>Franchise Daycare</t>
        </is>
      </c>
      <c r="H16" s="422" t="inlineStr">
        <is>
          <t>Franchise Daycare</t>
        </is>
      </c>
      <c r="I16" s="422" t="inlineStr">
        <is>
          <t>Franchise Daycare</t>
        </is>
      </c>
      <c r="J16" s="422" t="inlineStr">
        <is>
          <t>Franchise Daycare</t>
        </is>
      </c>
    </row>
    <row r="17">
      <c r="F17" s="424" t="inlineStr">
        <is>
          <t>Total Direct Cost</t>
        </is>
      </c>
      <c r="G17" s="1915" t="n">
        <v>255.16</v>
      </c>
      <c r="H17" s="1915" t="n">
        <v>325.13</v>
      </c>
      <c r="I17" s="1915" t="n">
        <v>420.5</v>
      </c>
      <c r="J17" s="1915" t="n">
        <v>344.08</v>
      </c>
    </row>
  </sheetData>
  <mergeCells count="2">
    <mergeCell ref="F12:J12"/>
    <mergeCell ref="B2:D2"/>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Z19"/>
  <sheetViews>
    <sheetView zoomScale="85" zoomScaleNormal="85" workbookViewId="0">
      <pane xSplit="2" topLeftCell="C1" activePane="topRight" state="frozen"/>
      <selection pane="topRight" activeCell="C36" sqref="C36"/>
    </sheetView>
  </sheetViews>
  <sheetFormatPr baseColWidth="8" defaultColWidth="9.140625" defaultRowHeight="15"/>
  <cols>
    <col width="8.140625" customWidth="1" style="677" min="1" max="1"/>
    <col width="22.42578125" bestFit="1" customWidth="1" style="677" min="2" max="2"/>
    <col width="19.7109375" bestFit="1" customWidth="1" style="677" min="3" max="3"/>
    <col width="21.42578125" bestFit="1" customWidth="1" style="677" min="4" max="4"/>
    <col width="11.5703125" customWidth="1" style="677" min="5" max="5"/>
    <col width="13.85546875" bestFit="1" customWidth="1" style="684" min="6" max="6"/>
    <col width="12.85546875" customWidth="1" style="1916" min="7" max="7"/>
    <col width="9.5703125" customWidth="1" style="1917" min="8" max="8"/>
    <col width="11.42578125" bestFit="1" customWidth="1" style="681" min="9" max="9"/>
    <col width="9" customWidth="1" style="682" min="10" max="10"/>
    <col width="9" customWidth="1" style="681" min="11" max="11"/>
    <col width="12.5703125" bestFit="1" customWidth="1" style="680" min="12" max="12"/>
    <col width="12.28515625" customWidth="1" style="679" min="13" max="15"/>
    <col width="13.7109375" customWidth="1" style="679" min="16" max="16"/>
    <col width="12.28515625" customWidth="1" style="679" min="17" max="17"/>
    <col width="10.7109375" bestFit="1" customWidth="1" style="679" min="18" max="18"/>
    <col width="12.28515625" customWidth="1" style="679" min="19" max="19"/>
    <col width="16.140625" customWidth="1" style="679" min="20" max="20"/>
    <col width="12.28515625" customWidth="1" style="679" min="21" max="24"/>
    <col width="9.140625" bestFit="1" customWidth="1" style="679" min="25" max="25"/>
    <col width="9.140625" customWidth="1" style="678" min="26" max="26"/>
    <col width="9.140625" customWidth="1" style="677" min="27" max="27"/>
    <col width="9.140625" customWidth="1" style="677" min="28" max="16384"/>
  </cols>
  <sheetData>
    <row r="1" ht="45" customFormat="1" customHeight="1" s="691">
      <c r="B1" s="721" t="inlineStr">
        <is>
          <t>Property Address</t>
        </is>
      </c>
      <c r="C1" s="721" t="inlineStr">
        <is>
          <t>Property City</t>
        </is>
      </c>
      <c r="D1" s="721" t="inlineStr">
        <is>
          <t>Account/Parcel</t>
        </is>
      </c>
      <c r="E1" s="720" t="inlineStr">
        <is>
          <t>Property Type</t>
        </is>
      </c>
      <c r="F1" s="719" t="inlineStr">
        <is>
          <t>Sale Date</t>
        </is>
      </c>
      <c r="G1" s="1918" t="inlineStr">
        <is>
          <t>Sale Price</t>
        </is>
      </c>
      <c r="H1" s="1918" t="inlineStr">
        <is>
          <t>Price ($/SF)</t>
        </is>
      </c>
      <c r="I1" s="716" t="inlineStr">
        <is>
          <t>Asking Price</t>
        </is>
      </c>
      <c r="J1" s="717" t="inlineStr">
        <is>
          <t>DOM</t>
        </is>
      </c>
      <c r="K1" s="716" t="inlineStr">
        <is>
          <t>Building SF</t>
        </is>
      </c>
      <c r="L1" s="715" t="inlineStr">
        <is>
          <t>Land Area SF</t>
        </is>
      </c>
      <c r="M1" s="713" t="inlineStr">
        <is>
          <t>Property Rights Conveyed</t>
        </is>
      </c>
      <c r="N1" s="713" t="inlineStr">
        <is>
          <t>Financing</t>
        </is>
      </c>
      <c r="O1" s="713" t="inlineStr">
        <is>
          <t>Terms/
Conditions of Sale</t>
        </is>
      </c>
      <c r="P1" s="713" t="inlineStr">
        <is>
          <t>Expenditures After Sale</t>
        </is>
      </c>
      <c r="Q1" s="713" t="inlineStr">
        <is>
          <t>Market Conditions</t>
        </is>
      </c>
      <c r="R1" s="714" t="inlineStr">
        <is>
          <t>Location</t>
        </is>
      </c>
      <c r="S1" s="714" t="inlineStr">
        <is>
          <t>Property Size (SF)</t>
        </is>
      </c>
      <c r="T1" s="714" t="inlineStr">
        <is>
          <t>YOC / Condition</t>
        </is>
      </c>
      <c r="U1" s="714" t="inlineStr">
        <is>
          <t>Quality</t>
        </is>
      </c>
      <c r="V1" s="714" t="inlineStr">
        <is>
          <t>Land-To-Building Ratio</t>
        </is>
      </c>
      <c r="W1" s="714" t="inlineStr">
        <is>
          <t>Tenancy / Occupancy</t>
        </is>
      </c>
      <c r="X1" s="714" t="inlineStr">
        <is>
          <t>Functional Utility</t>
        </is>
      </c>
      <c r="Y1" s="713" t="inlineStr">
        <is>
          <t>Total Net Adj.</t>
        </is>
      </c>
      <c r="Z1" s="713" t="inlineStr">
        <is>
          <t>Adjusted Price ($/SF)</t>
        </is>
      </c>
    </row>
    <row r="2" ht="30" customFormat="1" customHeight="1" s="705">
      <c r="A2" s="794" t="inlineStr">
        <is>
          <t>A</t>
        </is>
      </c>
      <c r="B2" s="712">
        <f>'Property Info'!B16</f>
        <v/>
      </c>
      <c r="C2" s="712">
        <f>'Property Info'!B17</f>
        <v/>
      </c>
      <c r="D2" s="712">
        <f>'Property Info'!B1</f>
        <v/>
      </c>
      <c r="E2" s="728">
        <f>'Property Info'!B15</f>
        <v/>
      </c>
      <c r="F2" s="1318" t="inlineStr">
        <is>
          <t>N/A</t>
        </is>
      </c>
      <c r="G2" s="1919" t="inlineStr">
        <is>
          <t>N/A</t>
        </is>
      </c>
      <c r="H2" s="1920" t="inlineStr">
        <is>
          <t>N/A</t>
        </is>
      </c>
      <c r="I2" s="1321" t="inlineStr">
        <is>
          <t>N/A</t>
        </is>
      </c>
      <c r="J2" s="1322" t="inlineStr">
        <is>
          <t>N/A</t>
        </is>
      </c>
      <c r="K2" s="711">
        <f>FE!C14</f>
        <v/>
      </c>
      <c r="L2" s="711">
        <f>'Property Info'!B11</f>
        <v/>
      </c>
      <c r="M2" s="707">
        <f>'Property Info'!B24</f>
        <v/>
      </c>
      <c r="N2" s="707" t="inlineStr">
        <is>
          <t>N/A</t>
        </is>
      </c>
      <c r="O2" s="707" t="inlineStr">
        <is>
          <t>N/A</t>
        </is>
      </c>
      <c r="P2" s="707" t="inlineStr">
        <is>
          <t>N/A</t>
        </is>
      </c>
      <c r="Q2" s="707" t="inlineStr">
        <is>
          <t>N/A</t>
        </is>
      </c>
      <c r="R2" s="1323" t="inlineStr">
        <is>
          <t>Average</t>
        </is>
      </c>
      <c r="S2" s="710">
        <f>K2</f>
        <v/>
      </c>
      <c r="T2" s="708">
        <f>'Property Info'!B10</f>
        <v/>
      </c>
      <c r="U2" s="708" t="inlineStr">
        <is>
          <t>Average</t>
        </is>
      </c>
      <c r="V2" s="709">
        <f>L2/K2</f>
        <v/>
      </c>
      <c r="W2" s="1323" t="inlineStr">
        <is>
          <t>Average</t>
        </is>
      </c>
      <c r="X2" s="1323" t="inlineStr">
        <is>
          <t>Average</t>
        </is>
      </c>
      <c r="Y2" s="707" t="inlineStr">
        <is>
          <t>N/A</t>
        </is>
      </c>
      <c r="Z2" s="706" t="inlineStr">
        <is>
          <t>N/A</t>
        </is>
      </c>
    </row>
    <row r="3" customFormat="1" s="702">
      <c r="A3" s="688" t="n">
        <v>1</v>
      </c>
      <c r="B3" s="1064" t="inlineStr">
        <is>
          <t>9670 Dallas St (Condo)</t>
        </is>
      </c>
      <c r="C3" s="783" t="inlineStr">
        <is>
          <t>Henderson</t>
        </is>
      </c>
      <c r="D3" s="784" t="inlineStr">
        <is>
          <t>1721-15-3-03-001</t>
        </is>
      </c>
      <c r="E3" s="1921" t="inlineStr">
        <is>
          <t>Industrial</t>
        </is>
      </c>
      <c r="F3" s="784" t="n">
        <v>44742</v>
      </c>
      <c r="G3" s="1922" t="n">
        <v>630000</v>
      </c>
      <c r="H3" s="1923" t="n">
        <v>210</v>
      </c>
      <c r="I3" s="787" t="n">
        <v>525000</v>
      </c>
      <c r="J3" s="783" t="n">
        <v>289</v>
      </c>
      <c r="K3" s="787" t="n">
        <v>3000</v>
      </c>
      <c r="L3" s="787" t="n"/>
      <c r="M3" s="1324" t="n">
        <v>0</v>
      </c>
      <c r="N3" s="1324" t="n">
        <v>0</v>
      </c>
      <c r="O3" s="1324" t="n">
        <v>0</v>
      </c>
      <c r="P3" s="1324" t="n">
        <v>0</v>
      </c>
      <c r="Q3" s="1324" t="n">
        <v>0</v>
      </c>
      <c r="R3" s="1324" t="n">
        <v>0.05</v>
      </c>
      <c r="S3" s="1325" t="n">
        <v>-0.05</v>
      </c>
      <c r="T3" s="1324" t="n">
        <v>0</v>
      </c>
      <c r="U3" s="1324" t="n">
        <v>0</v>
      </c>
      <c r="V3" s="1324" t="n">
        <v>0</v>
      </c>
      <c r="W3" s="1324" t="n">
        <v>0</v>
      </c>
      <c r="X3" s="1324" t="n">
        <v>0</v>
      </c>
      <c r="Y3" s="704">
        <f>SUM(M3:X3)</f>
        <v/>
      </c>
      <c r="Z3" s="1924">
        <f>H3+(H3*Y3)</f>
        <v/>
      </c>
    </row>
    <row r="4" customFormat="1" s="702">
      <c r="A4" s="688" t="n">
        <v>2</v>
      </c>
      <c r="B4" s="1064" t="inlineStr">
        <is>
          <t>9652 Hanover Ct W</t>
        </is>
      </c>
      <c r="C4" s="783" t="inlineStr">
        <is>
          <t>Henderson</t>
        </is>
      </c>
      <c r="D4" s="784" t="inlineStr">
        <is>
          <t>1721-15-0-11-005</t>
        </is>
      </c>
      <c r="E4" s="1921" t="inlineStr">
        <is>
          <t>Industrial</t>
        </is>
      </c>
      <c r="F4" s="784" t="n">
        <v>44637</v>
      </c>
      <c r="G4" s="1922" t="n">
        <v>4600000</v>
      </c>
      <c r="H4" s="1923" t="n">
        <v>197.87</v>
      </c>
      <c r="I4" s="783" t="n"/>
      <c r="J4" s="783" t="n"/>
      <c r="K4" s="787" t="n">
        <v>23248</v>
      </c>
      <c r="L4" s="787" t="n">
        <v>73704</v>
      </c>
      <c r="M4" s="1324" t="n">
        <v>0</v>
      </c>
      <c r="N4" s="1324" t="n">
        <v>0</v>
      </c>
      <c r="O4" s="1324" t="n">
        <v>0</v>
      </c>
      <c r="P4" s="1324" t="n">
        <v>0</v>
      </c>
      <c r="Q4" s="1324" t="n">
        <v>0</v>
      </c>
      <c r="R4" s="1324" t="n">
        <v>0</v>
      </c>
      <c r="S4" s="1325" t="n">
        <v>0</v>
      </c>
      <c r="T4" s="1324" t="n">
        <v>0</v>
      </c>
      <c r="U4" s="1324" t="n">
        <v>-0.1</v>
      </c>
      <c r="V4" s="1324" t="n">
        <v>0</v>
      </c>
      <c r="W4" s="1324" t="n">
        <v>0</v>
      </c>
      <c r="X4" s="1324" t="n">
        <v>0</v>
      </c>
      <c r="Y4" s="704">
        <f>SUM(M4:X4)</f>
        <v/>
      </c>
      <c r="Z4" s="1924">
        <f>H4+(H4*Y4)</f>
        <v/>
      </c>
    </row>
    <row r="5" customFormat="1" s="702">
      <c r="A5" s="688" t="n">
        <v>3</v>
      </c>
      <c r="B5" s="1064" t="inlineStr">
        <is>
          <t>9690 Dallas St (Condo)</t>
        </is>
      </c>
      <c r="C5" s="783" t="inlineStr">
        <is>
          <t>Henderson</t>
        </is>
      </c>
      <c r="D5" s="784" t="inlineStr">
        <is>
          <t>1721-15-3-03-013</t>
        </is>
      </c>
      <c r="E5" s="1921" t="inlineStr">
        <is>
          <t>Industrial</t>
        </is>
      </c>
      <c r="F5" s="784" t="n">
        <v>44631</v>
      </c>
      <c r="G5" s="1922" t="n">
        <v>525000</v>
      </c>
      <c r="H5" s="1923" t="n">
        <v>175</v>
      </c>
      <c r="I5" s="787" t="n"/>
      <c r="J5" s="787" t="n"/>
      <c r="K5" s="787" t="n">
        <v>3000</v>
      </c>
      <c r="L5" s="787" t="n">
        <v>93218</v>
      </c>
      <c r="M5" s="1324" t="n">
        <v>0</v>
      </c>
      <c r="N5" s="1324" t="n">
        <v>0</v>
      </c>
      <c r="O5" s="1324" t="n">
        <v>0</v>
      </c>
      <c r="P5" s="1324" t="n">
        <v>0</v>
      </c>
      <c r="Q5" s="1324" t="n">
        <v>0</v>
      </c>
      <c r="R5" s="1324" t="n">
        <v>0</v>
      </c>
      <c r="S5" s="1325" t="n">
        <v>-0.05</v>
      </c>
      <c r="T5" s="1324" t="n">
        <v>0</v>
      </c>
      <c r="U5" s="1324" t="n">
        <v>-0.05</v>
      </c>
      <c r="V5" s="1324" t="n">
        <v>0.05</v>
      </c>
      <c r="W5" s="1324" t="n">
        <v>0.05</v>
      </c>
      <c r="X5" s="1324" t="n">
        <v>0</v>
      </c>
      <c r="Y5" s="704">
        <f>SUM(M5:X5)</f>
        <v/>
      </c>
      <c r="Z5" s="1924">
        <f>H5+(H5*Y5)</f>
        <v/>
      </c>
    </row>
    <row r="6" customFormat="1" s="702">
      <c r="A6" s="688" t="n">
        <v>4</v>
      </c>
      <c r="B6" s="1064" t="inlineStr">
        <is>
          <t>9900 Emporia St (Part of a 2 Property Sale)</t>
        </is>
      </c>
      <c r="C6" s="783" t="inlineStr">
        <is>
          <t>Commerce City</t>
        </is>
      </c>
      <c r="D6" s="784" t="inlineStr">
        <is>
          <t>1721-15-4-04-003</t>
        </is>
      </c>
      <c r="E6" s="1921" t="inlineStr">
        <is>
          <t>Industrial</t>
        </is>
      </c>
      <c r="F6" s="784" t="n">
        <v>44537</v>
      </c>
      <c r="G6" s="1922" t="n">
        <v>9728033</v>
      </c>
      <c r="H6" s="1923" t="n">
        <v>640</v>
      </c>
      <c r="I6" s="787" t="n"/>
      <c r="J6" s="783" t="n"/>
      <c r="K6" s="787" t="n">
        <v>15200</v>
      </c>
      <c r="L6" s="787" t="n">
        <v>487436</v>
      </c>
      <c r="M6" s="1324" t="n">
        <v>0</v>
      </c>
      <c r="N6" s="1324" t="n">
        <v>0</v>
      </c>
      <c r="O6" s="1324" t="n">
        <v>0</v>
      </c>
      <c r="P6" s="1324" t="n">
        <v>0</v>
      </c>
      <c r="Q6" s="1324" t="n">
        <v>0.05</v>
      </c>
      <c r="R6" s="1324" t="n">
        <v>0</v>
      </c>
      <c r="S6" s="1325" t="n">
        <v>0</v>
      </c>
      <c r="T6" s="1324" t="n">
        <v>0</v>
      </c>
      <c r="U6" s="1324" t="n">
        <v>0</v>
      </c>
      <c r="V6" s="1324" t="n">
        <v>0.05</v>
      </c>
      <c r="W6" s="1324" t="n">
        <v>0</v>
      </c>
      <c r="X6" s="1324" t="n">
        <v>0</v>
      </c>
      <c r="Y6" s="704">
        <f>SUM(M6:X6)</f>
        <v/>
      </c>
      <c r="Z6" s="1924">
        <f>H6+(H6*Y6)</f>
        <v/>
      </c>
    </row>
    <row r="7" customFormat="1" s="702">
      <c r="A7" s="688" t="n">
        <v>5</v>
      </c>
      <c r="B7" s="1328" t="inlineStr">
        <is>
          <t>10400 E 102nd Ave</t>
        </is>
      </c>
      <c r="C7" s="1328" t="inlineStr">
        <is>
          <t>Commerce City</t>
        </is>
      </c>
      <c r="D7" s="1328" t="inlineStr">
        <is>
          <t>1721-15-1-02-013</t>
        </is>
      </c>
      <c r="E7" s="1328" t="inlineStr">
        <is>
          <t>Industrial</t>
        </is>
      </c>
      <c r="F7" s="1329" t="n">
        <v>44517</v>
      </c>
      <c r="G7" s="1925" t="n">
        <v>13000000</v>
      </c>
      <c r="H7" s="1926" t="n">
        <v>739.6</v>
      </c>
      <c r="I7" s="1332" t="n"/>
      <c r="J7" s="1332" t="n"/>
      <c r="K7" s="1332" t="n">
        <v>17577</v>
      </c>
      <c r="L7" s="1332" t="n">
        <v>700880</v>
      </c>
      <c r="M7" s="1326" t="n"/>
      <c r="N7" s="1326" t="n"/>
      <c r="O7" s="1326" t="n"/>
      <c r="P7" s="1326" t="n"/>
      <c r="Q7" s="1326" t="n"/>
      <c r="R7" s="1326" t="n"/>
      <c r="S7" s="1327" t="n"/>
      <c r="T7" s="1326" t="n"/>
      <c r="U7" s="1326" t="n"/>
      <c r="V7" s="1326" t="n"/>
      <c r="W7" s="1326" t="n"/>
      <c r="X7" s="1326" t="n"/>
      <c r="Y7" s="701" t="n"/>
      <c r="Z7" s="1924" t="n"/>
    </row>
    <row r="8">
      <c r="B8" s="700" t="inlineStr">
        <is>
          <t>Average</t>
        </is>
      </c>
      <c r="H8" s="1927">
        <f>AVERAGE(H3:H7)</f>
        <v/>
      </c>
      <c r="Q8" s="699" t="n"/>
      <c r="Z8" s="1928">
        <f>AVERAGE(Z3:Z7)</f>
        <v/>
      </c>
    </row>
    <row r="9">
      <c r="B9" s="700" t="inlineStr">
        <is>
          <t>Median</t>
        </is>
      </c>
      <c r="H9" s="1927">
        <f>MEDIAN(H3:H7)</f>
        <v/>
      </c>
      <c r="Q9" s="699" t="n"/>
      <c r="Z9" s="1928">
        <f>MEDIAN(Z3:Z7)</f>
        <v/>
      </c>
    </row>
    <row r="10" customFormat="1" s="689">
      <c r="B10" s="697" t="inlineStr">
        <is>
          <t>Standard Dev.</t>
        </is>
      </c>
      <c r="F10" s="696" t="n"/>
      <c r="G10" s="1929" t="n"/>
      <c r="H10" s="1930">
        <f>_xlfn.STDEV.P(H3:H6)</f>
        <v/>
      </c>
      <c r="I10" s="693" t="n"/>
      <c r="J10" s="694" t="n"/>
      <c r="K10" s="693" t="n"/>
      <c r="L10" s="692" t="n"/>
      <c r="M10" s="691" t="n"/>
      <c r="N10" s="691" t="n"/>
      <c r="O10" s="691" t="n"/>
      <c r="P10" s="691" t="n"/>
      <c r="Q10" s="691" t="n"/>
      <c r="R10" s="691" t="n"/>
      <c r="S10" s="691" t="n"/>
      <c r="T10" s="691" t="n"/>
      <c r="U10" s="691" t="n"/>
      <c r="V10" s="691" t="n"/>
      <c r="W10" s="691" t="n"/>
      <c r="X10" s="691" t="n"/>
      <c r="Y10" s="691" t="n"/>
      <c r="Z10" s="1931">
        <f>_xlfn.STDEV.P(Z3:Z6)</f>
        <v/>
      </c>
    </row>
    <row r="12">
      <c r="R12" s="1333" t="inlineStr">
        <is>
          <t>Comp</t>
        </is>
      </c>
      <c r="S12" s="688" t="inlineStr">
        <is>
          <t>% Size Diff.</t>
        </is>
      </c>
      <c r="T12" s="688" t="n"/>
      <c r="U12" s="688" t="n"/>
      <c r="V12" s="688" t="inlineStr">
        <is>
          <t>LTB</t>
        </is>
      </c>
    </row>
    <row r="13">
      <c r="R13" s="679" t="n">
        <v>1</v>
      </c>
      <c r="S13" s="687">
        <f>(K3-$K$2)/$K$2</f>
        <v/>
      </c>
      <c r="T13" s="686" t="n"/>
      <c r="U13" s="686" t="n"/>
      <c r="V13" s="685">
        <f>L3/K3</f>
        <v/>
      </c>
    </row>
    <row r="14">
      <c r="R14" s="679" t="n">
        <v>2</v>
      </c>
      <c r="S14" s="687">
        <f>(K4-$K$2)/$K$2</f>
        <v/>
      </c>
      <c r="T14" s="686" t="n"/>
      <c r="U14" s="686" t="n"/>
      <c r="V14" s="685">
        <f>L4/K4</f>
        <v/>
      </c>
    </row>
    <row r="15">
      <c r="R15" s="679" t="n">
        <v>3</v>
      </c>
      <c r="S15" s="687">
        <f>(K5-$K$2)/$K$2</f>
        <v/>
      </c>
      <c r="T15" s="686" t="n"/>
      <c r="U15" s="686" t="n"/>
      <c r="V15" s="685">
        <f>L5/K5</f>
        <v/>
      </c>
    </row>
    <row r="16">
      <c r="R16" s="679" t="n">
        <v>4</v>
      </c>
      <c r="S16" s="687">
        <f>(K6-$K$2)/$K$2</f>
        <v/>
      </c>
      <c r="T16" s="686" t="n"/>
      <c r="U16" s="686" t="n"/>
      <c r="V16" s="685">
        <f>L6/K6</f>
        <v/>
      </c>
    </row>
    <row r="17">
      <c r="R17" s="679" t="n">
        <v>5</v>
      </c>
      <c r="S17" s="687">
        <f>(K7-$K$2)/$K$2</f>
        <v/>
      </c>
      <c r="T17" s="686" t="n"/>
      <c r="U17" s="686" t="n"/>
      <c r="V17" s="685">
        <f>L7/K7</f>
        <v/>
      </c>
    </row>
    <row r="18">
      <c r="S18" s="687" t="n"/>
      <c r="T18" s="686" t="n"/>
      <c r="U18" s="686" t="n"/>
      <c r="V18" s="685" t="n"/>
    </row>
    <row r="19">
      <c r="S19" s="687" t="n"/>
      <c r="T19" s="686" t="n"/>
      <c r="U19" s="686" t="n"/>
      <c r="V19" s="685" t="n"/>
    </row>
  </sheetData>
  <autoFilter ref="B1:X5">
    <sortState ref="B2:X11">
      <sortCondition descending="1" ref="F1:F5"/>
    </sortState>
  </autoFilter>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C2:T70"/>
  <sheetViews>
    <sheetView showGridLines="0" topLeftCell="C1" zoomScale="85" zoomScaleNormal="85" workbookViewId="0">
      <selection activeCell="H63" sqref="H63"/>
    </sheetView>
  </sheetViews>
  <sheetFormatPr baseColWidth="8" defaultColWidth="9.140625" defaultRowHeight="15"/>
  <cols>
    <col width="2.85546875" customWidth="1" style="1439" min="2" max="2"/>
    <col width="27.28515625" customWidth="1" style="1439" min="3" max="3"/>
    <col width="25.7109375" customWidth="1" style="1439" min="4" max="4"/>
    <col width="21.85546875" customWidth="1" style="1439" min="5" max="8"/>
    <col hidden="1" width="21.85546875" customWidth="1" style="1439" min="9" max="9"/>
    <col hidden="1" width="25.7109375" customWidth="1" style="1439" min="10" max="10"/>
    <col hidden="1" width="10.140625" customWidth="1" style="1439" min="11" max="11"/>
    <col width="29.85546875" customWidth="1" style="1439" min="15" max="15"/>
    <col width="40.7109375" customWidth="1" style="1439" min="16" max="16"/>
    <col width="15.140625" customWidth="1" style="1439" min="17" max="17"/>
    <col width="16.140625" customWidth="1" style="1439" min="18" max="20"/>
  </cols>
  <sheetData>
    <row r="1" ht="11.45" customHeight="1" s="1439"/>
    <row r="2">
      <c r="C2" s="1536" t="inlineStr">
        <is>
          <t>COMPARABLE SALE ADJUSTMENT GRID</t>
        </is>
      </c>
      <c r="J2" s="669" t="n"/>
      <c r="K2" s="669" t="n"/>
    </row>
    <row r="3">
      <c r="C3" s="801" t="n"/>
      <c r="D3" s="801" t="inlineStr">
        <is>
          <t>Subject</t>
        </is>
      </c>
      <c r="E3" s="801" t="inlineStr">
        <is>
          <t>Sale 1</t>
        </is>
      </c>
      <c r="F3" s="1532" t="inlineStr">
        <is>
          <t>Sale 2</t>
        </is>
      </c>
      <c r="G3" s="1532" t="inlineStr">
        <is>
          <t>Sale 3</t>
        </is>
      </c>
      <c r="H3" s="1532" t="inlineStr">
        <is>
          <t>Sale 4</t>
        </is>
      </c>
      <c r="I3" s="1532" t="inlineStr">
        <is>
          <t>Sale 5</t>
        </is>
      </c>
      <c r="J3" s="1543" t="inlineStr">
        <is>
          <t>Listing 1</t>
        </is>
      </c>
    </row>
    <row r="4" customFormat="1" s="1559">
      <c r="C4" s="744" t="inlineStr">
        <is>
          <t>Address</t>
        </is>
      </c>
      <c r="D4" s="747">
        <f>Export030823!B2</f>
        <v/>
      </c>
      <c r="E4" s="1558">
        <f>Export030823!B3</f>
        <v/>
      </c>
      <c r="F4" s="1588">
        <f>Export030823!B4</f>
        <v/>
      </c>
      <c r="G4" s="1588">
        <f>Export030823!B5</f>
        <v/>
      </c>
      <c r="H4" s="1579">
        <f>Export030823!B6</f>
        <v/>
      </c>
      <c r="I4" s="1579">
        <f>Export030823!B7</f>
        <v/>
      </c>
      <c r="J4" s="1558" t="inlineStr">
        <is>
          <t>3555 West 144th Avenue</t>
        </is>
      </c>
    </row>
    <row r="5" ht="30" customHeight="1" s="1439">
      <c r="C5" s="634" t="inlineStr">
        <is>
          <t>City, State</t>
        </is>
      </c>
      <c r="D5" s="747">
        <f>Export030823!C2</f>
        <v/>
      </c>
      <c r="E5" s="1560">
        <f>Export030823!C3</f>
        <v/>
      </c>
      <c r="F5" s="1568">
        <f>Export030823!C4</f>
        <v/>
      </c>
      <c r="G5" s="1568">
        <f>Export030823!C5</f>
        <v/>
      </c>
      <c r="H5" s="1590">
        <f>Export030823!C6</f>
        <v/>
      </c>
      <c r="I5" s="1590">
        <f>Export030823!C7</f>
        <v/>
      </c>
      <c r="J5" s="1560" t="inlineStr">
        <is>
          <t>Broomfield</t>
        </is>
      </c>
    </row>
    <row r="6" hidden="1" ht="30" customHeight="1" s="1439">
      <c r="C6" s="634" t="inlineStr">
        <is>
          <t>Parcel Number</t>
        </is>
      </c>
      <c r="D6" s="748">
        <f>Export030823!D2</f>
        <v/>
      </c>
      <c r="E6" s="1558">
        <f>Export030823!D3</f>
        <v/>
      </c>
      <c r="F6" s="1588">
        <f>Export030823!D4</f>
        <v/>
      </c>
      <c r="G6" s="1588">
        <f>Export030823!D5</f>
        <v/>
      </c>
      <c r="H6" s="1590">
        <f>Export030823!D6</f>
        <v/>
      </c>
      <c r="I6" s="1590">
        <f>Export030823!D7</f>
        <v/>
      </c>
      <c r="J6" s="1558" t="inlineStr">
        <is>
          <t>1573-173-14-002</t>
        </is>
      </c>
    </row>
    <row r="7">
      <c r="C7" s="634" t="inlineStr">
        <is>
          <t>Property Type</t>
        </is>
      </c>
      <c r="D7" s="747">
        <f>Export030823!E2</f>
        <v/>
      </c>
      <c r="E7" s="1560">
        <f>Export030823!E3</f>
        <v/>
      </c>
      <c r="F7" s="1568">
        <f>Export030823!E4</f>
        <v/>
      </c>
      <c r="G7" s="1568">
        <f>Export030823!E5</f>
        <v/>
      </c>
      <c r="H7" s="1590">
        <f>Export030823!E6</f>
        <v/>
      </c>
      <c r="I7" s="1590">
        <f>Export030823!E7</f>
        <v/>
      </c>
      <c r="J7" s="1560" t="inlineStr">
        <is>
          <t>ST Daycare Building</t>
        </is>
      </c>
    </row>
    <row r="8">
      <c r="C8" s="634" t="inlineStr">
        <is>
          <t>Sale Date</t>
        </is>
      </c>
      <c r="D8" s="749" t="inlineStr">
        <is>
          <t>N/A</t>
        </is>
      </c>
      <c r="E8" s="1932">
        <f>Export030823!F3</f>
        <v/>
      </c>
      <c r="F8" s="1933">
        <f>Export030823!F4</f>
        <v/>
      </c>
      <c r="G8" s="1933">
        <f>Export030823!F5</f>
        <v/>
      </c>
      <c r="H8" s="1934">
        <f>Export030823!F6</f>
        <v/>
      </c>
      <c r="I8" s="1934">
        <f>Export030823!F7</f>
        <v/>
      </c>
      <c r="J8" s="1932" t="inlineStr">
        <is>
          <t>TBD (Active Listing)</t>
        </is>
      </c>
    </row>
    <row r="9">
      <c r="C9" s="634" t="inlineStr">
        <is>
          <t>Sale Price</t>
        </is>
      </c>
      <c r="D9" s="1935" t="inlineStr">
        <is>
          <t>N/A</t>
        </is>
      </c>
      <c r="E9" s="1936">
        <f>Export030823!G3</f>
        <v/>
      </c>
      <c r="F9" s="1937">
        <f>Export030823!G4</f>
        <v/>
      </c>
      <c r="G9" s="1937">
        <f>Export030823!G5</f>
        <v/>
      </c>
      <c r="H9" s="1938">
        <f>Export030823!G6</f>
        <v/>
      </c>
      <c r="I9" s="1938">
        <f>Export030823!G7</f>
        <v/>
      </c>
      <c r="J9" s="1936" t="inlineStr">
        <is>
          <t>N/A</t>
        </is>
      </c>
    </row>
    <row r="10" hidden="1" s="1439">
      <c r="C10" s="634" t="inlineStr">
        <is>
          <t>Listing Price</t>
        </is>
      </c>
      <c r="D10" s="1935" t="inlineStr">
        <is>
          <t>N/A</t>
        </is>
      </c>
      <c r="E10" s="1936">
        <f>Export030823!I3</f>
        <v/>
      </c>
      <c r="F10" s="1937">
        <f>Export030823!I4</f>
        <v/>
      </c>
      <c r="G10" s="1937">
        <f>Export030823!I5</f>
        <v/>
      </c>
      <c r="H10" s="1938">
        <f>Export030823!I6</f>
        <v/>
      </c>
      <c r="I10" s="1938">
        <f>Export030823!I7</f>
        <v/>
      </c>
      <c r="J10" s="1936" t="n"/>
      <c r="K10" s="1936" t="n">
        <v>6769231</v>
      </c>
    </row>
    <row r="11" hidden="1" s="1439">
      <c r="C11" s="635" t="inlineStr">
        <is>
          <t>Days On Market</t>
        </is>
      </c>
      <c r="D11" s="749" t="inlineStr">
        <is>
          <t>N/A</t>
        </is>
      </c>
      <c r="E11" s="746">
        <f>Export030823!J3</f>
        <v/>
      </c>
      <c r="F11" s="740">
        <f>Export030823!J4</f>
        <v/>
      </c>
      <c r="G11" s="740">
        <f>Export030823!J5</f>
        <v/>
      </c>
      <c r="H11" s="772">
        <f>Export030823!J6</f>
        <v/>
      </c>
      <c r="I11" s="772">
        <f>Export030823!J7</f>
        <v/>
      </c>
      <c r="J11" s="1560" t="n">
        <v>73</v>
      </c>
    </row>
    <row r="12" hidden="1" ht="28.5" customHeight="1" s="1439">
      <c r="C12" s="634" t="inlineStr">
        <is>
          <t>Data Source</t>
        </is>
      </c>
      <c r="D12" s="751" t="inlineStr">
        <is>
          <t>Inspection, Lease, Site Plans, Assessor</t>
        </is>
      </c>
      <c r="E12" s="1558" t="inlineStr">
        <is>
          <t>CoStar, Assessor, Deed</t>
        </is>
      </c>
      <c r="F12" s="1588" t="inlineStr">
        <is>
          <t>CoStar, Assessor, Deed</t>
        </is>
      </c>
      <c r="G12" s="1588" t="inlineStr">
        <is>
          <t>CoStar, Assessor, Deed</t>
        </is>
      </c>
      <c r="H12" s="1579" t="inlineStr">
        <is>
          <t>CoStar, Assessor, Deed</t>
        </is>
      </c>
      <c r="I12" s="1579" t="inlineStr">
        <is>
          <t>CoStar, Assessor, Offering Memorandum</t>
        </is>
      </c>
      <c r="J12" s="1558" t="inlineStr">
        <is>
          <t>CoStar, Assessor, Offering Memorandum</t>
        </is>
      </c>
    </row>
    <row r="13">
      <c r="C13" s="634" t="inlineStr">
        <is>
          <t>Property Size (SF)</t>
        </is>
      </c>
      <c r="D13" s="752">
        <f>Export030823!K2</f>
        <v/>
      </c>
      <c r="E13" s="1555">
        <f>Export030823!K3</f>
        <v/>
      </c>
      <c r="F13" s="1595">
        <f>Export030823!K4</f>
        <v/>
      </c>
      <c r="G13" s="1595">
        <f>Export030823!K5</f>
        <v/>
      </c>
      <c r="H13" s="1577">
        <f>Export030823!K6</f>
        <v/>
      </c>
      <c r="I13" s="1577">
        <f>Export030823!K7</f>
        <v/>
      </c>
      <c r="J13" s="1555" t="n">
        <v>10511</v>
      </c>
    </row>
    <row r="14">
      <c r="C14" s="634" t="inlineStr">
        <is>
          <t>Site Size (SF)</t>
        </is>
      </c>
      <c r="D14" s="753">
        <f>Export030823!L2</f>
        <v/>
      </c>
      <c r="E14" s="1555">
        <f>Export030823!L3</f>
        <v/>
      </c>
      <c r="F14" s="1595">
        <f>Export030823!L4</f>
        <v/>
      </c>
      <c r="G14" s="1595">
        <f>Export030823!L5</f>
        <v/>
      </c>
      <c r="H14" s="1577">
        <f>Export030823!L6</f>
        <v/>
      </c>
      <c r="I14" s="1577">
        <f>Export030823!L7</f>
        <v/>
      </c>
      <c r="J14" s="1555" t="n">
        <v>67954</v>
      </c>
    </row>
    <row r="15" hidden="1" s="1439">
      <c r="C15" s="634" t="inlineStr">
        <is>
          <t>Parking Spaces</t>
        </is>
      </c>
      <c r="D15" s="754" t="n">
        <v>41</v>
      </c>
      <c r="E15" s="741" t="n"/>
      <c r="F15" s="741" t="n"/>
      <c r="G15" s="741" t="n"/>
      <c r="H15" s="742" t="n"/>
      <c r="I15" s="742" t="n"/>
      <c r="J15" s="1562" t="n">
        <v>28</v>
      </c>
    </row>
    <row r="16" hidden="1" ht="70.5" customHeight="1" s="1439">
      <c r="C16" s="634" t="inlineStr">
        <is>
          <t>Comments</t>
        </is>
      </c>
      <c r="D16" s="1939" t="inlineStr">
        <is>
          <t>Single-tenant daycare facility 100% leased long-term to KinderCare on a guaranteed net agreement.</t>
        </is>
      </c>
      <c r="E16" s="1940" t="n"/>
      <c r="F16" s="1940" t="n"/>
      <c r="G16" s="1940" t="n"/>
      <c r="H16" s="1940" t="n"/>
      <c r="I16" s="1940" t="n"/>
      <c r="J16" s="1941" t="inlineStr">
        <is>
          <t>Single-tenant daycare facility 100% leased long-term to Little Sunshine's Playhouse and Preschool, a national tenant.</t>
        </is>
      </c>
      <c r="K16" s="1540" t="n"/>
    </row>
    <row r="17">
      <c r="C17" s="636" t="inlineStr">
        <is>
          <t>Unadjusted Price Per SF</t>
        </is>
      </c>
      <c r="D17" s="1942" t="n"/>
      <c r="E17" s="1943">
        <f>E9/E13</f>
        <v/>
      </c>
      <c r="F17" s="1943">
        <f>F9/F13</f>
        <v/>
      </c>
      <c r="G17" s="1943">
        <f>G9/G13</f>
        <v/>
      </c>
      <c r="H17" s="1943">
        <f>H9/H13</f>
        <v/>
      </c>
      <c r="I17" s="1943">
        <f>I9/I13</f>
        <v/>
      </c>
      <c r="J17" s="639" t="n"/>
      <c r="K17" s="1944">
        <f>K10/J13</f>
        <v/>
      </c>
    </row>
    <row r="18" ht="12.6" customHeight="1" s="1439">
      <c r="C18" s="802" t="inlineStr">
        <is>
          <t>Quantified Adjustments</t>
        </is>
      </c>
      <c r="D18" s="803" t="n"/>
      <c r="E18" s="804" t="n"/>
      <c r="F18" s="804" t="n"/>
      <c r="G18" s="804" t="n"/>
      <c r="H18" s="804" t="n"/>
      <c r="I18" s="804" t="n"/>
      <c r="J18" s="640" t="n"/>
      <c r="K18" s="640" t="n"/>
    </row>
    <row r="19" hidden="1" s="1439">
      <c r="C19" s="641" t="inlineStr">
        <is>
          <t>Sale Type</t>
        </is>
      </c>
      <c r="D19" s="757">
        <f>Export030823!M2</f>
        <v/>
      </c>
      <c r="E19" s="1945">
        <f>Export030823!M3</f>
        <v/>
      </c>
      <c r="F19" s="1945">
        <f>Export030823!M4</f>
        <v/>
      </c>
      <c r="G19" s="1945">
        <f>Export030823!M5</f>
        <v/>
      </c>
      <c r="H19" s="1945">
        <f>Export030823!M6</f>
        <v/>
      </c>
      <c r="I19" s="1945">
        <f>Export030823!M7</f>
        <v/>
      </c>
      <c r="J19" s="643" t="inlineStr">
        <is>
          <t>Leased Fee</t>
        </is>
      </c>
      <c r="K19" s="1946" t="n"/>
    </row>
    <row r="20">
      <c r="C20" s="634" t="inlineStr">
        <is>
          <t>Financing</t>
        </is>
      </c>
      <c r="D20" s="749" t="inlineStr">
        <is>
          <t>Market Based</t>
        </is>
      </c>
      <c r="E20" s="1947">
        <f>Export030823!N3</f>
        <v/>
      </c>
      <c r="F20" s="1947">
        <f>Export030823!N4</f>
        <v/>
      </c>
      <c r="G20" s="1947">
        <f>Export030823!N5</f>
        <v/>
      </c>
      <c r="H20" s="1947">
        <f>Export030823!N6</f>
        <v/>
      </c>
      <c r="I20" s="1947">
        <f>Export030823!N7</f>
        <v/>
      </c>
      <c r="J20" s="648" t="n"/>
      <c r="K20" s="1948" t="n">
        <v>0</v>
      </c>
    </row>
    <row r="21">
      <c r="C21" s="634" t="inlineStr">
        <is>
          <t>Terms/Conditions of Sale</t>
        </is>
      </c>
      <c r="D21" s="749" t="inlineStr">
        <is>
          <t>None</t>
        </is>
      </c>
      <c r="E21" s="1947">
        <f>Export030823!O3</f>
        <v/>
      </c>
      <c r="F21" s="1947">
        <f>Export030823!O4</f>
        <v/>
      </c>
      <c r="G21" s="1947">
        <f>Export030823!O5</f>
        <v/>
      </c>
      <c r="H21" s="1947">
        <f>Export030823!O6</f>
        <v/>
      </c>
      <c r="I21" s="1947">
        <f>Export030823!O7</f>
        <v/>
      </c>
      <c r="J21" s="646" t="inlineStr">
        <is>
          <t>Active Listing</t>
        </is>
      </c>
      <c r="K21" s="1948" t="n">
        <v>-0.05</v>
      </c>
    </row>
    <row r="22">
      <c r="C22" s="634" t="inlineStr">
        <is>
          <t>Expenditures After Sale</t>
        </is>
      </c>
      <c r="D22" s="749" t="inlineStr">
        <is>
          <t>None</t>
        </is>
      </c>
      <c r="E22" s="1947">
        <f>Export030823!P3</f>
        <v/>
      </c>
      <c r="F22" s="1947">
        <f>Export030823!P4</f>
        <v/>
      </c>
      <c r="G22" s="1947">
        <f>Export030823!P5</f>
        <v/>
      </c>
      <c r="H22" s="1947">
        <f>Export030823!P6</f>
        <v/>
      </c>
      <c r="I22" s="1947">
        <f>Export030823!P7</f>
        <v/>
      </c>
      <c r="J22" s="648" t="n"/>
      <c r="K22" s="1948" t="n">
        <v>0</v>
      </c>
    </row>
    <row r="23">
      <c r="C23" s="634" t="inlineStr">
        <is>
          <t>Market Conditions</t>
        </is>
      </c>
      <c r="D23" s="749" t="inlineStr">
        <is>
          <t>N/A</t>
        </is>
      </c>
      <c r="E23" s="1947">
        <f>Export030823!Q3</f>
        <v/>
      </c>
      <c r="F23" s="1947">
        <f>Export030823!Q4</f>
        <v/>
      </c>
      <c r="G23" s="1947">
        <f>Export030823!Q5</f>
        <v/>
      </c>
      <c r="H23" s="1947">
        <f>Export030823!Q6</f>
        <v/>
      </c>
      <c r="I23" s="1947">
        <f>Export030823!Q7</f>
        <v/>
      </c>
      <c r="J23" s="648" t="n"/>
      <c r="K23" s="1948" t="n">
        <v>0</v>
      </c>
    </row>
    <row r="24" hidden="1" s="1439">
      <c r="C24" s="644" t="inlineStr">
        <is>
          <t>Market Conditions Adjusted</t>
        </is>
      </c>
      <c r="D24" s="749" t="n"/>
      <c r="E24" s="1949">
        <f>IF(LEFT(CELL("format",E23),1)="P",E17*(1+E23),IF(LEFT(CELL("format",E23),1)="C",E17+E23))</f>
        <v/>
      </c>
      <c r="F24" s="1949">
        <f>IF(LEFT(CELL("format",F23),1)="P",F17*(1+F23),IF(LEFT(CELL("format",F23),1)="C",F17+F23))</f>
        <v/>
      </c>
      <c r="G24" s="1949">
        <f>IF(LEFT(CELL("format",G23),1)="P",G17*(1+G23),IF(LEFT(CELL("format",G23),1)="C",G17+G23))</f>
        <v/>
      </c>
      <c r="H24" s="1949">
        <f>IF(LEFT(CELL("format",H23),1)="P",H17*(1+H23),IF(LEFT(CELL("format",H23),1)="C",H17+H23))</f>
        <v/>
      </c>
      <c r="I24" s="1949">
        <f>IF(LEFT(CELL("format",I23),1)="P",I17*(1+I23),IF(LEFT(CELL("format",I23),1)="C",I17+I23))</f>
        <v/>
      </c>
      <c r="J24" s="646" t="n"/>
      <c r="K24" s="1950">
        <f>IF(LEFT(CELL("format",K23),1)="P",K17*(1+K23),IF(LEFT(CELL("format",K23),1)="C",K17+K23))</f>
        <v/>
      </c>
    </row>
    <row r="25" ht="18.75" customHeight="1" s="1439">
      <c r="C25" s="649" t="inlineStr">
        <is>
          <t>Total Quantified Adjustment</t>
        </is>
      </c>
      <c r="D25" s="758" t="n"/>
      <c r="E25" s="1951">
        <f>SUM(E19:E23)</f>
        <v/>
      </c>
      <c r="F25" s="1951">
        <f>SUM(F19:F23)</f>
        <v/>
      </c>
      <c r="G25" s="1951">
        <f>SUM(G19:G23)</f>
        <v/>
      </c>
      <c r="H25" s="1951">
        <f>SUM(H19:H23)</f>
        <v/>
      </c>
      <c r="I25" s="1951">
        <f>SUM(I19:I23)</f>
        <v/>
      </c>
      <c r="J25" s="651" t="n"/>
      <c r="K25" s="650">
        <f>IFERROR(TEXT(K24-K17,"$#,##0.00")&amp;CHAR(10)&amp;" or "&amp;CHAR(10)&amp;TEXT((K24-K17)/K17,"0.00%"),0)</f>
        <v/>
      </c>
    </row>
    <row r="26">
      <c r="C26" s="652" t="inlineStr">
        <is>
          <t>Quantitatively Adjusted Price</t>
        </is>
      </c>
      <c r="D26" s="759" t="n"/>
      <c r="E26" s="1952">
        <f>E17+(E17*E25)</f>
        <v/>
      </c>
      <c r="F26" s="1952">
        <f>F17+(F17*F25)</f>
        <v/>
      </c>
      <c r="G26" s="1952">
        <f>G17+(G17*G25)</f>
        <v/>
      </c>
      <c r="H26" s="1952">
        <f>H17+(H17*H25)</f>
        <v/>
      </c>
      <c r="I26" s="1952">
        <f>I17+(I17*I25)</f>
        <v/>
      </c>
      <c r="J26" s="651" t="n"/>
      <c r="K26" s="1953">
        <f>K24</f>
        <v/>
      </c>
    </row>
    <row r="27">
      <c r="C27" s="802" t="inlineStr">
        <is>
          <t>Qualitative Adjustments</t>
        </is>
      </c>
      <c r="D27" s="803" t="n"/>
      <c r="E27" s="1954" t="n"/>
      <c r="F27" s="804" t="n"/>
      <c r="G27" s="804" t="n"/>
      <c r="H27" s="804" t="n"/>
      <c r="I27" s="804" t="n"/>
      <c r="J27" s="656" t="n"/>
      <c r="K27" s="1955">
        <f>SUM(K19:K25)+1</f>
        <v/>
      </c>
    </row>
    <row r="28">
      <c r="C28" s="762">
        <f>Export030823!R1</f>
        <v/>
      </c>
      <c r="D28" s="764">
        <f>Export030823!R2</f>
        <v/>
      </c>
      <c r="E28" s="1947">
        <f>Export030823!R3</f>
        <v/>
      </c>
      <c r="F28" s="1947">
        <f>Export030823!R4</f>
        <v/>
      </c>
      <c r="G28" s="1947">
        <f>Export030823!R5</f>
        <v/>
      </c>
      <c r="H28" s="1947">
        <f>Export030823!R6</f>
        <v/>
      </c>
      <c r="I28" s="1947">
        <f>Export030823!R7</f>
        <v/>
      </c>
      <c r="J28" s="658" t="inlineStr">
        <is>
          <t>Good</t>
        </is>
      </c>
      <c r="K28" s="1956" t="n">
        <v>0</v>
      </c>
    </row>
    <row r="29">
      <c r="C29" s="763">
        <f>Export030823!S1</f>
        <v/>
      </c>
      <c r="D29" s="765">
        <f>Export030823!S2</f>
        <v/>
      </c>
      <c r="E29" s="1947">
        <f>Export030823!S3</f>
        <v/>
      </c>
      <c r="F29" s="1947">
        <f>Export030823!S4</f>
        <v/>
      </c>
      <c r="G29" s="1947">
        <f>Export030823!S5</f>
        <v/>
      </c>
      <c r="H29" s="1947">
        <f>Export030823!S6</f>
        <v/>
      </c>
      <c r="I29" s="1947">
        <f>Export030823!S7</f>
        <v/>
      </c>
      <c r="J29" s="659">
        <f>J13</f>
        <v/>
      </c>
      <c r="K29" s="1956" t="n">
        <v>0</v>
      </c>
    </row>
    <row r="30">
      <c r="C30" s="763">
        <f>Export030823!T1</f>
        <v/>
      </c>
      <c r="D30" s="788">
        <f>Export030823!T2</f>
        <v/>
      </c>
      <c r="E30" s="1947">
        <f>Export030823!T3</f>
        <v/>
      </c>
      <c r="F30" s="1947">
        <f>Export030823!T4</f>
        <v/>
      </c>
      <c r="G30" s="1947">
        <f>Export030823!T5</f>
        <v/>
      </c>
      <c r="H30" s="1947">
        <f>Export030823!T6</f>
        <v/>
      </c>
      <c r="I30" s="1947">
        <f>Export030823!T7</f>
        <v/>
      </c>
      <c r="J30" s="658" t="inlineStr">
        <is>
          <t>2019 / Very Good</t>
        </is>
      </c>
      <c r="K30" s="1956" t="n">
        <v>0</v>
      </c>
    </row>
    <row r="31">
      <c r="C31" s="762">
        <f>Export030823!U1</f>
        <v/>
      </c>
      <c r="D31" s="764">
        <f>Export030823!U2</f>
        <v/>
      </c>
      <c r="E31" s="1947">
        <f>Export030823!U3</f>
        <v/>
      </c>
      <c r="F31" s="1947">
        <f>Export030823!U4</f>
        <v/>
      </c>
      <c r="G31" s="1947">
        <f>Export030823!U5</f>
        <v/>
      </c>
      <c r="H31" s="1947">
        <f>Export030823!U6</f>
        <v/>
      </c>
      <c r="I31" s="1947">
        <f>Export030823!U7</f>
        <v/>
      </c>
      <c r="J31" s="658" t="inlineStr">
        <is>
          <t>Good</t>
        </is>
      </c>
      <c r="K31" s="1956" t="n">
        <v>0</v>
      </c>
    </row>
    <row r="32">
      <c r="C32" s="763">
        <f>Export030823!V1</f>
        <v/>
      </c>
      <c r="D32" s="766">
        <f>Export030823!V2</f>
        <v/>
      </c>
      <c r="E32" s="1947">
        <f>Export030823!V3</f>
        <v/>
      </c>
      <c r="F32" s="1947">
        <f>Export030823!V4</f>
        <v/>
      </c>
      <c r="G32" s="1947">
        <f>Export030823!V5</f>
        <v/>
      </c>
      <c r="H32" s="1947">
        <f>Export030823!V6</f>
        <v/>
      </c>
      <c r="I32" s="1947">
        <f>Export030823!V7</f>
        <v/>
      </c>
      <c r="J32" s="660">
        <f>ROUND((J15/J13)*1000,2)&amp; ":1,000 SF"</f>
        <v/>
      </c>
      <c r="K32" s="1956" t="n">
        <v>0</v>
      </c>
    </row>
    <row r="33">
      <c r="C33" s="762">
        <f>Export030823!W1</f>
        <v/>
      </c>
      <c r="D33" s="764">
        <f>Export030823!W2</f>
        <v/>
      </c>
      <c r="E33" s="1947">
        <f>Export030823!W3</f>
        <v/>
      </c>
      <c r="F33" s="1947">
        <f>Export030823!W4</f>
        <v/>
      </c>
      <c r="G33" s="1947">
        <f>Export030823!W5</f>
        <v/>
      </c>
      <c r="H33" s="1947">
        <f>Export030823!W6</f>
        <v/>
      </c>
      <c r="I33" s="1947">
        <f>Export030823!W7</f>
        <v/>
      </c>
      <c r="J33" s="658" t="inlineStr">
        <is>
          <t>Good</t>
        </is>
      </c>
      <c r="K33" s="1956" t="n">
        <v>0</v>
      </c>
    </row>
    <row r="34">
      <c r="C34" s="763">
        <f>Export030823!X1</f>
        <v/>
      </c>
      <c r="D34" s="764">
        <f>Export030823!X2</f>
        <v/>
      </c>
      <c r="E34" s="1957">
        <f>Export030823!X3</f>
        <v/>
      </c>
      <c r="F34" s="1957">
        <f>Export030823!X4</f>
        <v/>
      </c>
      <c r="G34" s="1957">
        <f>Export030823!X5</f>
        <v/>
      </c>
      <c r="H34" s="1957">
        <f>Export030823!X6</f>
        <v/>
      </c>
      <c r="I34" s="1957">
        <f>Export030823!X7</f>
        <v/>
      </c>
      <c r="J34" s="662" t="inlineStr">
        <is>
          <t>Good</t>
        </is>
      </c>
      <c r="K34" s="1958" t="n">
        <v>0</v>
      </c>
    </row>
    <row r="35">
      <c r="C35" s="663" t="inlineStr">
        <is>
          <t>Total Non Quantified Adj.</t>
        </is>
      </c>
      <c r="D35" s="760" t="n"/>
      <c r="E35" s="1959">
        <f>SUM(E28,E29,E30,E31,E32,E33,E34)</f>
        <v/>
      </c>
      <c r="F35" s="1959">
        <f>SUM(F28,F29,F30,F31,F32,F33,F34)</f>
        <v/>
      </c>
      <c r="G35" s="1959">
        <f>SUM(G28,G29,G30,G31,G32,G33,G34)</f>
        <v/>
      </c>
      <c r="H35" s="1959">
        <f>SUM(H28,H29,H30,H31,H32,H33,H34)</f>
        <v/>
      </c>
      <c r="I35" s="1960">
        <f>SUM(I28,I29,I30,I31,I32,I33,I34)</f>
        <v/>
      </c>
      <c r="J35" s="636" t="n"/>
      <c r="K35" s="1961">
        <f>SUM(K28,K29,K30,K31,K32,K33,K34)</f>
        <v/>
      </c>
    </row>
    <row r="36">
      <c r="C36" s="665" t="inlineStr">
        <is>
          <t>Indication for Subject:</t>
        </is>
      </c>
      <c r="D36" s="761" t="n"/>
      <c r="E36" s="1962">
        <f>E26+(E26*E35)</f>
        <v/>
      </c>
      <c r="F36" s="1963">
        <f>F26+(F26*F35)</f>
        <v/>
      </c>
      <c r="G36" s="1964">
        <f>G26+(G26*G35)</f>
        <v/>
      </c>
      <c r="H36" s="1964">
        <f>H26+(H26*H35)</f>
        <v/>
      </c>
      <c r="I36" s="1964">
        <f>I26+(I26*I35)</f>
        <v/>
      </c>
      <c r="J36" s="668" t="n"/>
      <c r="K36" s="1965">
        <f>IF(LEFT(CELL("format",K35),1)="P",K26*(1+K35),IF(LEFT(CELL("format",K35),1)="C",K26+K35))</f>
        <v/>
      </c>
    </row>
    <row r="37" hidden="1" s="1439"/>
    <row r="39">
      <c r="C39" s="1545" t="inlineStr">
        <is>
          <t xml:space="preserve">SALES COMPARISON APPROACH VALUE CONCLUSION </t>
        </is>
      </c>
    </row>
    <row r="40">
      <c r="C40" s="1550" t="inlineStr">
        <is>
          <t>Indicated Value per SF</t>
        </is>
      </c>
      <c r="D40" s="1819" t="n">
        <v>120</v>
      </c>
    </row>
    <row r="41">
      <c r="C41" s="1550" t="inlineStr">
        <is>
          <t>Building Area (SF)</t>
        </is>
      </c>
      <c r="D41" s="1966">
        <f>'Property Info'!B4</f>
        <v/>
      </c>
    </row>
    <row r="42" hidden="1" s="1439">
      <c r="C42" s="899">
        <f>IF(D43=0,"HIDE THIS ROW IF NO DEFERRED MAINTENANCE", "Indicated Value")</f>
        <v/>
      </c>
      <c r="D42" s="1967">
        <f>D40*D41</f>
        <v/>
      </c>
    </row>
    <row r="43" hidden="1" s="1439">
      <c r="C43" s="901" t="inlineStr">
        <is>
          <t xml:space="preserve">Contract Price </t>
        </is>
      </c>
      <c r="D43" s="1968" t="n">
        <v>0</v>
      </c>
    </row>
    <row r="44" hidden="1" s="1439">
      <c r="C44" s="1969">
        <f>D42+D43</f>
        <v/>
      </c>
      <c r="D44" s="1458" t="n"/>
    </row>
    <row r="45">
      <c r="C45" s="903">
        <f>IF(SUM(D43:D43)=0,"Indicated Value","Indicated Value - Adjusted")</f>
        <v/>
      </c>
      <c r="D45" s="1970">
        <f>C44</f>
        <v/>
      </c>
    </row>
    <row r="46">
      <c r="C46" s="1825" t="n">
        <v>5000</v>
      </c>
      <c r="D46" s="1826">
        <f>ROUND((D45/C46),0)*C46</f>
        <v/>
      </c>
    </row>
    <row r="47">
      <c r="C47" s="1684" t="inlineStr">
        <is>
          <t>Per SF</t>
        </is>
      </c>
      <c r="D47" s="1827">
        <f>D46/D41</f>
        <v/>
      </c>
      <c r="F47" s="1971" t="n"/>
      <c r="G47" s="1692" t="n"/>
    </row>
    <row r="48" hidden="1" s="1439">
      <c r="F48" s="909" t="n"/>
      <c r="G48" s="909" t="n"/>
    </row>
    <row r="49" hidden="1" s="1439"/>
    <row r="51">
      <c r="C51" s="722" t="inlineStr">
        <is>
          <t>Assessor's Assigned Value</t>
        </is>
      </c>
      <c r="D51" s="1972">
        <f>'Property Info'!B20</f>
        <v/>
      </c>
      <c r="E51" s="1973">
        <f>D51/D29</f>
        <v/>
      </c>
    </row>
    <row r="52">
      <c r="C52" s="725" t="inlineStr">
        <is>
          <t>Petition Value</t>
        </is>
      </c>
      <c r="D52" s="1974">
        <f>'Property Info'!B21</f>
        <v/>
      </c>
      <c r="E52" s="1975">
        <f>'Basic Sales Grid'!D52/'Basic Sales Grid'!D29</f>
        <v/>
      </c>
      <c r="O52" s="1488" t="inlineStr">
        <is>
          <t>COMPARABLE SALE SEARCH</t>
        </is>
      </c>
    </row>
    <row r="53" ht="16.5" customHeight="1" s="1439">
      <c r="O53" s="910" t="inlineStr">
        <is>
          <t>SEARCH FOR COMPARABLE SALES</t>
        </is>
      </c>
      <c r="P53" s="910" t="n"/>
    </row>
    <row r="54">
      <c r="O54" s="1051" t="inlineStr">
        <is>
          <t>Property Type Searched</t>
        </is>
      </c>
      <c r="P54" s="1212" t="inlineStr">
        <is>
          <t>Industrial</t>
        </is>
      </c>
    </row>
    <row r="55">
      <c r="O55" s="1051" t="inlineStr">
        <is>
          <t>Search Radius</t>
        </is>
      </c>
      <c r="P55" s="1212" t="inlineStr">
        <is>
          <t>5-Miles</t>
        </is>
      </c>
    </row>
    <row r="56">
      <c r="O56" s="1051" t="inlineStr">
        <is>
          <t>SF Parameters</t>
        </is>
      </c>
      <c r="P56" s="1212" t="inlineStr">
        <is>
          <t>20,000 SF - 40,000 SF</t>
        </is>
      </c>
    </row>
    <row r="57">
      <c r="O57" s="1051" t="inlineStr">
        <is>
          <t>Property Rights Conveyed</t>
        </is>
      </c>
      <c r="P57" s="1212" t="inlineStr">
        <is>
          <t>Fee Simple</t>
        </is>
      </c>
    </row>
    <row r="58">
      <c r="O58" s="910" t="inlineStr">
        <is>
          <t>COMPARABLES UTILIZED</t>
        </is>
      </c>
      <c r="P58" s="910" t="n"/>
    </row>
    <row r="59">
      <c r="O59" s="1051" t="inlineStr">
        <is>
          <t>Sales</t>
        </is>
      </c>
      <c r="P59" s="1489" t="n">
        <v>4</v>
      </c>
    </row>
    <row r="60">
      <c r="O60" s="1052" t="inlineStr">
        <is>
          <t>Confirmations</t>
        </is>
      </c>
      <c r="P60" s="1334" t="inlineStr">
        <is>
          <t>All pertinent information verified.</t>
        </is>
      </c>
    </row>
    <row r="62" ht="13.5" customHeight="1" s="1439"/>
    <row r="63">
      <c r="R63" s="1488" t="inlineStr">
        <is>
          <t>RANKING OF THE SUBJECT PROPERTY</t>
        </is>
      </c>
    </row>
    <row r="64">
      <c r="R64" s="888" t="inlineStr">
        <is>
          <t>COMPARABLE</t>
        </is>
      </c>
      <c r="S64" s="888" t="inlineStr">
        <is>
          <t>VALUE PSF</t>
        </is>
      </c>
      <c r="T64" s="888" t="inlineStr">
        <is>
          <t>COMPARISON</t>
        </is>
      </c>
    </row>
    <row r="65">
      <c r="R65" s="1335" t="n">
        <v>4</v>
      </c>
      <c r="S65" s="1720">
        <f>H36</f>
        <v/>
      </c>
      <c r="T65" s="1335" t="inlineStr">
        <is>
          <t>Below</t>
        </is>
      </c>
    </row>
    <row r="66">
      <c r="R66" s="1335" t="n">
        <v>2</v>
      </c>
      <c r="S66" s="1720">
        <f>F36</f>
        <v/>
      </c>
      <c r="T66" s="1335" t="inlineStr">
        <is>
          <t>Below</t>
        </is>
      </c>
    </row>
    <row r="67">
      <c r="R67" s="1336" t="inlineStr">
        <is>
          <t>Subject</t>
        </is>
      </c>
      <c r="S67" s="1976" t="n">
        <v>120</v>
      </c>
      <c r="T67" s="1338" t="n"/>
    </row>
    <row r="68">
      <c r="R68" s="1335" t="n">
        <v>3</v>
      </c>
      <c r="S68" s="1720">
        <f>G36</f>
        <v/>
      </c>
      <c r="T68" s="1335" t="inlineStr">
        <is>
          <t>Above</t>
        </is>
      </c>
    </row>
    <row r="69">
      <c r="R69" s="1339" t="n">
        <v>1</v>
      </c>
      <c r="S69" s="1725">
        <f>E36</f>
        <v/>
      </c>
      <c r="T69" s="1339" t="inlineStr">
        <is>
          <t>Above</t>
        </is>
      </c>
    </row>
    <row r="70" hidden="1" s="1439">
      <c r="R70" s="911" t="n">
        <v>1</v>
      </c>
      <c r="S70" s="1977" t="n">
        <v>69.87</v>
      </c>
      <c r="T70" s="911" t="inlineStr">
        <is>
          <t>Inferior</t>
        </is>
      </c>
    </row>
  </sheetData>
  <mergeCells count="18">
    <mergeCell ref="J3:K3"/>
    <mergeCell ref="J4:K4"/>
    <mergeCell ref="J11:K11"/>
    <mergeCell ref="J12:K12"/>
    <mergeCell ref="J5:K5"/>
    <mergeCell ref="R63:T63"/>
    <mergeCell ref="J6:K6"/>
    <mergeCell ref="J16:K16"/>
    <mergeCell ref="J14:K14"/>
    <mergeCell ref="J15:K15"/>
    <mergeCell ref="J7:K7"/>
    <mergeCell ref="O52:P52"/>
    <mergeCell ref="C44:D44"/>
    <mergeCell ref="C2:I2"/>
    <mergeCell ref="J13:K13"/>
    <mergeCell ref="J8:K8"/>
    <mergeCell ref="C39:D39"/>
    <mergeCell ref="J9:K9"/>
  </mergeCells>
  <conditionalFormatting sqref="C42">
    <cfRule type="expression" priority="5" dxfId="0" stopIfTrue="1">
      <formula>SUM(D43:D43)=0</formula>
    </cfRule>
  </conditionalFormatting>
  <conditionalFormatting sqref="C43">
    <cfRule type="expression" priority="4" dxfId="2">
      <formula>D43=0</formula>
    </cfRule>
  </conditionalFormatting>
  <conditionalFormatting sqref="C44">
    <cfRule type="expression" priority="1" dxfId="0" stopIfTrue="1">
      <formula>SUM(D45:D45)=0</formula>
    </cfRule>
  </conditionalFormatting>
  <dataValidations count="2">
    <dataValidation sqref="J36" showDropDown="0" showInputMessage="1" showErrorMessage="1" allowBlank="1" type="list">
      <formula1>lstCondition</formula1>
    </dataValidation>
    <dataValidation sqref="D43" showDropDown="0" showInputMessage="1" showErrorMessage="1" allowBlank="1" promptTitle="Adjustment #2" prompt="Input adjustment to calculated value—default link to Deferred Maintenance entered in Cost Approach."/>
  </dataValidations>
  <pageMargins left="0.25" right="0.25" top="0.75" bottom="0.75" header="0.3" footer="0.3"/>
  <pageSetup orientation="landscape"/>
</worksheet>
</file>

<file path=xl/worksheets/sheet15.xml><?xml version="1.0" encoding="utf-8"?>
<worksheet xmlns="http://schemas.openxmlformats.org/spreadsheetml/2006/main">
  <sheetPr>
    <outlinePr summaryBelow="1" summaryRight="1"/>
    <pageSetUpPr/>
  </sheetPr>
  <dimension ref="C2:V68"/>
  <sheetViews>
    <sheetView showGridLines="0" topLeftCell="A46" zoomScale="120" zoomScaleNormal="120" workbookViewId="0">
      <selection activeCell="D61" sqref="D61"/>
    </sheetView>
  </sheetViews>
  <sheetFormatPr baseColWidth="8" defaultRowHeight="15"/>
  <cols>
    <col width="37.85546875" bestFit="1" customWidth="1" style="1439" min="3" max="3"/>
    <col width="26" bestFit="1" customWidth="1" style="1439" min="4" max="4"/>
    <col width="22.7109375" customWidth="1" style="1439" min="5" max="5"/>
    <col width="10.5703125" bestFit="1" customWidth="1" style="1439" min="6" max="6"/>
    <col width="22.7109375" customWidth="1" style="1439" min="7" max="7"/>
    <col width="9.140625" bestFit="1" customWidth="1" style="1439" min="8" max="8"/>
    <col width="22.7109375" customWidth="1" style="1439" min="9" max="9"/>
    <col width="9.140625" bestFit="1" customWidth="1" style="1439" min="10" max="10"/>
    <col width="23.85546875" customWidth="1" style="1439" min="11" max="11"/>
    <col width="9.140625" bestFit="1" customWidth="1" style="1439" min="12" max="12"/>
    <col width="22.7109375" customWidth="1" style="1439" min="13" max="13"/>
    <col width="9.140625" bestFit="1" customWidth="1" style="1439" min="14" max="14"/>
    <col hidden="1" width="20.7109375" customWidth="1" style="1439" min="15" max="15"/>
    <col hidden="1" width="8.85546875" customWidth="1" style="1439" min="16" max="16"/>
  </cols>
  <sheetData>
    <row r="2">
      <c r="C2" s="1567" t="inlineStr">
        <is>
          <t>COMPARABLE SALE ADJUSTMENT GRID</t>
        </is>
      </c>
    </row>
    <row r="3">
      <c r="C3" s="502" t="n"/>
      <c r="D3" s="502" t="inlineStr">
        <is>
          <t>Subject</t>
        </is>
      </c>
      <c r="E3" s="1587" t="n"/>
      <c r="G3" s="1543" t="n"/>
      <c r="I3" s="1543" t="n"/>
      <c r="K3" s="1587" t="n"/>
      <c r="M3" s="1543" t="n"/>
      <c r="O3" s="1589" t="n"/>
    </row>
    <row r="4">
      <c r="C4" s="503" t="inlineStr">
        <is>
          <t>Address</t>
        </is>
      </c>
      <c r="D4" s="505" t="inlineStr">
        <is>
          <t>5668 North Beeler Street</t>
        </is>
      </c>
      <c r="E4" s="1590" t="n"/>
      <c r="F4" s="1565" t="n"/>
      <c r="G4" s="1564" t="n"/>
      <c r="H4" s="1565" t="n"/>
      <c r="I4" s="1564" t="n"/>
      <c r="J4" s="1565" t="n"/>
      <c r="K4" s="1564" t="n"/>
      <c r="L4" s="1565" t="n"/>
      <c r="M4" s="1566" t="n"/>
      <c r="O4" s="1578" t="n"/>
    </row>
    <row r="5">
      <c r="C5" s="503" t="inlineStr">
        <is>
          <t>City, State</t>
        </is>
      </c>
      <c r="D5" s="504" t="inlineStr">
        <is>
          <t>Denver, CO</t>
        </is>
      </c>
      <c r="E5" s="1590" t="n"/>
      <c r="F5" s="1565" t="n"/>
      <c r="G5" s="1564" t="n"/>
      <c r="H5" s="1565" t="n"/>
      <c r="I5" s="1564" t="n"/>
      <c r="J5" s="1565" t="n"/>
      <c r="K5" s="1564" t="n"/>
      <c r="L5" s="1565" t="n"/>
      <c r="M5" s="1566" t="n"/>
      <c r="O5" s="1578" t="n"/>
    </row>
    <row r="6">
      <c r="C6" s="503" t="inlineStr">
        <is>
          <t>Parcel Number</t>
        </is>
      </c>
      <c r="D6" s="505" t="inlineStr">
        <is>
          <t>1103-40-003-000</t>
        </is>
      </c>
      <c r="E6" s="1579" t="n"/>
      <c r="F6" s="1565" t="n"/>
      <c r="G6" s="1564" t="n"/>
      <c r="H6" s="1565" t="n"/>
      <c r="I6" s="1564" t="n"/>
      <c r="J6" s="1565" t="n"/>
      <c r="K6" s="1564" t="n"/>
      <c r="L6" s="1565" t="n"/>
      <c r="M6" s="1538" t="n"/>
      <c r="O6" s="1578" t="n"/>
    </row>
    <row r="7">
      <c r="C7" s="503" t="inlineStr">
        <is>
          <t>Property Type</t>
        </is>
      </c>
      <c r="D7" s="505" t="inlineStr">
        <is>
          <t>Daycare Building</t>
        </is>
      </c>
      <c r="E7" s="1568" t="n"/>
      <c r="G7" s="1564" t="n"/>
      <c r="H7" s="1565" t="n"/>
      <c r="I7" s="1566" t="n"/>
      <c r="K7" s="1564" t="n"/>
      <c r="L7" s="1565" t="n"/>
      <c r="M7" s="1566" t="n"/>
      <c r="O7" s="1578" t="n"/>
    </row>
    <row r="8">
      <c r="C8" s="503" t="inlineStr">
        <is>
          <t>Sale Date</t>
        </is>
      </c>
      <c r="D8" s="506" t="inlineStr">
        <is>
          <t>N/A</t>
        </is>
      </c>
      <c r="E8" s="1933" t="n"/>
      <c r="G8" s="1978" t="n"/>
      <c r="H8" s="1565" t="n"/>
      <c r="I8" s="1979" t="n"/>
      <c r="K8" s="1978" t="n"/>
      <c r="L8" s="1565" t="n"/>
      <c r="M8" s="1979" t="n"/>
      <c r="O8" s="1980" t="n"/>
    </row>
    <row r="9">
      <c r="C9" s="503" t="inlineStr">
        <is>
          <t>Sale Price</t>
        </is>
      </c>
      <c r="D9" s="1981" t="n">
        <v>6555000</v>
      </c>
      <c r="E9" s="1938" t="n"/>
      <c r="F9" s="1565" t="n"/>
      <c r="G9" s="1982" t="n"/>
      <c r="H9" s="1565" t="n"/>
      <c r="I9" s="1982" t="n"/>
      <c r="J9" s="1565" t="n"/>
      <c r="K9" s="1982" t="n"/>
      <c r="L9" s="1565" t="n"/>
      <c r="M9" s="1983" t="n"/>
      <c r="O9" s="1984" t="n"/>
    </row>
    <row r="10">
      <c r="C10" s="503" t="inlineStr">
        <is>
          <t>Listing Price</t>
        </is>
      </c>
      <c r="D10" s="1981" t="n">
        <v>6555000</v>
      </c>
      <c r="E10" s="1937" t="n"/>
      <c r="F10" s="1936" t="n"/>
      <c r="G10" s="1982" t="n"/>
      <c r="H10" s="1565" t="n"/>
      <c r="I10" s="1982" t="n"/>
      <c r="J10" s="1565" t="n"/>
      <c r="K10" s="1982" t="n"/>
      <c r="L10" s="1565" t="n"/>
      <c r="M10" s="1983" t="n"/>
      <c r="O10" s="1984" t="n"/>
    </row>
    <row r="11">
      <c r="C11" s="503" t="inlineStr">
        <is>
          <t>Days On Market</t>
        </is>
      </c>
      <c r="D11" s="506" t="inlineStr">
        <is>
          <t>N/A</t>
        </is>
      </c>
      <c r="E11" s="1568" t="n"/>
      <c r="G11" s="1564" t="n"/>
      <c r="H11" s="1565" t="n"/>
      <c r="I11" s="1564" t="n"/>
      <c r="J11" s="1565" t="n"/>
      <c r="K11" s="1985" t="n"/>
      <c r="L11" s="1565" t="n"/>
      <c r="M11" s="508" t="n"/>
      <c r="N11" s="1578" t="n"/>
      <c r="O11" s="1578" t="n"/>
    </row>
    <row r="12" ht="38.25" customHeight="1" s="1439">
      <c r="C12" s="503" t="inlineStr">
        <is>
          <t>Data Source</t>
        </is>
      </c>
      <c r="D12" s="510" t="inlineStr">
        <is>
          <t>Assessor, Inspection, Buyer, Lease</t>
        </is>
      </c>
      <c r="E12" s="1588" t="n"/>
      <c r="G12" s="1582" t="n"/>
      <c r="H12" s="1565" t="n"/>
      <c r="I12" s="1580" t="n"/>
      <c r="K12" s="1582" t="n"/>
      <c r="L12" s="1565" t="n"/>
      <c r="M12" s="1580" t="n"/>
      <c r="O12" s="1583" t="n"/>
    </row>
    <row r="13">
      <c r="C13" s="503" t="inlineStr">
        <is>
          <t>Property Size (SF)</t>
        </is>
      </c>
      <c r="D13" s="511">
        <f>'Property Info'!B4</f>
        <v/>
      </c>
      <c r="E13" s="1577" t="n"/>
      <c r="F13" s="1565" t="n"/>
      <c r="G13" s="1574" t="n"/>
      <c r="H13" s="1565" t="n"/>
      <c r="I13" s="1574" t="n"/>
      <c r="J13" s="1565" t="n"/>
      <c r="K13" s="1574" t="n"/>
      <c r="L13" s="1565" t="n"/>
      <c r="M13" s="1573" t="n"/>
      <c r="O13" s="1563" t="n"/>
    </row>
    <row r="14">
      <c r="C14" s="503" t="inlineStr">
        <is>
          <t>Site Size (SF)</t>
        </is>
      </c>
      <c r="D14" s="511">
        <f>'Property Info'!B11</f>
        <v/>
      </c>
      <c r="E14" s="1595" t="n"/>
      <c r="G14" s="1574" t="n"/>
      <c r="H14" s="1565" t="n"/>
      <c r="I14" s="1573" t="n"/>
      <c r="K14" s="1574" t="n"/>
      <c r="L14" s="1565" t="n"/>
      <c r="M14" s="1573" t="n"/>
      <c r="O14" s="1563" t="n"/>
      <c r="V14" s="471" t="inlineStr">
        <is>
          <t>COMPARABLE SALE ADJUSTMENT GRID</t>
        </is>
      </c>
    </row>
    <row r="15">
      <c r="C15" s="503" t="inlineStr">
        <is>
          <t>Parking Spaces</t>
        </is>
      </c>
      <c r="D15" s="511" t="n">
        <v>26</v>
      </c>
      <c r="E15" s="1581" t="n"/>
      <c r="G15" s="1574" t="n"/>
      <c r="H15" s="1565" t="n"/>
      <c r="I15" s="1574" t="n"/>
      <c r="J15" s="1565" t="n"/>
      <c r="K15" s="1574" t="n"/>
      <c r="L15" s="1565" t="n"/>
      <c r="M15" s="1573" t="n"/>
      <c r="O15" s="1563" t="n"/>
    </row>
    <row r="16" ht="72" customHeight="1" s="1439">
      <c r="C16" s="503" t="inlineStr">
        <is>
          <t>Comments</t>
        </is>
      </c>
      <c r="D16" s="1986" t="inlineStr">
        <is>
          <t>Owner-user daycare facility</t>
        </is>
      </c>
      <c r="E16" s="1987" t="inlineStr">
        <is>
          <t>Single-tenant daycare facility 100% leased long-term to Prestige Preschool Academy, a national tenant.</t>
        </is>
      </c>
      <c r="F16" s="1585" t="n"/>
      <c r="G16" s="1988" t="inlineStr">
        <is>
          <t>Daycare Facility, leased to a franchise tenant at TOS.</t>
        </is>
      </c>
      <c r="H16" s="1585" t="n"/>
      <c r="I16" s="1988" t="inlineStr">
        <is>
          <t xml:space="preserve">Daycare facility, leased to a local tenant at TOS. </t>
        </is>
      </c>
      <c r="J16" s="1585" t="n"/>
      <c r="K16" s="1988" t="inlineStr">
        <is>
          <t xml:space="preserve">Daycare building, local franchise lease at TOS. </t>
        </is>
      </c>
      <c r="L16" s="1585" t="n"/>
      <c r="M16" s="1989" t="inlineStr">
        <is>
          <t xml:space="preserve">Daycare building, local franchise lease at TOS. </t>
        </is>
      </c>
      <c r="N16" s="1540" t="n"/>
      <c r="O16" s="1990" t="inlineStr">
        <is>
          <t>Daycare facility, leased to a franchise daycare service on a 15 year agreement. Two 5-year renewal options available.</t>
        </is>
      </c>
    </row>
    <row r="17" ht="12.6" customHeight="1" s="1439">
      <c r="C17" s="513" t="inlineStr">
        <is>
          <t>Unadjusted Price Per SF</t>
        </is>
      </c>
      <c r="D17" s="1777">
        <f>D9/D13</f>
        <v/>
      </c>
      <c r="E17" s="515" t="n"/>
      <c r="F17" s="1778">
        <f>E9/E13</f>
        <v/>
      </c>
      <c r="G17" s="515" t="n"/>
      <c r="H17" s="1778">
        <f>G9/G13</f>
        <v/>
      </c>
      <c r="I17" s="517" t="n"/>
      <c r="J17" s="1991">
        <f>I9/I13</f>
        <v/>
      </c>
      <c r="K17" s="515" t="n"/>
      <c r="L17" s="1992">
        <f>K9/K13</f>
        <v/>
      </c>
      <c r="M17" s="517" t="n"/>
      <c r="N17" s="1991">
        <f>M9/M13</f>
        <v/>
      </c>
      <c r="O17" s="609" t="n"/>
      <c r="P17" s="1993">
        <f>O9/O13</f>
        <v/>
      </c>
    </row>
    <row r="18">
      <c r="C18" s="520" t="inlineStr">
        <is>
          <t>Quantified Adjustments</t>
        </is>
      </c>
      <c r="D18" s="521" t="n"/>
      <c r="E18" s="522" t="n"/>
      <c r="F18" s="523" t="n"/>
      <c r="G18" s="522" t="n"/>
      <c r="H18" s="523" t="n"/>
      <c r="I18" s="524" t="n"/>
      <c r="J18" s="525" t="n"/>
      <c r="K18" s="522" t="n"/>
      <c r="L18" s="526" t="n"/>
      <c r="M18" s="524" t="n"/>
      <c r="N18" s="608" t="n"/>
      <c r="O18" s="525" t="n"/>
      <c r="P18" s="525" t="n"/>
    </row>
    <row r="19">
      <c r="C19" s="527" t="inlineStr">
        <is>
          <t>Property Rights Conveyed</t>
        </is>
      </c>
      <c r="D19" s="528" t="inlineStr">
        <is>
          <t>Leased Fee</t>
        </is>
      </c>
      <c r="E19" s="529" t="inlineStr">
        <is>
          <t>Leased Fee</t>
        </is>
      </c>
      <c r="F19" s="1994" t="n">
        <v>0</v>
      </c>
      <c r="G19" s="529" t="inlineStr">
        <is>
          <t>Leased Fee</t>
        </is>
      </c>
      <c r="H19" s="1994" t="n">
        <v>0</v>
      </c>
      <c r="I19" s="531" t="inlineStr">
        <is>
          <t>Leased Fee</t>
        </is>
      </c>
      <c r="J19" s="1995" t="n">
        <v>0</v>
      </c>
      <c r="K19" s="529" t="inlineStr">
        <is>
          <t>Leased Fee</t>
        </is>
      </c>
      <c r="L19" s="1996" t="n">
        <v>0</v>
      </c>
      <c r="M19" s="529" t="inlineStr">
        <is>
          <t>Leased Fee</t>
        </is>
      </c>
      <c r="N19" s="1995" t="n">
        <v>0</v>
      </c>
      <c r="O19" s="611" t="inlineStr">
        <is>
          <t>Leased Fee</t>
        </is>
      </c>
      <c r="P19" s="1997" t="n"/>
    </row>
    <row r="20">
      <c r="C20" s="534" t="inlineStr">
        <is>
          <t>Property Rights Conveyed Adjusted</t>
        </is>
      </c>
      <c r="D20" s="506" t="n"/>
      <c r="E20" s="531" t="n"/>
      <c r="F20" s="1998">
        <f>IF(LEFT(CELL("format",F19),1)="P",F17*(1+F19),IF(LEFT(CELL("format",F19),1)="C",F17+F19))</f>
        <v/>
      </c>
      <c r="G20" s="531" t="n"/>
      <c r="H20" s="1999">
        <f>IF(LEFT(CELL("format",H19),1)="P",H17*(1+H19),IF(LEFT(CELL("format",H19),1)="C",H17+H19))</f>
        <v/>
      </c>
      <c r="I20" s="531" t="n"/>
      <c r="J20" s="1999">
        <f>IF(LEFT(CELL("format",J19),1)="P",J17*(1+J19),IF(LEFT(CELL("format",J19),1)="C",J17+J19))</f>
        <v/>
      </c>
      <c r="K20" s="531" t="n"/>
      <c r="L20" s="2000">
        <f>IF(LEFT(CELL("format",L19),1)="P",L17*(1+L19),IF(LEFT(CELL("format",L19),1)="C",L17+L19))</f>
        <v/>
      </c>
      <c r="M20" s="531" t="n"/>
      <c r="N20" s="1999">
        <f>IF(LEFT(CELL("format",N19),1)="P",N17*(1+N19),IF(LEFT(CELL("format",N19),1)="C",N17+N19))</f>
        <v/>
      </c>
      <c r="O20" s="611" t="n"/>
      <c r="P20" s="1999">
        <f>IF(LEFT(CELL("format",P19),1)="P",P17*(1+P19),IF(LEFT(CELL("format",P19),1)="C",P17+P19))</f>
        <v/>
      </c>
    </row>
    <row r="21">
      <c r="C21" s="503" t="inlineStr">
        <is>
          <t>Financing</t>
        </is>
      </c>
      <c r="D21" s="506" t="inlineStr">
        <is>
          <t>N/A</t>
        </is>
      </c>
      <c r="E21" s="531" t="inlineStr">
        <is>
          <t>Market-Based</t>
        </is>
      </c>
      <c r="F21" s="1995" t="n">
        <v>0</v>
      </c>
      <c r="G21" s="531" t="inlineStr">
        <is>
          <t>Market-Based</t>
        </is>
      </c>
      <c r="H21" s="1995" t="n">
        <v>0</v>
      </c>
      <c r="I21" s="531" t="inlineStr">
        <is>
          <t>Market-Based</t>
        </is>
      </c>
      <c r="J21" s="2001" t="n">
        <v>0</v>
      </c>
      <c r="K21" s="531" t="inlineStr">
        <is>
          <t>Market-Based</t>
        </is>
      </c>
      <c r="L21" s="2002" t="n">
        <v>0</v>
      </c>
      <c r="M21" s="531" t="inlineStr">
        <is>
          <t>Market-Based</t>
        </is>
      </c>
      <c r="N21" s="2001" t="n">
        <v>0</v>
      </c>
      <c r="O21" s="613" t="inlineStr">
        <is>
          <t>N/A</t>
        </is>
      </c>
      <c r="P21" s="2001" t="n">
        <v>0</v>
      </c>
    </row>
    <row r="22">
      <c r="C22" s="534" t="inlineStr">
        <is>
          <t>Financing Adjusted</t>
        </is>
      </c>
      <c r="D22" s="506" t="n"/>
      <c r="E22" s="531" t="n"/>
      <c r="F22" s="1998">
        <f>IF(LEFT(CELL("format",F21),1)="P",F20*(1+F21),IF(LEFT(CELL("format",F21),1)="C",F20+F21))</f>
        <v/>
      </c>
      <c r="G22" s="531" t="n"/>
      <c r="H22" s="1998">
        <f>IF(LEFT(CELL("format",H21),1)="P",H20*(1+H21),IF(LEFT(CELL("format",H21),1)="C",H20+H21))</f>
        <v/>
      </c>
      <c r="I22" s="531" t="n"/>
      <c r="J22" s="1999">
        <f>IF(LEFT(CELL("format",J21),1)="P",J20*(1+J21),IF(LEFT(CELL("format",J21),1)="C",J20+J21))</f>
        <v/>
      </c>
      <c r="K22" s="531" t="n"/>
      <c r="L22" s="2003">
        <f>IF(LEFT(CELL("format",L21),1)="P",L20*(1+L21),IF(LEFT(CELL("format",L21),1)="C",L20+L21))</f>
        <v/>
      </c>
      <c r="M22" s="531" t="n"/>
      <c r="N22" s="1999">
        <f>IF(LEFT(CELL("format",N21),1)="P",N20*(1+N21),IF(LEFT(CELL("format",N21),1)="C",N20+N21))</f>
        <v/>
      </c>
      <c r="O22" s="611" t="n"/>
      <c r="P22" s="1999">
        <f>IF(LEFT(CELL("format",P21),1)="P",P20*(1+P21),IF(LEFT(CELL("format",P21),1)="C",P20+P21))</f>
        <v/>
      </c>
    </row>
    <row r="23">
      <c r="C23" s="503" t="inlineStr">
        <is>
          <t>Terms/Conditions of Sale</t>
        </is>
      </c>
      <c r="D23" s="506" t="inlineStr">
        <is>
          <t>N/A</t>
        </is>
      </c>
      <c r="E23" s="531" t="inlineStr">
        <is>
          <t>N/A</t>
        </is>
      </c>
      <c r="F23" s="1995" t="n">
        <v>0</v>
      </c>
      <c r="G23" s="531" t="inlineStr">
        <is>
          <t>None</t>
        </is>
      </c>
      <c r="H23" s="1995" t="n">
        <v>0</v>
      </c>
      <c r="I23" s="531" t="inlineStr">
        <is>
          <t>None</t>
        </is>
      </c>
      <c r="J23" s="2001" t="n">
        <v>0</v>
      </c>
      <c r="K23" s="531" t="inlineStr">
        <is>
          <t>None</t>
        </is>
      </c>
      <c r="L23" s="2002" t="n">
        <v>0</v>
      </c>
      <c r="M23" s="531" t="inlineStr">
        <is>
          <t>None</t>
        </is>
      </c>
      <c r="N23" s="2001" t="n">
        <v>0</v>
      </c>
      <c r="O23" s="613" t="inlineStr">
        <is>
          <t>N/A</t>
        </is>
      </c>
      <c r="P23" s="2001" t="n">
        <v>-0.1</v>
      </c>
    </row>
    <row r="24">
      <c r="C24" s="534" t="inlineStr">
        <is>
          <t>Terms/Conditions of Sale Adjusted</t>
        </is>
      </c>
      <c r="D24" s="506" t="n"/>
      <c r="E24" s="531" t="n"/>
      <c r="F24" s="1998">
        <f>IF(LEFT(CELL("format",F23),1)="P",F22*(1+F23),IF(LEFT(CELL("format",F23),1)="C",F22+F23))</f>
        <v/>
      </c>
      <c r="G24" s="531" t="n"/>
      <c r="H24" s="1998">
        <f>IF(LEFT(CELL("format",H23),1)="P",H22*(1+H23),IF(LEFT(CELL("format",H23),1)="C",H22+H23))</f>
        <v/>
      </c>
      <c r="I24" s="531" t="n"/>
      <c r="J24" s="1999">
        <f>IF(LEFT(CELL("format",J23),1)="P",J22*(1+J23),IF(LEFT(CELL("format",J23),1)="C",J22+J23))</f>
        <v/>
      </c>
      <c r="K24" s="531" t="n"/>
      <c r="L24" s="2003">
        <f>IF(LEFT(CELL("format",L23),1)="P",L22*(1+L23),IF(LEFT(CELL("format",L23),1)="C",L22+L23))</f>
        <v/>
      </c>
      <c r="M24" s="531" t="n"/>
      <c r="N24" s="1999">
        <f>IF(LEFT(CELL("format",N23),1)="P",N22*(1+N23),IF(LEFT(CELL("format",N23),1)="C",N22+N23))</f>
        <v/>
      </c>
      <c r="O24" s="611" t="n"/>
      <c r="P24" s="1999">
        <f>IF(LEFT(CELL("format",P23),1)="P",P22*(1+P23),IF(LEFT(CELL("format",P23),1)="C",P22+P23))</f>
        <v/>
      </c>
    </row>
    <row r="25">
      <c r="C25" s="503" t="inlineStr">
        <is>
          <t>Expenditures After Sale</t>
        </is>
      </c>
      <c r="D25" s="506" t="inlineStr">
        <is>
          <t>N/A</t>
        </is>
      </c>
      <c r="E25" s="531" t="inlineStr">
        <is>
          <t>N/A</t>
        </is>
      </c>
      <c r="F25" s="1995" t="n">
        <v>0</v>
      </c>
      <c r="G25" s="531" t="inlineStr">
        <is>
          <t>None</t>
        </is>
      </c>
      <c r="H25" s="1995" t="n">
        <v>0</v>
      </c>
      <c r="I25" s="531" t="inlineStr">
        <is>
          <t>None</t>
        </is>
      </c>
      <c r="J25" s="2001" t="n">
        <v>0</v>
      </c>
      <c r="K25" s="531" t="inlineStr">
        <is>
          <t>None</t>
        </is>
      </c>
      <c r="L25" s="2002" t="n">
        <v>0</v>
      </c>
      <c r="M25" s="531" t="inlineStr">
        <is>
          <t>None</t>
        </is>
      </c>
      <c r="N25" s="2001" t="n">
        <v>0</v>
      </c>
      <c r="O25" s="613" t="inlineStr">
        <is>
          <t>N/A</t>
        </is>
      </c>
      <c r="P25" s="2001" t="n">
        <v>0</v>
      </c>
    </row>
    <row r="26">
      <c r="C26" s="534" t="inlineStr">
        <is>
          <t>Expenditures After Sale Adjusted</t>
        </is>
      </c>
      <c r="D26" s="506" t="n"/>
      <c r="E26" s="531" t="n"/>
      <c r="F26" s="1998">
        <f>IF(LEFT(CELL("format",F25),1)="P",F24*(1+F25),IF(LEFT(CELL("format",F25),1)="C",F24+F25))</f>
        <v/>
      </c>
      <c r="G26" s="531" t="n"/>
      <c r="H26" s="1998">
        <f>IF(LEFT(CELL("format",H25),1)="P",H24*(1+H25),IF(LEFT(CELL("format",H25),1)="C",H24+H25))</f>
        <v/>
      </c>
      <c r="I26" s="531" t="n"/>
      <c r="J26" s="1999">
        <f>IF(LEFT(CELL("format",J25),1)="P",J24*(1+J25),IF(LEFT(CELL("format",J25),1)="C",J24+J25))</f>
        <v/>
      </c>
      <c r="K26" s="531" t="n"/>
      <c r="L26" s="2003">
        <f>IF(LEFT(CELL("format",L25),1)="P",L24*(1+L25),IF(LEFT(CELL("format",L25),1)="C",L24+L25))</f>
        <v/>
      </c>
      <c r="M26" s="531" t="n"/>
      <c r="N26" s="1999">
        <f>IF(LEFT(CELL("format",N25),1)="P",N24*(1+N25),IF(LEFT(CELL("format",N25),1)="C",N24+N25))</f>
        <v/>
      </c>
      <c r="O26" s="611" t="n"/>
      <c r="P26" s="1999">
        <f>IF(LEFT(CELL("format",P25),1)="P",P24*(1+P25),IF(LEFT(CELL("format",P25),1)="C",P24+P25))</f>
        <v/>
      </c>
    </row>
    <row r="27" ht="15" customHeight="1" s="1439">
      <c r="C27" s="503" t="inlineStr">
        <is>
          <t>Market Conditions</t>
        </is>
      </c>
      <c r="D27" s="506" t="inlineStr">
        <is>
          <t>N/A</t>
        </is>
      </c>
      <c r="E27" s="2004">
        <f>E8</f>
        <v/>
      </c>
      <c r="F27" s="1995" t="n">
        <v>0</v>
      </c>
      <c r="G27" s="2004">
        <f>G8</f>
        <v/>
      </c>
      <c r="H27" s="1995" t="n">
        <v>0</v>
      </c>
      <c r="I27" s="2004">
        <f>I8</f>
        <v/>
      </c>
      <c r="J27" s="2001" t="n">
        <v>0</v>
      </c>
      <c r="K27" s="2004">
        <f>K8</f>
        <v/>
      </c>
      <c r="L27" s="2002" t="n">
        <v>0</v>
      </c>
      <c r="M27" s="2004">
        <f>M8</f>
        <v/>
      </c>
      <c r="N27" s="2001" t="n">
        <v>0.03</v>
      </c>
      <c r="O27" s="2005">
        <f>O8</f>
        <v/>
      </c>
      <c r="P27" s="2001" t="n">
        <v>0</v>
      </c>
    </row>
    <row r="28">
      <c r="C28" s="534" t="inlineStr">
        <is>
          <t>Market Conditions Adjusted</t>
        </is>
      </c>
      <c r="D28" s="506" t="n"/>
      <c r="E28" s="531" t="n"/>
      <c r="F28" s="1998">
        <f>IF(LEFT(CELL("format",F27),1)="P",F26*(1+F27),IF(LEFT(CELL("format",F27),1)="C",F26+F27))</f>
        <v/>
      </c>
      <c r="G28" s="531" t="n"/>
      <c r="H28" s="1998">
        <f>IF(LEFT(CELL("format",H27),1)="P",H26*(1+H27),IF(LEFT(CELL("format",H27),1)="C",H26+H27))</f>
        <v/>
      </c>
      <c r="I28" s="531" t="n"/>
      <c r="J28" s="1999">
        <f>IF(LEFT(CELL("format",J27),1)="P",J26*(1+J27),IF(LEFT(CELL("format",J27),1)="C",J26+J27))</f>
        <v/>
      </c>
      <c r="K28" s="531" t="n"/>
      <c r="L28" s="2003">
        <f>IF(LEFT(CELL("format",L27),1)="P",L26*(1+L27),IF(LEFT(CELL("format",L27),1)="C",L26+L27))</f>
        <v/>
      </c>
      <c r="M28" s="531" t="n"/>
      <c r="N28" s="1999">
        <f>IF(LEFT(CELL("format",N27),1)="P",N26*(1+N27),IF(LEFT(CELL("format",N27),1)="C",N26+N27))</f>
        <v/>
      </c>
      <c r="O28" s="611" t="n"/>
      <c r="P28" s="1999">
        <f>IF(LEFT(CELL("format",P27),1)="P",P26*(1+P27),IF(LEFT(CELL("format",P27),1)="C",P26+P27))</f>
        <v/>
      </c>
    </row>
    <row r="29" ht="12.6" customHeight="1" s="1439">
      <c r="C29" s="542" t="inlineStr">
        <is>
          <t>Total Quantified Adjustment</t>
        </is>
      </c>
      <c r="D29" s="543" t="n"/>
      <c r="E29" s="544" t="n"/>
      <c r="F29" s="545">
        <f>IFERROR(TEXT(F28-F17,"$#,##0.00")&amp;CHAR(10)&amp;" or "&amp;CHAR(10)&amp;TEXT((F28-F17)/F17,"0.00%"),0)</f>
        <v/>
      </c>
      <c r="G29" s="544" t="n"/>
      <c r="H29" s="545">
        <f>IFERROR(TEXT(H28-H17,"$#,##0.00")&amp;CHAR(10)&amp;" or "&amp;CHAR(10)&amp;TEXT((H28-H17)/H17,"0.00%"),0)</f>
        <v/>
      </c>
      <c r="I29" s="517" t="n"/>
      <c r="J29" s="546">
        <f>IFERROR(TEXT(J28-J17,"$#,##0.00")&amp;CHAR(10)&amp;" or "&amp;CHAR(10)&amp;TEXT((J28-J17)/J17,"0.00%"),0)</f>
        <v/>
      </c>
      <c r="K29" s="544" t="n"/>
      <c r="L29" s="547">
        <f>IFERROR(TEXT(L28-L17,"$#,##0.00")&amp;CHAR(10)&amp;" or "&amp;CHAR(10)&amp;TEXT((L28-L17)/L17,"0.00%"),0)</f>
        <v/>
      </c>
      <c r="M29" s="517" t="n"/>
      <c r="N29" s="546">
        <f>IFERROR(TEXT(N28-N17,"$#,##0.00")&amp;CHAR(10)&amp;" or "&amp;CHAR(10)&amp;TEXT((N28-N17)/N17,"0.00%"),0)</f>
        <v/>
      </c>
      <c r="O29" s="609" t="n"/>
      <c r="P29" s="615">
        <f>IFERROR(TEXT(P28-P17,"$#,##0.00")&amp;CHAR(10)&amp;" or "&amp;CHAR(10)&amp;TEXT((P28-P17)/P17,"0.00%"),0)</f>
        <v/>
      </c>
    </row>
    <row r="30" ht="12.6" customHeight="1" s="1439">
      <c r="C30" s="548" t="inlineStr">
        <is>
          <t>Quantitatively Adjusted Price</t>
        </is>
      </c>
      <c r="D30" s="549" t="n"/>
      <c r="E30" s="544" t="n"/>
      <c r="F30" s="1797">
        <f>F28</f>
        <v/>
      </c>
      <c r="G30" s="544" t="n"/>
      <c r="H30" s="1797">
        <f>H28</f>
        <v/>
      </c>
      <c r="I30" s="517" t="n"/>
      <c r="J30" s="1796">
        <f>J28</f>
        <v/>
      </c>
      <c r="K30" s="544" t="n"/>
      <c r="L30" s="1795">
        <f>L28</f>
        <v/>
      </c>
      <c r="M30" s="517" t="n"/>
      <c r="N30" s="1796">
        <f>N28</f>
        <v/>
      </c>
      <c r="O30" s="609" t="n"/>
      <c r="P30" s="2006">
        <f>P28</f>
        <v/>
      </c>
    </row>
    <row r="31">
      <c r="C31" s="553" t="inlineStr">
        <is>
          <t>Qualitative Adjustments</t>
        </is>
      </c>
      <c r="D31" s="554" t="n"/>
      <c r="E31" s="555" t="n"/>
      <c r="F31" s="2007">
        <f>SUM(F19:F29)+1</f>
        <v/>
      </c>
      <c r="G31" s="555" t="n"/>
      <c r="H31" s="2007">
        <f>SUM(H19:H29)+1</f>
        <v/>
      </c>
      <c r="I31" s="555" t="n"/>
      <c r="J31" s="2007">
        <f>SUM(J19:J29)+1</f>
        <v/>
      </c>
      <c r="K31" s="555" t="n"/>
      <c r="L31" s="2008">
        <f>SUM(L19:L29)+1</f>
        <v/>
      </c>
      <c r="M31" s="555" t="n"/>
      <c r="N31" s="2007">
        <f>SUM(N19:N29)+1</f>
        <v/>
      </c>
      <c r="O31" s="617" t="n"/>
      <c r="P31" s="2007">
        <f>SUM(P19:P29)+1</f>
        <v/>
      </c>
    </row>
    <row r="32" ht="15.75" customHeight="1" s="1439">
      <c r="C32" s="558" t="inlineStr">
        <is>
          <t>Location</t>
        </is>
      </c>
      <c r="D32" s="559" t="inlineStr">
        <is>
          <t>Good</t>
        </is>
      </c>
      <c r="E32" s="560" t="inlineStr">
        <is>
          <t>Above-Average</t>
        </is>
      </c>
      <c r="F32" s="1800" t="n">
        <v>0.05</v>
      </c>
      <c r="G32" s="560" t="inlineStr">
        <is>
          <t>Average</t>
        </is>
      </c>
      <c r="H32" s="1800" t="n">
        <v>0.15</v>
      </c>
      <c r="I32" s="560" t="inlineStr">
        <is>
          <t>Average</t>
        </is>
      </c>
      <c r="J32" s="1800" t="n">
        <v>0.15</v>
      </c>
      <c r="K32" s="560" t="inlineStr">
        <is>
          <t>Good</t>
        </is>
      </c>
      <c r="L32" s="2009" t="n">
        <v>0.05</v>
      </c>
      <c r="M32" s="560" t="inlineStr">
        <is>
          <t>Good</t>
        </is>
      </c>
      <c r="N32" s="1800" t="n">
        <v>0.05</v>
      </c>
      <c r="O32" s="618" t="inlineStr">
        <is>
          <t>Good</t>
        </is>
      </c>
      <c r="P32" s="1800" t="n">
        <v>-0.05</v>
      </c>
    </row>
    <row r="33" hidden="1" ht="12.6" customHeight="1" s="1439">
      <c r="C33" s="563" t="inlineStr">
        <is>
          <t>Distance from Subject</t>
        </is>
      </c>
      <c r="D33" s="564" t="inlineStr">
        <is>
          <t>N/A</t>
        </is>
      </c>
      <c r="E33" s="564" t="inlineStr">
        <is>
          <t>32 miles</t>
        </is>
      </c>
      <c r="F33" s="2001" t="n"/>
      <c r="G33" s="564" t="inlineStr">
        <is>
          <t>16 miles</t>
        </is>
      </c>
      <c r="H33" s="2001" t="n"/>
      <c r="I33" s="564" t="inlineStr">
        <is>
          <t>1/4 mile</t>
        </is>
      </c>
      <c r="J33" s="2001" t="n"/>
      <c r="K33" s="564" t="inlineStr">
        <is>
          <t>1/4 mile</t>
        </is>
      </c>
      <c r="L33" s="2010" t="n"/>
      <c r="M33" s="564" t="inlineStr">
        <is>
          <t>1/4 mile</t>
        </is>
      </c>
      <c r="N33" s="2001" t="n"/>
      <c r="O33" s="619" t="inlineStr">
        <is>
          <t>24 miles</t>
        </is>
      </c>
      <c r="P33" s="2001" t="n"/>
    </row>
    <row r="34">
      <c r="C34" s="563" t="inlineStr">
        <is>
          <t>Surrounding Land Uses</t>
        </is>
      </c>
      <c r="D34" s="564" t="inlineStr">
        <is>
          <t>Retail, residential, office</t>
        </is>
      </c>
      <c r="E34" s="564" t="inlineStr">
        <is>
          <t>Residential, retail</t>
        </is>
      </c>
      <c r="F34" s="2001" t="n"/>
      <c r="G34" s="564" t="inlineStr">
        <is>
          <t>Retail, office residential</t>
        </is>
      </c>
      <c r="H34" s="2001" t="n"/>
      <c r="I34" s="564" t="inlineStr">
        <is>
          <t>Retail, Office</t>
        </is>
      </c>
      <c r="J34" s="2001" t="n"/>
      <c r="K34" s="564" t="inlineStr">
        <is>
          <t>Retail, residential</t>
        </is>
      </c>
      <c r="L34" s="2010" t="n"/>
      <c r="M34" s="564" t="inlineStr">
        <is>
          <t>Office, flex, residential</t>
        </is>
      </c>
      <c r="N34" s="2001" t="n"/>
      <c r="O34" s="619" t="inlineStr">
        <is>
          <t>Residential, retail</t>
        </is>
      </c>
      <c r="P34" s="2001" t="n"/>
    </row>
    <row r="35">
      <c r="C35" s="563" t="inlineStr">
        <is>
          <t>Quality/Condition of Surrounding Area</t>
        </is>
      </c>
      <c r="D35" s="566" t="inlineStr">
        <is>
          <t>Average to Good</t>
        </is>
      </c>
      <c r="E35" s="566" t="inlineStr">
        <is>
          <t>Average to Good</t>
        </is>
      </c>
      <c r="F35" s="2001" t="n"/>
      <c r="G35" s="566" t="inlineStr">
        <is>
          <t>Average to Good</t>
        </is>
      </c>
      <c r="H35" s="2001" t="n"/>
      <c r="I35" s="566" t="inlineStr">
        <is>
          <t>Average to Good</t>
        </is>
      </c>
      <c r="J35" s="2001" t="n"/>
      <c r="K35" s="566" t="inlineStr">
        <is>
          <t>Good to New</t>
        </is>
      </c>
      <c r="L35" s="2010" t="n"/>
      <c r="M35" s="566" t="inlineStr">
        <is>
          <t>Good to New</t>
        </is>
      </c>
      <c r="N35" s="2001" t="n"/>
      <c r="O35" s="620" t="inlineStr">
        <is>
          <t>Average to Very Good</t>
        </is>
      </c>
      <c r="P35" s="2001" t="n"/>
    </row>
    <row r="36" hidden="1" ht="15" customHeight="1" s="1439">
      <c r="C36" s="563" t="inlineStr">
        <is>
          <t>Access to Commercial Services/Amenities</t>
        </is>
      </c>
      <c r="D36" s="566" t="inlineStr">
        <is>
          <t>Good</t>
        </is>
      </c>
      <c r="E36" s="566" t="inlineStr">
        <is>
          <t>Average</t>
        </is>
      </c>
      <c r="F36" s="2001" t="n"/>
      <c r="G36" s="566" t="inlineStr">
        <is>
          <t>Good</t>
        </is>
      </c>
      <c r="H36" s="2001" t="n"/>
      <c r="I36" s="566" t="inlineStr">
        <is>
          <t>Good</t>
        </is>
      </c>
      <c r="J36" s="2001" t="n"/>
      <c r="K36" s="566" t="inlineStr">
        <is>
          <t>Good</t>
        </is>
      </c>
      <c r="L36" s="2010" t="n"/>
      <c r="M36" s="566" t="inlineStr">
        <is>
          <t>Average</t>
        </is>
      </c>
      <c r="N36" s="2001" t="n"/>
      <c r="O36" s="620" t="inlineStr">
        <is>
          <t>Good</t>
        </is>
      </c>
      <c r="P36" s="2001" t="n"/>
    </row>
    <row r="37" ht="45" customHeight="1" s="1439">
      <c r="C37" s="563" t="inlineStr">
        <is>
          <t>Visibility/Access</t>
        </is>
      </c>
      <c r="D37" s="567" t="inlineStr">
        <is>
          <t>Good: Primary thoroughfare</t>
        </is>
      </c>
      <c r="E37" s="567" t="inlineStr">
        <is>
          <t>Good: Primary thoroughfare</t>
        </is>
      </c>
      <c r="F37" s="2001" t="n"/>
      <c r="G37" s="567" t="inlineStr">
        <is>
          <t xml:space="preserve">Average: S. Lima St. </t>
        </is>
      </c>
      <c r="H37" s="2001" t="n"/>
      <c r="I37" s="567" t="inlineStr">
        <is>
          <t xml:space="preserve">Average: Oakridge Dr. &amp; Mcmurry Ave. </t>
        </is>
      </c>
      <c r="J37" s="2001" t="n"/>
      <c r="K37" s="567" t="inlineStr">
        <is>
          <t xml:space="preserve">Good: Indiana St. &amp; W 64th Ave. </t>
        </is>
      </c>
      <c r="L37" s="2010" t="n"/>
      <c r="M37" s="567" t="inlineStr">
        <is>
          <t xml:space="preserve">Average: Compark Blvd. </t>
        </is>
      </c>
      <c r="N37" s="2001" t="n"/>
      <c r="O37" s="621" t="inlineStr">
        <is>
          <t xml:space="preserve">Good - Access &amp; Visibility from E 56th Ave. </t>
        </is>
      </c>
      <c r="P37" s="2001" t="n"/>
    </row>
    <row r="38" ht="105" customHeight="1" s="1439">
      <c r="C38" s="568" t="inlineStr">
        <is>
          <t>Demographics</t>
        </is>
      </c>
      <c r="D38" s="569" t="inlineStr">
        <is>
          <t>Population 3-Mile Radius: 60,202
MHHI 3-Mile Radius: $69,785
Pop. Growth (5-Yrs.): 9.65%</t>
        </is>
      </c>
      <c r="E38" s="569" t="inlineStr">
        <is>
          <t>Population 3-Miles: 45,519
MHHI 3-Mile Radius: $115,596
Pop. Growth (5-Yrs.): 9.59%</t>
        </is>
      </c>
      <c r="F38" s="2001" t="n"/>
      <c r="G38" s="569" t="inlineStr">
        <is>
          <t>Population 3-Miles: 60,848
MHHI 5-Mile Radius: $94,646
Pop. Growth (5-Yrs.): 6.84%</t>
        </is>
      </c>
      <c r="H38" s="2001" t="n"/>
      <c r="I38" s="569" t="inlineStr">
        <is>
          <t>Population 3-Miles: 83,390
MHHI 3-Mile Radius: $73,915
Pop. Growth (5-Yrs.): 8.97%</t>
        </is>
      </c>
      <c r="J38" s="2001" t="n"/>
      <c r="K38" s="569" t="inlineStr">
        <is>
          <t>Population 3-Miles: 57,214
MHHI 3-Mile Radius: $107,760
Pop. Growth (5-Yrs.): 4.49%</t>
        </is>
      </c>
      <c r="L38" s="2010" t="n"/>
      <c r="M38" s="569" t="inlineStr">
        <is>
          <t>Population 3-Miles: 55,098
MHHI 3-Mile Radius: $99,667
Pop. Growth (5-Yrs.): 9.59%</t>
        </is>
      </c>
      <c r="N38" s="2001" t="n"/>
      <c r="O38" s="622" t="inlineStr">
        <is>
          <t>Population 5-Mile Radius: 219,743
MHHI 3-Mile Radius: $58,707
Population Growth (5 Yrs.):
8.19%</t>
        </is>
      </c>
      <c r="P38" s="2001" t="n"/>
    </row>
    <row r="39">
      <c r="C39" s="570" t="inlineStr">
        <is>
          <t>Property Size (SF)</t>
        </is>
      </c>
      <c r="D39" s="571">
        <f>'Property Info'!B4</f>
        <v/>
      </c>
      <c r="E39" s="571">
        <f>E13</f>
        <v/>
      </c>
      <c r="F39" s="1800" t="n">
        <v>0</v>
      </c>
      <c r="G39" s="571">
        <f>G13</f>
        <v/>
      </c>
      <c r="H39" s="1800" t="n">
        <v>0</v>
      </c>
      <c r="I39" s="571">
        <f>I13</f>
        <v/>
      </c>
      <c r="J39" s="1800" t="n">
        <v>0</v>
      </c>
      <c r="K39" s="571">
        <f>K13</f>
        <v/>
      </c>
      <c r="L39" s="2009" t="n">
        <v>0</v>
      </c>
      <c r="M39" s="571">
        <f>M13</f>
        <v/>
      </c>
      <c r="N39" s="1800" t="n">
        <v>-0.05</v>
      </c>
      <c r="O39" s="623">
        <f>O13</f>
        <v/>
      </c>
      <c r="P39" s="1800" t="n">
        <v>0</v>
      </c>
    </row>
    <row r="40" ht="39" customHeight="1" s="1439">
      <c r="C40" s="572" t="inlineStr">
        <is>
          <t>YOC / Condition</t>
        </is>
      </c>
      <c r="D40" s="559" t="inlineStr">
        <is>
          <t>2019/Good</t>
        </is>
      </c>
      <c r="E40" s="600" t="inlineStr">
        <is>
          <t>2018/Good</t>
        </is>
      </c>
      <c r="F40" s="1800" t="n">
        <v>0</v>
      </c>
      <c r="G40" s="560" t="inlineStr">
        <is>
          <t>2008/Above-Average</t>
        </is>
      </c>
      <c r="H40" s="1800" t="n">
        <v>0.05</v>
      </c>
      <c r="I40" s="600" t="inlineStr">
        <is>
          <t>2000 (Ren. 2019)/Good</t>
        </is>
      </c>
      <c r="J40" s="1800" t="n">
        <v>0</v>
      </c>
      <c r="K40" s="560" t="inlineStr">
        <is>
          <t>2019/New</t>
        </is>
      </c>
      <c r="L40" s="2009" t="n">
        <v>-0.05</v>
      </c>
      <c r="M40" s="560" t="inlineStr">
        <is>
          <t>2015/Good</t>
        </is>
      </c>
      <c r="N40" s="1800" t="n">
        <v>0</v>
      </c>
      <c r="O40" s="618" t="inlineStr">
        <is>
          <t>2019/New</t>
        </is>
      </c>
      <c r="P40" s="1800" t="n">
        <v>0</v>
      </c>
    </row>
    <row r="41" ht="16.5" customHeight="1" s="1439">
      <c r="C41" s="558" t="inlineStr">
        <is>
          <t>Quality</t>
        </is>
      </c>
      <c r="D41" s="559" t="inlineStr">
        <is>
          <t>Good</t>
        </is>
      </c>
      <c r="E41" s="560" t="inlineStr">
        <is>
          <t>Average</t>
        </is>
      </c>
      <c r="F41" s="1800" t="n">
        <v>0</v>
      </c>
      <c r="G41" s="560" t="inlineStr">
        <is>
          <t>Average</t>
        </is>
      </c>
      <c r="H41" s="1800" t="n">
        <v>0</v>
      </c>
      <c r="I41" s="560" t="inlineStr">
        <is>
          <t>Average</t>
        </is>
      </c>
      <c r="J41" s="1800" t="n">
        <v>0</v>
      </c>
      <c r="K41" s="560" t="inlineStr">
        <is>
          <t>Average</t>
        </is>
      </c>
      <c r="L41" s="2009" t="n">
        <v>0</v>
      </c>
      <c r="M41" s="560" t="inlineStr">
        <is>
          <t>Average</t>
        </is>
      </c>
      <c r="N41" s="1800" t="n">
        <v>0</v>
      </c>
      <c r="O41" s="618" t="inlineStr">
        <is>
          <t>Average</t>
        </is>
      </c>
      <c r="P41" s="1800" t="n">
        <v>0</v>
      </c>
    </row>
    <row r="42">
      <c r="C42" s="563" t="inlineStr">
        <is>
          <t>Frame</t>
        </is>
      </c>
      <c r="D42" s="564" t="inlineStr">
        <is>
          <t>Woodf-frame</t>
        </is>
      </c>
      <c r="E42" s="564" t="inlineStr">
        <is>
          <t>Concrete, Masonry</t>
        </is>
      </c>
      <c r="F42" s="2011" t="n"/>
      <c r="G42" s="564" t="inlineStr">
        <is>
          <t>Wood</t>
        </is>
      </c>
      <c r="H42" s="2011" t="n"/>
      <c r="I42" s="564" t="inlineStr">
        <is>
          <t>Wood-frame, masonry</t>
        </is>
      </c>
      <c r="J42" s="2011" t="n"/>
      <c r="K42" s="564" t="inlineStr">
        <is>
          <t>Wood-frame</t>
        </is>
      </c>
      <c r="L42" s="2012" t="n"/>
      <c r="M42" s="564" t="inlineStr">
        <is>
          <t>Wood-frame</t>
        </is>
      </c>
      <c r="N42" s="2011" t="n"/>
      <c r="O42" s="619" t="inlineStr">
        <is>
          <t>Wood</t>
        </is>
      </c>
      <c r="P42" s="2011" t="n"/>
    </row>
    <row r="43">
      <c r="C43" s="563" t="inlineStr">
        <is>
          <t>Exterior</t>
        </is>
      </c>
      <c r="D43" s="564" t="inlineStr">
        <is>
          <t>Stucco, brick</t>
        </is>
      </c>
      <c r="E43" s="564" t="inlineStr">
        <is>
          <t>Metal, painted concrete</t>
        </is>
      </c>
      <c r="F43" s="2011" t="n"/>
      <c r="G43" s="564" t="inlineStr">
        <is>
          <t>Wood</t>
        </is>
      </c>
      <c r="H43" s="2011" t="n"/>
      <c r="I43" s="564" t="inlineStr">
        <is>
          <t>Brick, wood siding</t>
        </is>
      </c>
      <c r="J43" s="2011" t="n"/>
      <c r="K43" s="564" t="inlineStr">
        <is>
          <t>Wood, brick</t>
        </is>
      </c>
      <c r="L43" s="2012" t="n"/>
      <c r="M43" s="564" t="inlineStr">
        <is>
          <t>Wood, brick</t>
        </is>
      </c>
      <c r="N43" s="2011" t="n"/>
      <c r="O43" s="619" t="inlineStr">
        <is>
          <t>Wood, stucco</t>
        </is>
      </c>
      <c r="P43" s="2011" t="n"/>
    </row>
    <row r="44">
      <c r="C44" s="563" t="inlineStr">
        <is>
          <t>Architectural Styling</t>
        </is>
      </c>
      <c r="D44" s="566" t="inlineStr">
        <is>
          <t>Daycare building</t>
        </is>
      </c>
      <c r="E44" s="566" t="inlineStr">
        <is>
          <t>Store Building</t>
        </is>
      </c>
      <c r="F44" s="2011" t="n"/>
      <c r="G44" s="566" t="inlineStr">
        <is>
          <t>Daycare building</t>
        </is>
      </c>
      <c r="H44" s="2011" t="n"/>
      <c r="I44" s="566" t="inlineStr">
        <is>
          <t>Daycare building</t>
        </is>
      </c>
      <c r="J44" s="2011" t="n"/>
      <c r="K44" s="566" t="inlineStr">
        <is>
          <t>Daycare/School Building</t>
        </is>
      </c>
      <c r="L44" s="2012" t="n"/>
      <c r="M44" s="566" t="inlineStr">
        <is>
          <t>Daycare/School Building</t>
        </is>
      </c>
      <c r="N44" s="2011" t="n"/>
      <c r="O44" s="624" t="inlineStr">
        <is>
          <t>Franchise daycare</t>
        </is>
      </c>
      <c r="P44" s="2011" t="n"/>
    </row>
    <row r="45" ht="45" customHeight="1" s="1439">
      <c r="C45" s="563" t="inlineStr">
        <is>
          <t>Typical Interior Finishes</t>
        </is>
      </c>
      <c r="D45" s="575" t="inlineStr">
        <is>
          <t>Good-quality daycare</t>
        </is>
      </c>
      <c r="E45" s="575" t="inlineStr">
        <is>
          <t>Average-quality school</t>
        </is>
      </c>
      <c r="F45" s="2011" t="n"/>
      <c r="G45" s="575" t="inlineStr">
        <is>
          <t>Average-quality daycare</t>
        </is>
      </c>
      <c r="H45" s="2011" t="n"/>
      <c r="I45" s="575" t="inlineStr">
        <is>
          <t>Average-quality daycare</t>
        </is>
      </c>
      <c r="J45" s="2011" t="n"/>
      <c r="K45" s="575" t="inlineStr">
        <is>
          <t>Average-quality daycare</t>
        </is>
      </c>
      <c r="L45" s="2012" t="n"/>
      <c r="M45" s="575" t="inlineStr">
        <is>
          <t>Average-quality daycare</t>
        </is>
      </c>
      <c r="N45" s="2011" t="n"/>
      <c r="O45" s="624" t="inlineStr">
        <is>
          <t>Average quality daycare/school finishes</t>
        </is>
      </c>
      <c r="P45" s="2011" t="n"/>
    </row>
    <row r="46" ht="19.5" customHeight="1" s="1439">
      <c r="C46" s="570" t="inlineStr">
        <is>
          <t>Parking Ratio (Per 1,000 SF)</t>
        </is>
      </c>
      <c r="D46" s="576">
        <f>(D15/D13)*1000</f>
        <v/>
      </c>
      <c r="E46" s="577">
        <f>(E15/E13)*1000</f>
        <v/>
      </c>
      <c r="F46" s="1800" t="n">
        <v>0</v>
      </c>
      <c r="G46" s="577">
        <f>(G15/G13)*1000</f>
        <v/>
      </c>
      <c r="H46" s="1800" t="n">
        <v>-0.05</v>
      </c>
      <c r="I46" s="577">
        <f>(I15/I13)*1000</f>
        <v/>
      </c>
      <c r="J46" s="1800" t="n">
        <v>-0.05</v>
      </c>
      <c r="K46" s="577">
        <f>(K15/K13)*1000</f>
        <v/>
      </c>
      <c r="L46" s="2009" t="n">
        <v>0</v>
      </c>
      <c r="M46" s="577">
        <f>(M15/M13)*1000</f>
        <v/>
      </c>
      <c r="N46" s="1800" t="n">
        <v>-0.05</v>
      </c>
      <c r="O46" s="625">
        <f>(O15/O13)*1000</f>
        <v/>
      </c>
      <c r="P46" s="1800" t="n">
        <v>0</v>
      </c>
    </row>
    <row r="47">
      <c r="C47" s="558" t="inlineStr">
        <is>
          <t>Tenancy / Occupancy</t>
        </is>
      </c>
      <c r="D47" s="559" t="inlineStr">
        <is>
          <t>Good</t>
        </is>
      </c>
      <c r="E47" s="560" t="inlineStr">
        <is>
          <t>Average</t>
        </is>
      </c>
      <c r="F47" s="1800" t="n">
        <v>0</v>
      </c>
      <c r="G47" s="560" t="inlineStr">
        <is>
          <t>Good</t>
        </is>
      </c>
      <c r="H47" s="1800" t="n">
        <v>-0.1</v>
      </c>
      <c r="I47" s="560" t="inlineStr">
        <is>
          <t>Average</t>
        </is>
      </c>
      <c r="J47" s="1800" t="n">
        <v>0</v>
      </c>
      <c r="K47" s="560" t="inlineStr">
        <is>
          <t>Above-Average</t>
        </is>
      </c>
      <c r="L47" s="2009" t="n">
        <v>-0.05</v>
      </c>
      <c r="M47" s="560" t="inlineStr">
        <is>
          <t>Above-Average</t>
        </is>
      </c>
      <c r="N47" s="1800" t="n">
        <v>-0.05</v>
      </c>
      <c r="O47" s="618" t="inlineStr">
        <is>
          <t>Good</t>
        </is>
      </c>
      <c r="P47" s="1800" t="n">
        <v>0</v>
      </c>
    </row>
    <row r="48">
      <c r="C48" s="563" t="inlineStr">
        <is>
          <t>Occupancy</t>
        </is>
      </c>
      <c r="D48" s="575" t="n">
        <v>1</v>
      </c>
      <c r="E48" s="566" t="n">
        <v>1</v>
      </c>
      <c r="F48" s="2011" t="n"/>
      <c r="G48" s="566" t="n">
        <v>1</v>
      </c>
      <c r="H48" s="2011" t="n"/>
      <c r="I48" s="566" t="n">
        <v>1</v>
      </c>
      <c r="J48" s="2011" t="n"/>
      <c r="K48" s="566" t="n">
        <v>1</v>
      </c>
      <c r="L48" s="2012" t="n"/>
      <c r="M48" s="566" t="n">
        <v>1</v>
      </c>
      <c r="N48" s="2011" t="n"/>
      <c r="O48" s="620" t="n">
        <v>1</v>
      </c>
      <c r="P48" s="2011" t="n"/>
    </row>
    <row r="49" ht="30" customHeight="1" s="1439">
      <c r="C49" s="563" t="inlineStr">
        <is>
          <t>Tenant Risk</t>
        </is>
      </c>
      <c r="D49" s="566" t="inlineStr">
        <is>
          <t>National Daycare Franchise</t>
        </is>
      </c>
      <c r="E49" s="566" t="inlineStr">
        <is>
          <t>Parker Performaing Arts</t>
        </is>
      </c>
      <c r="F49" s="2011" t="n"/>
      <c r="G49" s="566" t="inlineStr">
        <is>
          <t>Goddard School</t>
        </is>
      </c>
      <c r="H49" s="2011" t="n"/>
      <c r="I49" s="566" t="inlineStr">
        <is>
          <t>Local daycare tenant</t>
        </is>
      </c>
      <c r="J49" s="2011" t="n"/>
      <c r="K49" s="575" t="inlineStr">
        <is>
          <t>Learning Experence 
(Local Franchise)</t>
        </is>
      </c>
      <c r="L49" s="2012" t="n"/>
      <c r="M49" s="575" t="inlineStr">
        <is>
          <t>Learning Experence 
(Local Franchise)</t>
        </is>
      </c>
      <c r="N49" s="2011" t="n"/>
      <c r="O49" s="620" t="inlineStr">
        <is>
          <t>Low - Franchise Daycare</t>
        </is>
      </c>
      <c r="P49" s="2011" t="n"/>
    </row>
    <row r="50" ht="12.6" customHeight="1" s="1439">
      <c r="C50" s="563" t="inlineStr">
        <is>
          <t>Overall Cap Rate</t>
        </is>
      </c>
      <c r="D50" s="578" t="inlineStr">
        <is>
          <t>N/A</t>
        </is>
      </c>
      <c r="E50" s="579" t="inlineStr">
        <is>
          <t>N/A</t>
        </is>
      </c>
      <c r="F50" s="2011" t="n"/>
      <c r="G50" s="579" t="inlineStr">
        <is>
          <t>N/A</t>
        </is>
      </c>
      <c r="H50" s="2011" t="n"/>
      <c r="I50" s="579" t="inlineStr">
        <is>
          <t>N/A</t>
        </is>
      </c>
      <c r="J50" s="2011" t="n"/>
      <c r="K50" s="579" t="n">
        <v>0.07149999999999999</v>
      </c>
      <c r="L50" s="2012" t="n"/>
      <c r="M50" s="579" t="n">
        <v>0.0675</v>
      </c>
      <c r="N50" s="2011" t="n"/>
      <c r="O50" s="626" t="n">
        <v>0.0635</v>
      </c>
      <c r="P50" s="2011" t="n"/>
    </row>
    <row r="51" hidden="1" ht="12.6" customHeight="1" s="1439">
      <c r="C51" s="563" t="inlineStr">
        <is>
          <t>Years Remaining</t>
        </is>
      </c>
      <c r="D51" s="578" t="n">
        <v>15</v>
      </c>
      <c r="E51" s="2013" t="n">
        <v>15</v>
      </c>
      <c r="F51" s="2011" t="n"/>
      <c r="G51" s="2013" t="n">
        <v>6</v>
      </c>
      <c r="H51" s="2011" t="n"/>
      <c r="I51" s="2013" t="inlineStr">
        <is>
          <t>N/A</t>
        </is>
      </c>
      <c r="J51" s="2011" t="n"/>
      <c r="K51" s="2013" t="inlineStr">
        <is>
          <t>N/A</t>
        </is>
      </c>
      <c r="L51" s="2012" t="n"/>
      <c r="M51" s="2013" t="inlineStr">
        <is>
          <t>N/A</t>
        </is>
      </c>
      <c r="N51" s="2011" t="n"/>
      <c r="O51" s="2014" t="n">
        <v>15</v>
      </c>
      <c r="P51" s="2011" t="n"/>
    </row>
    <row r="52" hidden="1" ht="12.6" customHeight="1" s="1439">
      <c r="C52" s="563" t="inlineStr">
        <is>
          <t>Renewal Options</t>
        </is>
      </c>
      <c r="D52" s="578" t="n">
        <v>2</v>
      </c>
      <c r="E52" s="2013" t="n">
        <v>3</v>
      </c>
      <c r="F52" s="2011" t="n"/>
      <c r="G52" s="2013" t="n">
        <v>3</v>
      </c>
      <c r="H52" s="2011" t="n"/>
      <c r="I52" s="2013" t="inlineStr">
        <is>
          <t>N/A</t>
        </is>
      </c>
      <c r="J52" s="2011" t="n"/>
      <c r="K52" s="2013" t="inlineStr">
        <is>
          <t>N/A</t>
        </is>
      </c>
      <c r="L52" s="2012" t="n"/>
      <c r="M52" s="2013" t="inlineStr">
        <is>
          <t>N/A</t>
        </is>
      </c>
      <c r="N52" s="2011" t="n"/>
      <c r="O52" s="2014" t="n">
        <v>3</v>
      </c>
      <c r="P52" s="2011" t="n"/>
    </row>
    <row r="53">
      <c r="C53" s="570" t="inlineStr">
        <is>
          <t>Functional Utility</t>
        </is>
      </c>
      <c r="D53" s="559" t="inlineStr">
        <is>
          <t>Average</t>
        </is>
      </c>
      <c r="E53" s="581" t="inlineStr">
        <is>
          <t>Below-Average</t>
        </is>
      </c>
      <c r="F53" s="1807" t="n">
        <v>0</v>
      </c>
      <c r="G53" s="560" t="inlineStr">
        <is>
          <t>Average</t>
        </is>
      </c>
      <c r="H53" s="1807" t="n">
        <v>-0.05</v>
      </c>
      <c r="I53" s="560" t="inlineStr">
        <is>
          <t>Average</t>
        </is>
      </c>
      <c r="J53" s="1807" t="n">
        <v>-0.05</v>
      </c>
      <c r="K53" s="581" t="inlineStr">
        <is>
          <t>Average</t>
        </is>
      </c>
      <c r="L53" s="2015" t="n">
        <v>-0.05</v>
      </c>
      <c r="M53" s="560" t="inlineStr">
        <is>
          <t>Average</t>
        </is>
      </c>
      <c r="N53" s="1807" t="n">
        <v>-0.05</v>
      </c>
      <c r="O53" s="618" t="inlineStr">
        <is>
          <t>Good</t>
        </is>
      </c>
      <c r="P53" s="1807" t="n">
        <v>-0.1</v>
      </c>
    </row>
    <row r="54" ht="30" customHeight="1" s="1439">
      <c r="C54" s="563" t="inlineStr">
        <is>
          <t>Building Layout</t>
        </is>
      </c>
      <c r="D54" s="566" t="inlineStr">
        <is>
          <t>Single-level, good</t>
        </is>
      </c>
      <c r="E54" s="566" t="inlineStr">
        <is>
          <t>Two-stories, good</t>
        </is>
      </c>
      <c r="F54" s="2011" t="n"/>
      <c r="G54" s="566" t="inlineStr">
        <is>
          <t>Single-level, good</t>
        </is>
      </c>
      <c r="H54" s="2011" t="n"/>
      <c r="I54" s="575" t="inlineStr">
        <is>
          <t>Single-story
Residential Conversion</t>
        </is>
      </c>
      <c r="J54" s="2011" t="n"/>
      <c r="K54" s="575" t="inlineStr">
        <is>
          <t>Single-story
Residential Conversion</t>
        </is>
      </c>
      <c r="L54" s="2012" t="n"/>
      <c r="M54" s="575" t="inlineStr">
        <is>
          <t>Single-story
Residential Conversion</t>
        </is>
      </c>
      <c r="N54" s="2011" t="n"/>
      <c r="O54" s="620" t="inlineStr">
        <is>
          <t>Single-level, good</t>
        </is>
      </c>
      <c r="P54" s="2011" t="n"/>
    </row>
    <row r="55" ht="45" customHeight="1" s="1439">
      <c r="C55" s="563" t="inlineStr">
        <is>
          <t>Building Amenities</t>
        </is>
      </c>
      <c r="D55" s="584" t="inlineStr">
        <is>
          <t>Perimiter classrooms, office, laundry, kitchen</t>
        </is>
      </c>
      <c r="E55" s="584" t="inlineStr">
        <is>
          <t>Calssrooms, gym, offices, cafateria, auditorium.</t>
        </is>
      </c>
      <c r="F55" s="2011" t="n"/>
      <c r="G55" s="584" t="inlineStr">
        <is>
          <t>Perimiter classrooms, office, laundry</t>
        </is>
      </c>
      <c r="H55" s="2011" t="n"/>
      <c r="I55" s="584" t="inlineStr">
        <is>
          <t>Classrooms, office, kitchen</t>
        </is>
      </c>
      <c r="J55" s="2011" t="n"/>
      <c r="K55" s="584" t="inlineStr">
        <is>
          <t>Classrooms, office, kitchen</t>
        </is>
      </c>
      <c r="L55" s="2012" t="n"/>
      <c r="M55" s="584" t="inlineStr">
        <is>
          <t>Classrooms, office, kitchen</t>
        </is>
      </c>
      <c r="N55" s="2011" t="n"/>
      <c r="O55" s="624" t="inlineStr">
        <is>
          <t>Commercial kitchen, office, meeting room, teacher's lounge.</t>
        </is>
      </c>
      <c r="P55" s="2011" t="n"/>
    </row>
    <row r="56">
      <c r="C56" s="563" t="inlineStr">
        <is>
          <t>Above/Below Grade Space</t>
        </is>
      </c>
      <c r="D56" s="584" t="inlineStr">
        <is>
          <t>All above</t>
        </is>
      </c>
      <c r="E56" s="584" t="inlineStr">
        <is>
          <t>All above</t>
        </is>
      </c>
      <c r="F56" s="2011" t="n"/>
      <c r="G56" s="584" t="inlineStr">
        <is>
          <t>All above</t>
        </is>
      </c>
      <c r="H56" s="2011" t="n"/>
      <c r="I56" s="584" t="inlineStr">
        <is>
          <t>All above</t>
        </is>
      </c>
      <c r="J56" s="2011" t="n"/>
      <c r="K56" s="584" t="inlineStr">
        <is>
          <t>All above</t>
        </is>
      </c>
      <c r="L56" s="2012" t="n"/>
      <c r="M56" s="584" t="inlineStr">
        <is>
          <t>All above</t>
        </is>
      </c>
      <c r="N56" s="2011" t="n"/>
      <c r="O56" s="628" t="inlineStr">
        <is>
          <t>All above</t>
        </is>
      </c>
      <c r="P56" s="2011" t="n"/>
    </row>
    <row r="57" ht="30" customHeight="1" s="1439">
      <c r="C57" s="563" t="inlineStr">
        <is>
          <t>Site Improvements, Other</t>
        </is>
      </c>
      <c r="D57" s="584" t="inlineStr">
        <is>
          <t>Multiple playgrounds</t>
        </is>
      </c>
      <c r="E57" s="584" t="inlineStr">
        <is>
          <t>Multiple playgrounds</t>
        </is>
      </c>
      <c r="F57" s="2011" t="n"/>
      <c r="G57" s="584" t="inlineStr">
        <is>
          <t>Multiple playgrounds</t>
        </is>
      </c>
      <c r="H57" s="2011" t="n"/>
      <c r="I57" s="584" t="inlineStr">
        <is>
          <t>Multiple playgrounds</t>
        </is>
      </c>
      <c r="J57" s="2016" t="n"/>
      <c r="K57" s="584" t="inlineStr">
        <is>
          <t>Multiple playgrounds</t>
        </is>
      </c>
      <c r="L57" s="2012" t="n"/>
      <c r="M57" s="584" t="inlineStr">
        <is>
          <t>Multiple playgrounds</t>
        </is>
      </c>
      <c r="N57" s="2016" t="n"/>
      <c r="O57" s="628" t="inlineStr">
        <is>
          <t xml:space="preserve">Multiple playgrounds, large outdoor activity areas. </t>
        </is>
      </c>
      <c r="P57" s="2011" t="n"/>
    </row>
    <row r="58" ht="12.6" customHeight="1" s="1439">
      <c r="C58" s="586" t="inlineStr">
        <is>
          <t>Total Non Quantified Adj.</t>
        </is>
      </c>
      <c r="D58" s="587" t="n"/>
      <c r="E58" s="588" t="n"/>
      <c r="F58" s="2017">
        <f>SUM(F32:F41,F46:F47,F53)</f>
        <v/>
      </c>
      <c r="G58" s="588" t="n"/>
      <c r="H58" s="2017">
        <f>SUM(H32,H39,H40,H41,H46,H47,H53)</f>
        <v/>
      </c>
      <c r="I58" s="590" t="n"/>
      <c r="J58" s="2018">
        <f>SUM(J32,J39,J40,J41,J46,J47,J53)</f>
        <v/>
      </c>
      <c r="K58" s="592" t="n"/>
      <c r="L58" s="2019">
        <f>SUM(L32,L39,L40,L41,L46,L47,L53)</f>
        <v/>
      </c>
      <c r="M58" s="590" t="n"/>
      <c r="N58" s="2018">
        <f>SUM(N32,N39,N40,N41,N46,N47,N53)</f>
        <v/>
      </c>
      <c r="O58" s="570" t="n"/>
      <c r="P58" s="2020">
        <f>SUM(P32,P39,P40,P41,P46,P47,P53)</f>
        <v/>
      </c>
    </row>
    <row r="59" ht="12.6" customHeight="1" s="1439">
      <c r="C59" s="594" t="inlineStr">
        <is>
          <t>Indication for Subject:</t>
        </is>
      </c>
      <c r="D59" s="595" t="n"/>
      <c r="E59" s="596" t="n"/>
      <c r="F59" s="1818">
        <f>IF(LEFT(CELL("format",F58),1)="P",F30*(1+F58),IF(LEFT(CELL("format",F58),1)="C",F30+F58))</f>
        <v/>
      </c>
      <c r="G59" s="596" t="n"/>
      <c r="H59" s="1818">
        <f>IF(LEFT(CELL("format",H58),1)="P",H30*(1+H58),IF(LEFT(CELL("format",H58),1)="C",H30+H58))</f>
        <v/>
      </c>
      <c r="I59" s="596" t="n"/>
      <c r="J59" s="2021">
        <f>IF(LEFT(CELL("format",J58),1)="P",J30*(1+J58),IF(LEFT(CELL("format",J58),1)="C",J30+J58))</f>
        <v/>
      </c>
      <c r="K59" s="596" t="n"/>
      <c r="L59" s="2022">
        <f>IF(LEFT(CELL("format",L58),1)="P",L30*(1+L58),IF(LEFT(CELL("format",L58),1)="C",L30+L58))</f>
        <v/>
      </c>
      <c r="M59" s="596" t="n"/>
      <c r="N59" s="2021">
        <f>IF(LEFT(CELL("format",N58),1)="P",N30*(1+N58),IF(LEFT(CELL("format",N58),1)="C",N30+N58))</f>
        <v/>
      </c>
      <c r="O59" s="630" t="n"/>
      <c r="P59" s="2023">
        <f>IF(LEFT(CELL("format",P58),1)="P",P30*(1+P58),IF(LEFT(CELL("format",P58),1)="C",P30+P58))</f>
        <v/>
      </c>
    </row>
    <row r="60">
      <c r="E60" s="358">
        <f>(E39-$D$39)/$D$39</f>
        <v/>
      </c>
      <c r="G60" s="358">
        <f>(G39-$D$39)/$D$39</f>
        <v/>
      </c>
      <c r="I60" s="358">
        <f>(I39-$D$39)/$D$39</f>
        <v/>
      </c>
      <c r="K60" s="358">
        <f>(K39-$D$39)/$D$39</f>
        <v/>
      </c>
      <c r="M60" s="358">
        <f>(M39-$D$39)/$D$39</f>
        <v/>
      </c>
    </row>
    <row r="61">
      <c r="E61" s="2024" t="n">
        <v>195</v>
      </c>
    </row>
    <row r="62">
      <c r="D62" t="inlineStr">
        <is>
          <t>Rounded Value</t>
        </is>
      </c>
      <c r="E62" s="2025">
        <f>MROUND(E61*D39,5000)</f>
        <v/>
      </c>
      <c r="F62" s="1971" t="n"/>
    </row>
    <row r="63">
      <c r="D63" t="inlineStr">
        <is>
          <t>Value PSF</t>
        </is>
      </c>
      <c r="E63" s="2024">
        <f>E62/D39</f>
        <v/>
      </c>
    </row>
    <row r="64">
      <c r="D64" t="inlineStr">
        <is>
          <t>Income</t>
        </is>
      </c>
      <c r="E64" s="2026">
        <f>'IA Values'!H13</f>
        <v/>
      </c>
    </row>
    <row r="67">
      <c r="E67" t="n">
        <v>262.27</v>
      </c>
    </row>
    <row r="68">
      <c r="E68" t="n">
        <v>247.3</v>
      </c>
      <c r="F68" s="2027">
        <f>(E67-E68)/E68</f>
        <v/>
      </c>
    </row>
  </sheetData>
  <mergeCells count="83">
    <mergeCell ref="O7:P7"/>
    <mergeCell ref="O6:P6"/>
    <mergeCell ref="O15:P15"/>
    <mergeCell ref="E8:F8"/>
    <mergeCell ref="I16:J16"/>
    <mergeCell ref="M10:N10"/>
    <mergeCell ref="M16:N16"/>
    <mergeCell ref="O16:P16"/>
    <mergeCell ref="M8:N8"/>
    <mergeCell ref="O8:P8"/>
    <mergeCell ref="O11:P11"/>
    <mergeCell ref="I13:J13"/>
    <mergeCell ref="K13:L13"/>
    <mergeCell ref="E3:F3"/>
    <mergeCell ref="E12:F12"/>
    <mergeCell ref="O3:P3"/>
    <mergeCell ref="G12:H12"/>
    <mergeCell ref="I6:J6"/>
    <mergeCell ref="I15:J15"/>
    <mergeCell ref="K15:L15"/>
    <mergeCell ref="E5:F5"/>
    <mergeCell ref="E14:F14"/>
    <mergeCell ref="E4:F4"/>
    <mergeCell ref="G7:H7"/>
    <mergeCell ref="I7:J7"/>
    <mergeCell ref="M13:N13"/>
    <mergeCell ref="M7:N7"/>
    <mergeCell ref="I8:J8"/>
    <mergeCell ref="E16:F16"/>
    <mergeCell ref="G16:H16"/>
    <mergeCell ref="I10:J10"/>
    <mergeCell ref="K10:L10"/>
    <mergeCell ref="K6:L6"/>
    <mergeCell ref="G9:H9"/>
    <mergeCell ref="I9:J9"/>
    <mergeCell ref="K3:L3"/>
    <mergeCell ref="K16:L16"/>
    <mergeCell ref="G11:H11"/>
    <mergeCell ref="K9:L9"/>
    <mergeCell ref="I11:J11"/>
    <mergeCell ref="K5:L5"/>
    <mergeCell ref="M9:N9"/>
    <mergeCell ref="M5:N5"/>
    <mergeCell ref="O9:P9"/>
    <mergeCell ref="K11:L11"/>
    <mergeCell ref="O5:P5"/>
    <mergeCell ref="E13:F13"/>
    <mergeCell ref="G13:H13"/>
    <mergeCell ref="O4:P4"/>
    <mergeCell ref="E6:F6"/>
    <mergeCell ref="M15:N15"/>
    <mergeCell ref="M12:N12"/>
    <mergeCell ref="K8:L8"/>
    <mergeCell ref="E15:F15"/>
    <mergeCell ref="G15:H15"/>
    <mergeCell ref="C2:P2"/>
    <mergeCell ref="K7:L7"/>
    <mergeCell ref="E7:F7"/>
    <mergeCell ref="O10:P10"/>
    <mergeCell ref="G8:H8"/>
    <mergeCell ref="G10:H10"/>
    <mergeCell ref="G6:H6"/>
    <mergeCell ref="E9:F9"/>
    <mergeCell ref="G3:H3"/>
    <mergeCell ref="I3:J3"/>
    <mergeCell ref="I12:J12"/>
    <mergeCell ref="K12:L12"/>
    <mergeCell ref="M6:N6"/>
    <mergeCell ref="E11:F11"/>
    <mergeCell ref="G5:H5"/>
    <mergeCell ref="I5:J5"/>
    <mergeCell ref="G14:H14"/>
    <mergeCell ref="M3:N3"/>
    <mergeCell ref="I14:J14"/>
    <mergeCell ref="K14:L14"/>
    <mergeCell ref="O12:P12"/>
    <mergeCell ref="G4:H4"/>
    <mergeCell ref="I4:J4"/>
    <mergeCell ref="M14:N14"/>
    <mergeCell ref="O14:P14"/>
    <mergeCell ref="K4:L4"/>
    <mergeCell ref="M4:N4"/>
    <mergeCell ref="O13:P13"/>
  </mergeCells>
  <dataValidations count="1">
    <dataValidation sqref="E59 G59 I59 K59 M59 O59" showDropDown="0" showInputMessage="1" showErrorMessage="1" allowBlank="1" type="list">
      <formula1>lstCondition</formula1>
    </dataValidation>
  </dataValidations>
  <pageMargins left="0.7" right="0.7" top="0.75" bottom="0.75" header="0.3" footer="0.3"/>
  <pageSetup orientation="portrait"/>
</worksheet>
</file>

<file path=xl/worksheets/sheet16.xml><?xml version="1.0" encoding="utf-8"?>
<worksheet xmlns="http://schemas.openxmlformats.org/spreadsheetml/2006/main">
  <sheetPr>
    <outlinePr summaryBelow="1" summaryRight="1"/>
    <pageSetUpPr/>
  </sheetPr>
  <dimension ref="B2:K53"/>
  <sheetViews>
    <sheetView showGridLines="0" workbookViewId="0">
      <selection activeCell="E31" sqref="E31"/>
    </sheetView>
  </sheetViews>
  <sheetFormatPr baseColWidth="8" defaultRowHeight="15"/>
  <cols>
    <col width="3.42578125" customWidth="1" style="1439" min="1" max="1"/>
    <col width="45.42578125" bestFit="1" customWidth="1" style="1439" min="2" max="2"/>
    <col width="53" customWidth="1" style="1439" min="3" max="3"/>
    <col width="14" customWidth="1" style="1439" min="4" max="4"/>
    <col width="11.5703125" bestFit="1" customWidth="1" style="1439" min="6" max="6"/>
    <col width="9.7109375" bestFit="1" customWidth="1" style="1439" min="7" max="7"/>
    <col width="12.5703125" bestFit="1" customWidth="1" style="1439" min="8" max="8"/>
    <col width="11.5703125" bestFit="1" customWidth="1" style="1439" min="9" max="9"/>
  </cols>
  <sheetData>
    <row r="2" ht="15.75" customHeight="1" s="1439">
      <c r="B2" s="1597" t="inlineStr">
        <is>
          <t xml:space="preserve">LEASE ABSTRACT </t>
        </is>
      </c>
    </row>
    <row r="3" ht="12.75" customHeight="1" s="1439">
      <c r="B3" s="1043" t="inlineStr">
        <is>
          <t>Lessor</t>
        </is>
      </c>
      <c r="C3" s="1351" t="inlineStr">
        <is>
          <t>Yafa Realty Investments, LLC</t>
        </is>
      </c>
      <c r="G3" s="1355" t="inlineStr">
        <is>
          <t>Annual Rent Calc. Table</t>
        </is>
      </c>
      <c r="H3" s="1356" t="n"/>
    </row>
    <row r="4" ht="12.75" customHeight="1" s="1439">
      <c r="B4" s="1043" t="inlineStr">
        <is>
          <t>Lessee</t>
        </is>
      </c>
      <c r="C4" s="1352" t="inlineStr">
        <is>
          <t xml:space="preserve">Walker Component Group, Inc. </t>
        </is>
      </c>
      <c r="G4" s="725" t="inlineStr">
        <is>
          <t>Month</t>
        </is>
      </c>
      <c r="H4" s="1357" t="inlineStr">
        <is>
          <t>Monthly Rent</t>
        </is>
      </c>
    </row>
    <row r="5" ht="12.75" customHeight="1" s="1439">
      <c r="B5" s="1043" t="inlineStr">
        <is>
          <t>Building Size (SF)</t>
        </is>
      </c>
      <c r="C5" s="1353" t="n">
        <v>33750</v>
      </c>
      <c r="G5" s="1358" t="inlineStr">
        <is>
          <t>January</t>
        </is>
      </c>
      <c r="H5" s="2028" t="n">
        <v>16120</v>
      </c>
    </row>
    <row r="6" ht="12.75" customHeight="1" s="1439">
      <c r="B6" s="1043" t="inlineStr">
        <is>
          <t>Lease Sign Date</t>
        </is>
      </c>
      <c r="C6" s="1354" t="n">
        <v>42689</v>
      </c>
      <c r="G6" s="1358" t="inlineStr">
        <is>
          <t>February</t>
        </is>
      </c>
      <c r="H6" s="2028" t="n">
        <v>16120</v>
      </c>
    </row>
    <row r="7" ht="12.75" customHeight="1" s="1439">
      <c r="B7" s="1043" t="inlineStr">
        <is>
          <t>Lease Commencement Date</t>
        </is>
      </c>
      <c r="C7" s="1354" t="n">
        <v>42689</v>
      </c>
      <c r="G7" s="1358" t="inlineStr">
        <is>
          <t>March</t>
        </is>
      </c>
      <c r="H7" s="2028" t="n">
        <v>16120</v>
      </c>
      <c r="K7" s="358" t="n"/>
    </row>
    <row r="8" ht="12.75" customHeight="1" s="1439">
      <c r="B8" s="1043" t="inlineStr">
        <is>
          <t>Lease Expiration Date</t>
        </is>
      </c>
      <c r="C8" s="1354" t="n">
        <v>46752</v>
      </c>
      <c r="G8" s="1358" t="inlineStr">
        <is>
          <t>April</t>
        </is>
      </c>
      <c r="H8" s="2028" t="n">
        <v>16120</v>
      </c>
    </row>
    <row r="9">
      <c r="B9" s="1043" t="inlineStr">
        <is>
          <t>Base Lease Term (Months)</t>
        </is>
      </c>
      <c r="C9" s="1044">
        <f>+(C8-C7)/365*12</f>
        <v/>
      </c>
      <c r="G9" s="1358" t="inlineStr">
        <is>
          <t>May</t>
        </is>
      </c>
      <c r="H9" s="2028" t="n">
        <v>16120</v>
      </c>
      <c r="K9" s="358" t="n"/>
    </row>
    <row r="10" ht="20.25" customHeight="1" s="1439">
      <c r="B10" s="1043" t="inlineStr">
        <is>
          <t>12 Months Contract Rental Income (Jan-Dec 2020)</t>
        </is>
      </c>
      <c r="C10" s="2029">
        <f>H17</f>
        <v/>
      </c>
      <c r="G10" s="1358" t="inlineStr">
        <is>
          <t>June</t>
        </is>
      </c>
      <c r="H10" s="2028" t="n">
        <v>16120</v>
      </c>
    </row>
    <row r="11" ht="12.75" customHeight="1" s="1439">
      <c r="B11" s="1043" t="inlineStr">
        <is>
          <t>12 Months Contract Rental Income (Jan-Dec 2020)</t>
        </is>
      </c>
      <c r="C11" s="2030">
        <f>C10/C5</f>
        <v/>
      </c>
      <c r="G11" s="1358" t="inlineStr">
        <is>
          <t>July</t>
        </is>
      </c>
      <c r="H11" s="2028" t="n">
        <v>16120</v>
      </c>
    </row>
    <row r="12" ht="12.75" customHeight="1" s="1439">
      <c r="B12" s="1043" t="inlineStr">
        <is>
          <t>Base Rents</t>
        </is>
      </c>
      <c r="C12" s="1043" t="n"/>
      <c r="D12" t="inlineStr">
        <is>
          <t>Annual Rent (Lease)</t>
        </is>
      </c>
      <c r="G12" s="1358" t="inlineStr">
        <is>
          <t>August</t>
        </is>
      </c>
      <c r="H12" s="2028" t="n">
        <v>20230</v>
      </c>
    </row>
    <row r="13">
      <c r="B13" s="1047" t="inlineStr">
        <is>
          <t>Year 1 (11/16-10/17)</t>
        </is>
      </c>
      <c r="C13" s="2030">
        <f>D13/$C$5</f>
        <v/>
      </c>
      <c r="D13" s="1690" t="n">
        <v>194062.5</v>
      </c>
      <c r="G13" s="1358" t="inlineStr">
        <is>
          <t>September</t>
        </is>
      </c>
      <c r="H13" s="2028" t="n">
        <v>20230</v>
      </c>
    </row>
    <row r="14">
      <c r="B14" s="1047" t="inlineStr">
        <is>
          <t>Year 2 (11/17-10/18)</t>
        </is>
      </c>
      <c r="C14" s="2030">
        <f>D14/$C$5</f>
        <v/>
      </c>
      <c r="D14" s="1690" t="n">
        <v>194062.5</v>
      </c>
      <c r="G14" s="1358" t="inlineStr">
        <is>
          <t>October</t>
        </is>
      </c>
      <c r="H14" s="2028" t="n">
        <v>20230</v>
      </c>
    </row>
    <row r="15">
      <c r="B15" s="1047" t="inlineStr">
        <is>
          <t>Year 3 (11/18-10/19)</t>
        </is>
      </c>
      <c r="C15" s="2030">
        <f>D15/$C$5</f>
        <v/>
      </c>
      <c r="D15" s="1690" t="n">
        <v>202500</v>
      </c>
      <c r="G15" s="1358" t="inlineStr">
        <is>
          <t>November</t>
        </is>
      </c>
      <c r="H15" s="2028" t="n">
        <v>20230</v>
      </c>
    </row>
    <row r="16">
      <c r="B16" s="1047" t="inlineStr">
        <is>
          <t>Year 4 (11/19-10/20)</t>
        </is>
      </c>
      <c r="C16" s="2030">
        <f>D16/$C$5</f>
        <v/>
      </c>
      <c r="D16" s="1690" t="n">
        <v>202500</v>
      </c>
      <c r="G16" s="1360" t="inlineStr">
        <is>
          <t>December</t>
        </is>
      </c>
      <c r="H16" s="2031" t="n">
        <v>20230</v>
      </c>
    </row>
    <row r="17">
      <c r="B17" s="1047" t="inlineStr">
        <is>
          <t>Year 5 (11/20-10/21)</t>
        </is>
      </c>
      <c r="C17" s="2030">
        <f>D17/$C$5</f>
        <v/>
      </c>
      <c r="D17" s="1690" t="n">
        <v>210937.5</v>
      </c>
      <c r="G17" s="1362" t="inlineStr">
        <is>
          <t>Total</t>
        </is>
      </c>
      <c r="H17" s="2032">
        <f>SUM(H5:H16)</f>
        <v/>
      </c>
    </row>
    <row r="18">
      <c r="B18" s="1047" t="inlineStr">
        <is>
          <t>Frist Renewal Period</t>
        </is>
      </c>
      <c r="C18" s="2030" t="n"/>
      <c r="D18" s="1690" t="n"/>
      <c r="G18" s="1364" t="inlineStr">
        <is>
          <t>PSF</t>
        </is>
      </c>
      <c r="H18" s="2033">
        <f>H17/FE!C14</f>
        <v/>
      </c>
      <c r="I18" s="2025" t="n"/>
    </row>
    <row r="19">
      <c r="B19" s="1047" t="inlineStr">
        <is>
          <t>Year 6</t>
        </is>
      </c>
      <c r="C19" s="2030">
        <f>D19/$C$5</f>
        <v/>
      </c>
      <c r="D19" s="1690" t="n">
        <v>210937.5</v>
      </c>
      <c r="H19" s="2025" t="n"/>
      <c r="I19" s="2025" t="n"/>
    </row>
    <row r="20">
      <c r="B20" s="1047" t="inlineStr">
        <is>
          <t>Year 7</t>
        </is>
      </c>
      <c r="C20" s="2030">
        <f>D20/$C$5</f>
        <v/>
      </c>
      <c r="D20" s="1690" t="n">
        <v>219375</v>
      </c>
      <c r="H20" s="2025" t="n"/>
      <c r="I20" s="2025" t="n"/>
    </row>
    <row r="21">
      <c r="B21" s="1047" t="inlineStr">
        <is>
          <t>Year 8</t>
        </is>
      </c>
      <c r="C21" s="2030">
        <f>D21/$C$5</f>
        <v/>
      </c>
      <c r="D21" s="1690" t="n">
        <v>226125</v>
      </c>
      <c r="H21" s="2025" t="n"/>
      <c r="I21" s="2025" t="n"/>
    </row>
    <row r="22">
      <c r="B22" s="1047" t="inlineStr">
        <is>
          <t>Year 9</t>
        </is>
      </c>
      <c r="C22" s="2030">
        <f>D22/$C$5</f>
        <v/>
      </c>
      <c r="D22" s="1690" t="n">
        <v>232875</v>
      </c>
      <c r="H22" s="2025" t="n"/>
      <c r="I22" s="2025" t="n"/>
    </row>
    <row r="23">
      <c r="B23" s="1047" t="inlineStr">
        <is>
          <t>Year 10</t>
        </is>
      </c>
      <c r="C23" s="2030">
        <f>D23/$C$5</f>
        <v/>
      </c>
      <c r="D23" s="1690" t="n">
        <v>239625</v>
      </c>
      <c r="H23" s="2025" t="n"/>
      <c r="I23" s="2025" t="n"/>
    </row>
    <row r="24">
      <c r="B24" s="1047" t="inlineStr">
        <is>
          <t>Year 11</t>
        </is>
      </c>
      <c r="C24" s="2030">
        <f>D24/$C$5</f>
        <v/>
      </c>
      <c r="D24" s="1690" t="n">
        <v>242988</v>
      </c>
      <c r="H24" s="2025" t="n"/>
      <c r="I24" s="2025" t="n"/>
    </row>
    <row r="25" hidden="1" ht="12" customHeight="1" s="1439">
      <c r="B25" s="1047" t="n"/>
      <c r="C25" s="2030" t="n"/>
      <c r="H25" s="2025" t="n"/>
      <c r="I25" s="2025" t="n"/>
    </row>
    <row r="26" hidden="1" ht="12" customHeight="1" s="1439">
      <c r="B26" s="1047" t="n"/>
      <c r="C26" s="2030" t="n"/>
      <c r="H26" s="2025" t="n"/>
      <c r="I26" s="2025" t="n"/>
    </row>
    <row r="27" hidden="1" ht="12" customHeight="1" s="1439">
      <c r="B27" s="1047" t="n"/>
      <c r="C27" s="2030" t="n"/>
      <c r="H27" s="2025" t="n"/>
      <c r="I27" s="2025" t="n"/>
    </row>
    <row r="28" hidden="1" ht="12" customHeight="1" s="1439">
      <c r="B28" s="1047" t="n"/>
      <c r="C28" s="2030" t="n"/>
      <c r="H28" s="2025" t="n"/>
      <c r="I28" s="2025" t="n"/>
    </row>
    <row r="29" ht="15" customHeight="1" s="1439">
      <c r="B29" s="1048" t="inlineStr">
        <is>
          <t>Expense Structure</t>
        </is>
      </c>
      <c r="C29" s="1366" t="inlineStr">
        <is>
          <t>NNN</t>
        </is>
      </c>
      <c r="H29" s="2025" t="n"/>
      <c r="I29" s="2025" t="n"/>
      <c r="J29" s="2027" t="n"/>
    </row>
    <row r="30" ht="15" customHeight="1" s="1439">
      <c r="B30" s="1043" t="inlineStr">
        <is>
          <t>Landlord Expense Responsibilities</t>
        </is>
      </c>
      <c r="C30" s="1351" t="inlineStr">
        <is>
          <t>Roof replacement/repair, structural damage</t>
        </is>
      </c>
      <c r="H30" s="2025" t="n"/>
      <c r="I30" s="2025" t="n"/>
      <c r="J30" s="2027" t="n"/>
    </row>
    <row r="31" ht="52.5" customHeight="1" s="1439">
      <c r="B31" s="1049" t="inlineStr">
        <is>
          <t>Tenant Expense Responsibilities</t>
        </is>
      </c>
      <c r="C31" s="1367" t="inlineStr">
        <is>
          <t xml:space="preserve">Tenant is responsible for all expenses directly, including taxes, insurance, CAM/repairs &amp; maintenance, utilities and other expenses.  </t>
        </is>
      </c>
      <c r="H31" s="2025" t="n"/>
      <c r="I31" s="2024" t="n"/>
      <c r="J31" s="1971" t="n"/>
    </row>
    <row r="32" ht="37.5" customHeight="1" s="1439">
      <c r="B32" s="1043" t="inlineStr">
        <is>
          <t>Comments</t>
        </is>
      </c>
      <c r="C32" s="1351" t="inlineStr">
        <is>
          <t xml:space="preserve">Initial 5-year term with two 5-year renewal options. First renewal option started as of the valuation date. </t>
        </is>
      </c>
    </row>
    <row r="33">
      <c r="B33" s="1043" t="inlineStr">
        <is>
          <t>Purchase Options</t>
        </is>
      </c>
      <c r="C33" s="1351" t="inlineStr">
        <is>
          <t>None</t>
        </is>
      </c>
    </row>
    <row r="34">
      <c r="B34" s="1043" t="inlineStr">
        <is>
          <t>Termination Clause</t>
        </is>
      </c>
      <c r="C34" s="1351" t="inlineStr">
        <is>
          <t>None</t>
        </is>
      </c>
    </row>
    <row r="35">
      <c r="B35" s="1043" t="inlineStr">
        <is>
          <t>Guarantor</t>
        </is>
      </c>
      <c r="C35" s="1351" t="inlineStr">
        <is>
          <t>None</t>
        </is>
      </c>
    </row>
    <row r="36">
      <c r="B36" s="1043" t="inlineStr">
        <is>
          <t>Other</t>
        </is>
      </c>
      <c r="C36" s="1351" t="inlineStr">
        <is>
          <t xml:space="preserve">Triple net agreement, sale-leaseback. </t>
        </is>
      </c>
    </row>
    <row r="37" ht="24" customHeight="1" s="1439">
      <c r="B37" s="1050" t="inlineStr">
        <is>
          <t>Source</t>
        </is>
      </c>
      <c r="C37" s="1368" t="inlineStr">
        <is>
          <t>Lease Agreement, owner, inspection, assessor data</t>
        </is>
      </c>
    </row>
    <row r="41">
      <c r="C41" s="2034" t="n"/>
    </row>
    <row r="42">
      <c r="C42" s="2034" t="n"/>
    </row>
    <row r="43">
      <c r="C43" s="2034" t="n"/>
    </row>
    <row r="44">
      <c r="C44" s="2034" t="n"/>
    </row>
    <row r="45">
      <c r="C45" s="2034" t="n"/>
    </row>
    <row r="46">
      <c r="C46" s="2034" t="n"/>
    </row>
    <row r="47">
      <c r="C47" s="2034" t="n"/>
    </row>
    <row r="48">
      <c r="C48" s="2034" t="n"/>
    </row>
    <row r="49">
      <c r="C49" s="2034" t="n"/>
    </row>
    <row r="50">
      <c r="C50" s="2034" t="n"/>
    </row>
    <row r="51">
      <c r="C51" s="2034" t="n"/>
    </row>
    <row r="52">
      <c r="C52" s="2034" t="n"/>
    </row>
    <row r="53">
      <c r="C53" s="2034" t="n"/>
    </row>
  </sheetData>
  <mergeCells count="1">
    <mergeCell ref="B2:C2"/>
  </mergeCells>
  <pageMargins left="0.7" right="0.7" top="0.75" bottom="0.75" header="0.3" footer="0.3"/>
  <pageSetup orientation="portrait"/>
</worksheet>
</file>

<file path=xl/worksheets/sheet17.xml><?xml version="1.0" encoding="utf-8"?>
<worksheet xmlns="http://schemas.openxmlformats.org/spreadsheetml/2006/main">
  <sheetPr>
    <outlinePr summaryBelow="1" summaryRight="1"/>
    <pageSetUpPr/>
  </sheetPr>
  <dimension ref="A2:DZ41"/>
  <sheetViews>
    <sheetView showGridLines="0" topLeftCell="A9" workbookViewId="0">
      <selection activeCell="S29" sqref="S29:T29"/>
    </sheetView>
  </sheetViews>
  <sheetFormatPr baseColWidth="8" defaultRowHeight="15"/>
  <cols>
    <col width="10.7109375" customWidth="1" style="1439" min="1" max="1"/>
    <col width="13.28515625" customWidth="1" style="1439" min="2" max="2"/>
    <col width="12.5703125" customWidth="1" style="1439" min="3" max="3"/>
    <col width="9.85546875" customWidth="1" style="1439" min="4" max="4"/>
    <col width="20.7109375" customWidth="1" style="1439" min="5" max="5"/>
    <col width="7.42578125" customWidth="1" style="1439" min="6" max="6"/>
    <col width="20.7109375" customWidth="1" style="1439" min="7" max="7"/>
    <col width="7.42578125" customWidth="1" style="1439" min="8" max="8"/>
    <col width="20.7109375" customWidth="1" style="1439" min="9" max="9"/>
    <col width="7.5703125" customWidth="1" style="1439" min="10" max="10"/>
    <col width="20.7109375" customWidth="1" style="1439" min="11" max="11"/>
    <col width="8" customWidth="1" style="1439" min="12" max="12"/>
    <col hidden="1" width="21" customWidth="1" style="1439" min="13" max="13"/>
    <col hidden="1" width="10.28515625" customWidth="1" style="1439" min="14" max="14"/>
  </cols>
  <sheetData>
    <row r="2" ht="15.75" customFormat="1" customHeight="1" s="4">
      <c r="A2" s="1611" t="inlineStr">
        <is>
          <t>COMPARABLE LEASE ADJUSTMENT GRID</t>
        </is>
      </c>
      <c r="B2" s="1468" t="n"/>
      <c r="C2" s="1468" t="n"/>
      <c r="D2" s="1468" t="n"/>
      <c r="E2" s="1468" t="n"/>
      <c r="F2" s="1468" t="n"/>
      <c r="G2" s="1468" t="n"/>
      <c r="H2" s="1468" t="n"/>
      <c r="I2" s="1468" t="n"/>
      <c r="J2" s="1468" t="n"/>
      <c r="K2" s="1468" t="n"/>
      <c r="L2" s="1468" t="n"/>
      <c r="M2" s="1468" t="n"/>
      <c r="N2" s="1612" t="n"/>
    </row>
    <row r="3" ht="15" customHeight="1" s="1439">
      <c r="A3" s="1623" t="inlineStr">
        <is>
          <t>Characteristics</t>
        </is>
      </c>
      <c r="C3" s="1618" t="inlineStr">
        <is>
          <t>Subject</t>
        </is>
      </c>
      <c r="E3" s="1618" t="inlineStr">
        <is>
          <t>Lease 1</t>
        </is>
      </c>
      <c r="G3" s="1618" t="inlineStr">
        <is>
          <t>Lease 2</t>
        </is>
      </c>
      <c r="I3" s="1618" t="inlineStr">
        <is>
          <t>Lease 3</t>
        </is>
      </c>
      <c r="K3" s="1618" t="inlineStr">
        <is>
          <t>Lease 4</t>
        </is>
      </c>
      <c r="M3" s="1620" t="inlineStr">
        <is>
          <t>Rent 5</t>
        </is>
      </c>
      <c r="N3" s="1565" t="n"/>
    </row>
    <row r="4" ht="15" customHeight="1" s="1439">
      <c r="A4" s="1605" t="inlineStr">
        <is>
          <t>Address</t>
        </is>
      </c>
      <c r="B4" s="1565" t="n"/>
      <c r="C4" s="1603">
        <f>'Property Info'!B16</f>
        <v/>
      </c>
      <c r="D4" s="1565" t="n"/>
      <c r="E4" s="1603" t="inlineStr">
        <is>
          <t>5676 N Pecos Street</t>
        </is>
      </c>
      <c r="F4" s="1565" t="n"/>
      <c r="G4" s="1603" t="inlineStr">
        <is>
          <t>5100 Fox Street</t>
        </is>
      </c>
      <c r="H4" s="1565" t="n"/>
      <c r="I4" s="1603" t="inlineStr">
        <is>
          <t>5151 Bannock Street</t>
        </is>
      </c>
      <c r="J4" s="1565" t="n"/>
      <c r="K4" s="1603" t="inlineStr">
        <is>
          <t>4715 Colorado Blvd.</t>
        </is>
      </c>
      <c r="L4" s="1565" t="n"/>
      <c r="M4" s="1619" t="inlineStr">
        <is>
          <t>5882 South Youngfield Court</t>
        </is>
      </c>
      <c r="N4" s="1565" t="n"/>
    </row>
    <row r="5" ht="12.75" customHeight="1" s="1439">
      <c r="A5" s="1601" t="inlineStr">
        <is>
          <t>City</t>
        </is>
      </c>
      <c r="B5" s="1565" t="n"/>
      <c r="C5" s="1603">
        <f>'Property Info'!B17</f>
        <v/>
      </c>
      <c r="D5" s="1565" t="n"/>
      <c r="E5" s="1603" t="inlineStr">
        <is>
          <t>Denver, CO</t>
        </is>
      </c>
      <c r="F5" s="1565" t="n"/>
      <c r="G5" s="1603" t="inlineStr">
        <is>
          <t>Denver, CO</t>
        </is>
      </c>
      <c r="H5" s="1565" t="n"/>
      <c r="I5" s="1603" t="inlineStr">
        <is>
          <t>Denver, CO</t>
        </is>
      </c>
      <c r="J5" s="1565" t="n"/>
      <c r="K5" s="1603" t="inlineStr">
        <is>
          <t>Denver, CO</t>
        </is>
      </c>
      <c r="L5" s="1565" t="n"/>
      <c r="M5" s="1619" t="inlineStr">
        <is>
          <t>Littleton, CO</t>
        </is>
      </c>
      <c r="N5" s="1565" t="n"/>
    </row>
    <row r="6" hidden="1" ht="12.75" customHeight="1" s="1439">
      <c r="A6" s="1605" t="inlineStr">
        <is>
          <t>Distance from Subject</t>
        </is>
      </c>
      <c r="B6" s="1565" t="n"/>
      <c r="C6" s="1603" t="inlineStr">
        <is>
          <t>N/A</t>
        </is>
      </c>
      <c r="D6" s="1565" t="n"/>
      <c r="E6" s="1603" t="inlineStr">
        <is>
          <t>1 mile</t>
        </is>
      </c>
      <c r="F6" s="1565" t="n"/>
      <c r="G6" s="1603" t="inlineStr">
        <is>
          <t>1 mile</t>
        </is>
      </c>
      <c r="H6" s="1565" t="n"/>
      <c r="I6" s="1603" t="inlineStr">
        <is>
          <t>1 mile</t>
        </is>
      </c>
      <c r="J6" s="1565" t="n"/>
      <c r="K6" s="1603" t="inlineStr">
        <is>
          <t>1/4 mile</t>
        </is>
      </c>
      <c r="L6" s="1565" t="n"/>
      <c r="M6" s="1619" t="inlineStr">
        <is>
          <t>1 mile</t>
        </is>
      </c>
      <c r="N6" s="1565" t="n"/>
    </row>
    <row r="7" hidden="1" ht="40.5" customHeight="1" s="1439">
      <c r="A7" s="797" t="inlineStr">
        <is>
          <t>Data Source</t>
        </is>
      </c>
      <c r="B7" s="790" t="n"/>
      <c r="C7" s="1603">
        <f>'Detailed Sales Grid'!D12</f>
        <v/>
      </c>
      <c r="D7" s="1565" t="n"/>
      <c r="E7" s="1603" t="inlineStr">
        <is>
          <t>CoStar, Assessor, OM</t>
        </is>
      </c>
      <c r="F7" s="1565" t="n"/>
      <c r="G7" s="1603" t="inlineStr">
        <is>
          <t>CoStar, Assessor, OM</t>
        </is>
      </c>
      <c r="H7" s="1565" t="n"/>
      <c r="I7" s="1603" t="inlineStr">
        <is>
          <t>CoStar, Assessor, OM</t>
        </is>
      </c>
      <c r="J7" s="1565" t="n"/>
      <c r="K7" s="1603" t="inlineStr">
        <is>
          <t>CoStar, Broker, Listing</t>
        </is>
      </c>
      <c r="L7" s="1565" t="n"/>
      <c r="M7" s="1619" t="inlineStr">
        <is>
          <t>CoStar, Assessor</t>
        </is>
      </c>
      <c r="N7" s="1565" t="n"/>
    </row>
    <row r="8" hidden="1" ht="12.75" customHeight="1" s="1439">
      <c r="A8" s="1601" t="inlineStr">
        <is>
          <t>Proximity to Subject</t>
        </is>
      </c>
      <c r="B8" s="1565" t="n"/>
      <c r="C8" s="1603" t="inlineStr">
        <is>
          <t>N/A</t>
        </is>
      </c>
      <c r="D8" s="1565" t="n"/>
      <c r="E8" s="1603" t="inlineStr">
        <is>
          <t>1.5 miles</t>
        </is>
      </c>
      <c r="F8" s="1565" t="n"/>
      <c r="G8" s="1603" t="inlineStr">
        <is>
          <t>1.5 miles</t>
        </is>
      </c>
      <c r="H8" s="1565" t="n"/>
      <c r="I8" s="1603" t="inlineStr">
        <is>
          <t>1.5 miles</t>
        </is>
      </c>
      <c r="J8" s="1565" t="n"/>
      <c r="K8" s="1603" t="inlineStr">
        <is>
          <t>5.0 miles</t>
        </is>
      </c>
      <c r="L8" s="1565" t="n"/>
      <c r="M8" s="1603" t="inlineStr">
        <is>
          <t>3.0 miles</t>
        </is>
      </c>
      <c r="N8" s="1565" t="n"/>
    </row>
    <row r="9" ht="12.75" customHeight="1" s="1439">
      <c r="A9" s="1605" t="inlineStr">
        <is>
          <t xml:space="preserve">Building Size </t>
        </is>
      </c>
      <c r="B9" s="1565" t="n"/>
      <c r="C9" s="1602">
        <f>'Property Info'!B4</f>
        <v/>
      </c>
      <c r="D9" s="1565" t="n"/>
      <c r="E9" s="1602" t="n">
        <v>29050</v>
      </c>
      <c r="F9" s="1565" t="n"/>
      <c r="G9" s="1602" t="n">
        <v>40811</v>
      </c>
      <c r="H9" s="1565" t="n"/>
      <c r="I9" s="1602" t="n">
        <v>20000</v>
      </c>
      <c r="J9" s="1565" t="n"/>
      <c r="K9" s="1602" t="n">
        <v>37044</v>
      </c>
      <c r="L9" s="1565" t="n"/>
      <c r="M9" s="1627" t="n">
        <v>7786</v>
      </c>
      <c r="N9" s="1565" t="n"/>
    </row>
    <row r="10" hidden="1" ht="12.75" customHeight="1" s="1439">
      <c r="A10" s="1605" t="inlineStr">
        <is>
          <t>Vacancy</t>
        </is>
      </c>
      <c r="B10" s="1565" t="n"/>
      <c r="C10" s="789" t="n">
        <v>0</v>
      </c>
      <c r="D10" s="490">
        <f>C10/C9</f>
        <v/>
      </c>
      <c r="E10" s="791" t="n">
        <v>0</v>
      </c>
      <c r="F10" s="491" t="n">
        <v>0</v>
      </c>
      <c r="G10" s="791" t="n">
        <v>0</v>
      </c>
      <c r="H10" s="491" t="n">
        <v>0</v>
      </c>
      <c r="I10" s="791" t="n">
        <v>0</v>
      </c>
      <c r="J10" s="491" t="n">
        <v>0</v>
      </c>
      <c r="K10" s="791" t="n">
        <v>0</v>
      </c>
      <c r="L10" s="491" t="n">
        <v>0</v>
      </c>
      <c r="M10" s="791" t="n">
        <v>0</v>
      </c>
      <c r="N10" s="491" t="n">
        <v>0</v>
      </c>
    </row>
    <row r="11" hidden="1" ht="15" customHeight="1" s="1439">
      <c r="A11" s="1632" t="inlineStr">
        <is>
          <t>Parking Ratio</t>
        </is>
      </c>
      <c r="B11" s="1565" t="n"/>
      <c r="C11" s="791" t="n">
        <v>27</v>
      </c>
      <c r="D11" s="492">
        <f>ROUND((C11/C9)*1000,2)&amp;":1,000SF"</f>
        <v/>
      </c>
      <c r="E11" s="791" t="n">
        <v>19</v>
      </c>
      <c r="F11" s="492">
        <f>ROUND((E11/E9)*1000,2)&amp;":1,000SF"</f>
        <v/>
      </c>
      <c r="G11" s="791" t="n">
        <v>19</v>
      </c>
      <c r="H11" s="492">
        <f>ROUND((G11/G9)*1000,2)&amp;":1,000SF"</f>
        <v/>
      </c>
      <c r="I11" s="791" t="n">
        <v>19</v>
      </c>
      <c r="J11" s="492">
        <f>ROUND((I11/I9)*1000,2)&amp;":1,000SF"</f>
        <v/>
      </c>
      <c r="K11" s="791" t="n">
        <v>19</v>
      </c>
      <c r="L11" s="492">
        <f>ROUND((K11/K9)*1000,2)&amp;":1,000SF"</f>
        <v/>
      </c>
      <c r="M11" s="791" t="n">
        <v>19</v>
      </c>
      <c r="N11" s="491">
        <f>ROUND((M11/M9)*1000,2)&amp;":1,000SF"</f>
        <v/>
      </c>
    </row>
    <row r="12" ht="12.75" customHeight="1" s="1439">
      <c r="A12" s="1613" t="inlineStr">
        <is>
          <t>Representative Lease</t>
        </is>
      </c>
      <c r="C12" s="1624" t="n"/>
      <c r="E12" s="1624" t="n"/>
      <c r="F12" s="1624" t="n"/>
      <c r="G12" s="1624" t="n"/>
      <c r="H12" s="1624" t="n"/>
      <c r="I12" s="1624" t="n"/>
      <c r="J12" s="1624" t="n"/>
      <c r="K12" s="1624" t="n"/>
      <c r="L12" s="1624" t="n"/>
      <c r="M12" s="792" t="n"/>
      <c r="N12" s="798" t="n"/>
    </row>
    <row r="13" ht="12.75" customHeight="1" s="1439">
      <c r="A13" s="2035" t="inlineStr">
        <is>
          <t>Actual or Asking Lease Rate</t>
        </is>
      </c>
      <c r="B13" s="1565" t="n"/>
      <c r="C13" s="2036" t="inlineStr">
        <is>
          <t>N/A</t>
        </is>
      </c>
      <c r="D13" s="1565" t="n"/>
      <c r="E13" s="2037" t="inlineStr">
        <is>
          <t>Actual</t>
        </is>
      </c>
      <c r="F13" s="1565" t="n"/>
      <c r="G13" s="2037" t="inlineStr">
        <is>
          <t>Actual</t>
        </is>
      </c>
      <c r="H13" s="1565" t="n"/>
      <c r="I13" s="2037" t="inlineStr">
        <is>
          <t>Actual</t>
        </is>
      </c>
      <c r="J13" s="1565" t="n"/>
      <c r="K13" s="2037" t="inlineStr">
        <is>
          <t>Actual</t>
        </is>
      </c>
      <c r="L13" s="1565" t="n"/>
      <c r="M13" s="2038" t="inlineStr">
        <is>
          <t>Actual</t>
        </is>
      </c>
      <c r="N13" s="1565" t="n"/>
    </row>
    <row r="14" ht="33.75" customHeight="1" s="1439">
      <c r="A14" s="2035" t="inlineStr">
        <is>
          <t>Tenant</t>
        </is>
      </c>
      <c r="B14" s="1565" t="n"/>
      <c r="C14" s="2036">
        <f>LA!C4</f>
        <v/>
      </c>
      <c r="D14" s="1565" t="n"/>
      <c r="E14" s="2037" t="inlineStr">
        <is>
          <t>Four Star Drywall</t>
        </is>
      </c>
      <c r="F14" s="1565" t="n"/>
      <c r="G14" s="2037" t="inlineStr">
        <is>
          <t>Marcone Supply</t>
        </is>
      </c>
      <c r="H14" s="1565" t="n"/>
      <c r="I14" s="2037" t="inlineStr">
        <is>
          <t>Local Industrial User</t>
        </is>
      </c>
      <c r="J14" s="1565" t="n"/>
      <c r="K14" s="2037" t="inlineStr">
        <is>
          <t>Brow 1, LLC</t>
        </is>
      </c>
      <c r="L14" s="1565" t="n"/>
      <c r="M14" s="2038" t="inlineStr">
        <is>
          <t>Maypoint Learning Center</t>
        </is>
      </c>
      <c r="N14" s="1565" t="n"/>
    </row>
    <row r="15">
      <c r="A15" s="2035" t="inlineStr">
        <is>
          <t>SF Area Leased</t>
        </is>
      </c>
      <c r="B15" s="1565" t="n"/>
      <c r="C15" s="1626">
        <f>'Property Info'!B4</f>
        <v/>
      </c>
      <c r="D15" s="1565" t="n"/>
      <c r="E15" s="1602">
        <f>E9</f>
        <v/>
      </c>
      <c r="F15" s="1565" t="n"/>
      <c r="G15" s="1602" t="n">
        <v>22248</v>
      </c>
      <c r="H15" s="1565" t="n"/>
      <c r="I15" s="1602" t="n">
        <v>20000</v>
      </c>
      <c r="J15" s="1565" t="n"/>
      <c r="K15" s="1602" t="n">
        <v>37044</v>
      </c>
      <c r="L15" s="1565" t="n"/>
      <c r="M15" s="1627">
        <f>M9</f>
        <v/>
      </c>
      <c r="N15" s="1565" t="n"/>
    </row>
    <row r="16">
      <c r="A16" s="2035" t="inlineStr">
        <is>
          <t>Commencement</t>
        </is>
      </c>
      <c r="B16" s="1565" t="n"/>
      <c r="C16" s="2039" t="n">
        <v>44515</v>
      </c>
      <c r="D16" s="1565" t="n"/>
      <c r="E16" s="2039" t="n">
        <v>43781</v>
      </c>
      <c r="F16" s="1565" t="n"/>
      <c r="G16" s="2039" t="n">
        <v>43731</v>
      </c>
      <c r="H16" s="1565" t="n"/>
      <c r="I16" s="2039" t="n">
        <v>43617</v>
      </c>
      <c r="J16" s="1565" t="n"/>
      <c r="K16" s="2039" t="n">
        <v>43601</v>
      </c>
      <c r="L16" s="1565" t="n"/>
      <c r="M16" s="2040" t="n">
        <v>43490</v>
      </c>
      <c r="N16" s="1565" t="n"/>
    </row>
    <row r="17">
      <c r="A17" s="2035" t="inlineStr">
        <is>
          <t>Term</t>
        </is>
      </c>
      <c r="B17" s="1565" t="n"/>
      <c r="C17" s="2036" t="inlineStr">
        <is>
          <t>6 Years</t>
        </is>
      </c>
      <c r="D17" s="1565" t="n"/>
      <c r="E17" s="2037" t="inlineStr">
        <is>
          <t>3 Years</t>
        </is>
      </c>
      <c r="F17" s="1565" t="n"/>
      <c r="G17" s="2037" t="inlineStr">
        <is>
          <t>5 Years</t>
        </is>
      </c>
      <c r="H17" s="1565" t="n"/>
      <c r="I17" s="2037" t="inlineStr">
        <is>
          <t>3 Years</t>
        </is>
      </c>
      <c r="J17" s="1565" t="n"/>
      <c r="K17" s="2037" t="inlineStr">
        <is>
          <t>3 Years</t>
        </is>
      </c>
      <c r="L17" s="1565" t="n"/>
      <c r="M17" s="2038" t="inlineStr">
        <is>
          <t>5 Years</t>
        </is>
      </c>
      <c r="N17" s="1565" t="n"/>
    </row>
    <row r="18">
      <c r="A18" s="2035" t="inlineStr">
        <is>
          <t>TI Allowance</t>
        </is>
      </c>
      <c r="B18" s="1565" t="n"/>
      <c r="C18" s="2036" t="inlineStr">
        <is>
          <t>N/A</t>
        </is>
      </c>
      <c r="D18" s="1565" t="n"/>
      <c r="E18" s="2037" t="inlineStr">
        <is>
          <t>N/R</t>
        </is>
      </c>
      <c r="F18" s="1565" t="n"/>
      <c r="G18" s="2037" t="inlineStr">
        <is>
          <t>N/R</t>
        </is>
      </c>
      <c r="H18" s="1565" t="n"/>
      <c r="I18" s="2037" t="inlineStr">
        <is>
          <t>N/R</t>
        </is>
      </c>
      <c r="J18" s="1565" t="n"/>
      <c r="K18" s="2037" t="inlineStr">
        <is>
          <t>N/R</t>
        </is>
      </c>
      <c r="L18" s="1565" t="n"/>
      <c r="M18" s="2038" t="inlineStr">
        <is>
          <t>N/R</t>
        </is>
      </c>
      <c r="N18" s="1565" t="n"/>
    </row>
    <row r="19">
      <c r="A19" s="2035" t="inlineStr">
        <is>
          <t>Lease Rate Expense Structure</t>
        </is>
      </c>
      <c r="B19" s="1565" t="n"/>
      <c r="C19" s="2036" t="inlineStr">
        <is>
          <t>NNN</t>
        </is>
      </c>
      <c r="D19" s="1565" t="n"/>
      <c r="E19" s="2037" t="inlineStr">
        <is>
          <t>NNN</t>
        </is>
      </c>
      <c r="F19" s="1565" t="n"/>
      <c r="G19" s="2037" t="inlineStr">
        <is>
          <t>NNN</t>
        </is>
      </c>
      <c r="H19" s="1565" t="n"/>
      <c r="I19" s="2037" t="inlineStr">
        <is>
          <t>NNN</t>
        </is>
      </c>
      <c r="J19" s="1565" t="n"/>
      <c r="K19" s="2037" t="inlineStr">
        <is>
          <t>NNN</t>
        </is>
      </c>
      <c r="L19" s="1565" t="n"/>
      <c r="M19" s="2038" t="inlineStr">
        <is>
          <t>NNN</t>
        </is>
      </c>
      <c r="N19" s="1565" t="n"/>
    </row>
    <row r="20">
      <c r="A20" s="2035" t="inlineStr">
        <is>
          <t>Base Annual Rent</t>
        </is>
      </c>
      <c r="B20" s="1565" t="n"/>
      <c r="C20" s="2037">
        <f>LA!C11</f>
        <v/>
      </c>
      <c r="D20" s="1565" t="n"/>
      <c r="E20" s="2037" t="n">
        <v>11</v>
      </c>
      <c r="F20" s="1565" t="n"/>
      <c r="G20" s="2037" t="n">
        <v>7.95</v>
      </c>
      <c r="H20" s="1565" t="n"/>
      <c r="I20" s="2037" t="n">
        <v>12</v>
      </c>
      <c r="J20" s="1565" t="n"/>
      <c r="K20" s="2037" t="n">
        <v>9.5</v>
      </c>
      <c r="L20" s="1565" t="n"/>
      <c r="M20" s="2038" t="n">
        <v>22</v>
      </c>
      <c r="N20" s="1565" t="n"/>
    </row>
    <row r="21">
      <c r="A21" s="2041" t="inlineStr">
        <is>
          <t>Expense Adjustments</t>
        </is>
      </c>
      <c r="B21" s="1610" t="n"/>
      <c r="C21" s="2037" t="inlineStr">
        <is>
          <t>N/A</t>
        </is>
      </c>
      <c r="D21" s="1565" t="n"/>
      <c r="E21" s="2037" t="n">
        <v>0</v>
      </c>
      <c r="F21" s="1565" t="n"/>
      <c r="G21" s="2037" t="n">
        <v>0</v>
      </c>
      <c r="H21" s="1565" t="n"/>
      <c r="I21" s="2037" t="n">
        <v>0</v>
      </c>
      <c r="J21" s="1565" t="n"/>
      <c r="K21" s="2042" t="n">
        <v>0</v>
      </c>
      <c r="L21" s="1610" t="n"/>
      <c r="M21" s="2043" t="n">
        <v>0</v>
      </c>
      <c r="N21" s="1610" t="n"/>
    </row>
    <row r="22" ht="15" customFormat="1" customHeight="1" s="5">
      <c r="A22" s="2044" t="inlineStr">
        <is>
          <t>Adjusted Rent (NNN)</t>
        </is>
      </c>
      <c r="B22" s="1600" t="n"/>
      <c r="C22" s="2045">
        <f>C20</f>
        <v/>
      </c>
      <c r="D22" s="1600" t="n"/>
      <c r="E22" s="2045">
        <f>E20+E21</f>
        <v/>
      </c>
      <c r="F22" s="1600" t="n"/>
      <c r="G22" s="2045">
        <f>G20+G21</f>
        <v/>
      </c>
      <c r="H22" s="1600" t="n"/>
      <c r="I22" s="2045">
        <f>I20+I21</f>
        <v/>
      </c>
      <c r="J22" s="1600" t="n"/>
      <c r="K22" s="2045">
        <f>K20+K21</f>
        <v/>
      </c>
      <c r="L22" s="1600" t="n"/>
      <c r="M22" s="2045">
        <f>M20+M21</f>
        <v/>
      </c>
      <c r="N22" s="1600" t="n"/>
    </row>
    <row r="23" customFormat="1" s="1614">
      <c r="A23" s="1613" t="inlineStr">
        <is>
          <t>Adjustments</t>
        </is>
      </c>
      <c r="C23" s="1615" t="inlineStr">
        <is>
          <t>Description</t>
        </is>
      </c>
      <c r="D23" s="1468" t="n"/>
      <c r="E23" s="1615" t="inlineStr">
        <is>
          <t>Description</t>
        </is>
      </c>
      <c r="F23" s="1615" t="inlineStr">
        <is>
          <t>Adj.</t>
        </is>
      </c>
      <c r="G23" s="1615" t="inlineStr">
        <is>
          <t>Description</t>
        </is>
      </c>
      <c r="H23" s="1615" t="inlineStr">
        <is>
          <t>Adj.</t>
        </is>
      </c>
      <c r="I23" s="1615" t="inlineStr">
        <is>
          <t>Description</t>
        </is>
      </c>
      <c r="J23" s="1615" t="inlineStr">
        <is>
          <t>Adj.</t>
        </is>
      </c>
      <c r="K23" s="1615" t="inlineStr">
        <is>
          <t>Description</t>
        </is>
      </c>
      <c r="L23" s="1615" t="inlineStr">
        <is>
          <t>Adj.</t>
        </is>
      </c>
      <c r="M23" s="793" t="inlineStr">
        <is>
          <t>Description</t>
        </is>
      </c>
      <c r="N23" s="799" t="inlineStr">
        <is>
          <t>Adj.</t>
        </is>
      </c>
      <c r="O23" s="11" t="n"/>
      <c r="P23" s="11" t="n"/>
      <c r="Q23" s="11" t="n"/>
      <c r="R23" s="11" t="n"/>
      <c r="S23" s="11" t="n"/>
      <c r="T23" s="11" t="n"/>
      <c r="U23" s="11" t="n"/>
      <c r="V23" s="11" t="n"/>
      <c r="W23" s="11" t="n"/>
      <c r="X23" s="11" t="n"/>
      <c r="Y23" s="11" t="n"/>
      <c r="Z23" s="11" t="n"/>
      <c r="AA23" s="11" t="n"/>
      <c r="AB23" s="11" t="n"/>
      <c r="AC23" s="11" t="n"/>
      <c r="AD23" s="11" t="n"/>
      <c r="AE23" s="11" t="n"/>
      <c r="AF23" s="11" t="n"/>
      <c r="AG23" s="11" t="n"/>
      <c r="AH23" s="11" t="n"/>
      <c r="AI23" s="11" t="n"/>
      <c r="AJ23" s="11" t="n"/>
      <c r="AK23" s="11" t="n"/>
      <c r="AL23" s="11" t="n"/>
      <c r="AM23" s="11" t="n"/>
      <c r="AN23" s="11" t="n"/>
      <c r="AO23" s="11" t="n"/>
      <c r="AP23" s="11" t="n"/>
      <c r="AQ23" s="11" t="n"/>
      <c r="AR23" s="11" t="n"/>
      <c r="AS23" s="11" t="n"/>
      <c r="AT23" s="11" t="n"/>
      <c r="AU23" s="11" t="n"/>
      <c r="AV23" s="11" t="n"/>
      <c r="AW23" s="11" t="n"/>
      <c r="AX23" s="11" t="n"/>
      <c r="AY23" s="11" t="n"/>
      <c r="AZ23" s="11" t="n"/>
      <c r="BA23" s="11" t="n"/>
      <c r="BB23" s="11" t="n"/>
      <c r="BC23" s="11" t="n"/>
      <c r="BD23" s="11" t="n"/>
      <c r="BE23" s="11" t="n"/>
      <c r="BF23" s="11" t="n"/>
      <c r="BG23" s="11" t="n"/>
      <c r="BH23" s="11" t="n"/>
      <c r="BI23" s="11" t="n"/>
      <c r="BJ23" s="11" t="n"/>
      <c r="BK23" s="11" t="n"/>
      <c r="BL23" s="11" t="n"/>
      <c r="BM23" s="11" t="n"/>
      <c r="BN23" s="11" t="n"/>
      <c r="BO23" s="11" t="n"/>
      <c r="BP23" s="11" t="n"/>
      <c r="BQ23" s="11" t="n"/>
      <c r="BR23" s="11" t="n"/>
      <c r="BS23" s="11" t="n"/>
      <c r="BT23" s="11" t="n"/>
      <c r="BU23" s="11" t="n"/>
      <c r="BV23" s="11" t="n"/>
      <c r="BW23" s="11" t="n"/>
      <c r="BX23" s="11" t="n"/>
      <c r="BY23" s="11" t="n"/>
      <c r="BZ23" s="11" t="n"/>
      <c r="CA23" s="11" t="n"/>
      <c r="CB23" s="11" t="n"/>
      <c r="CC23" s="11" t="n"/>
      <c r="CD23" s="11" t="n"/>
      <c r="CE23" s="11" t="n"/>
      <c r="CF23" s="11" t="n"/>
      <c r="CG23" s="11" t="n"/>
      <c r="CH23" s="11" t="n"/>
      <c r="CI23" s="11" t="n"/>
      <c r="CJ23" s="11" t="n"/>
      <c r="CK23" s="11" t="n"/>
      <c r="CL23" s="11" t="n"/>
      <c r="CM23" s="11" t="n"/>
      <c r="CN23" s="11" t="n"/>
      <c r="CO23" s="11" t="n"/>
      <c r="CP23" s="11" t="n"/>
      <c r="CQ23" s="11" t="n"/>
      <c r="CR23" s="11" t="n"/>
      <c r="CS23" s="11" t="n"/>
      <c r="CT23" s="11" t="n"/>
      <c r="CU23" s="11" t="n"/>
      <c r="CV23" s="11" t="n"/>
      <c r="CW23" s="11" t="n"/>
      <c r="CX23" s="11" t="n"/>
      <c r="CY23" s="11" t="n"/>
      <c r="CZ23" s="11" t="n"/>
      <c r="DA23" s="11" t="n"/>
      <c r="DB23" s="11" t="n"/>
      <c r="DC23" s="11" t="n"/>
      <c r="DD23" s="11" t="n"/>
      <c r="DE23" s="11" t="n"/>
      <c r="DF23" s="11" t="n"/>
      <c r="DG23" s="11" t="n"/>
      <c r="DH23" s="11" t="n"/>
      <c r="DI23" s="11" t="n"/>
      <c r="DJ23" s="11" t="n"/>
      <c r="DK23" s="11" t="n"/>
      <c r="DL23" s="11" t="n"/>
      <c r="DM23" s="11" t="n"/>
      <c r="DN23" s="11" t="n"/>
      <c r="DO23" s="11" t="n"/>
      <c r="DP23" s="11" t="n"/>
      <c r="DQ23" s="11" t="n"/>
      <c r="DR23" s="11" t="n"/>
      <c r="DS23" s="11" t="n"/>
      <c r="DT23" s="11" t="n"/>
      <c r="DU23" s="11" t="n"/>
      <c r="DV23" s="11" t="n"/>
      <c r="DW23" s="11" t="n"/>
      <c r="DX23" s="11" t="n"/>
      <c r="DY23" s="11" t="n"/>
      <c r="DZ23" s="11" t="n"/>
    </row>
    <row r="24">
      <c r="A24" s="1601" t="inlineStr">
        <is>
          <t>Market Trends</t>
        </is>
      </c>
      <c r="B24" s="1565" t="n"/>
      <c r="C24" s="1602" t="inlineStr">
        <is>
          <t>N/A</t>
        </is>
      </c>
      <c r="D24" s="1565" t="n"/>
      <c r="E24" s="2046">
        <f>E16</f>
        <v/>
      </c>
      <c r="F24" s="1345" t="n">
        <v>0</v>
      </c>
      <c r="G24" s="2046">
        <f>G16</f>
        <v/>
      </c>
      <c r="H24" s="1345" t="n">
        <v>0</v>
      </c>
      <c r="I24" s="2046">
        <f>I16</f>
        <v/>
      </c>
      <c r="J24" s="1345" t="n">
        <v>0</v>
      </c>
      <c r="K24" s="2046">
        <f>K16</f>
        <v/>
      </c>
      <c r="L24" s="1350" t="n">
        <v>0</v>
      </c>
      <c r="M24" s="2047">
        <f>M16</f>
        <v/>
      </c>
      <c r="N24" s="800" t="n">
        <v>0.1</v>
      </c>
    </row>
    <row r="25" ht="30" customHeight="1" s="1439">
      <c r="A25" s="1605" t="inlineStr">
        <is>
          <t>Economics/Tenancy</t>
        </is>
      </c>
      <c r="B25" s="1565" t="n"/>
      <c r="C25" s="1602" t="inlineStr">
        <is>
          <t>Industrial, Average Credit Risk</t>
        </is>
      </c>
      <c r="D25" s="1565" t="n"/>
      <c r="E25" s="2046" t="inlineStr">
        <is>
          <t>Industrial, Average Credit Risk</t>
        </is>
      </c>
      <c r="F25" s="1345" t="n">
        <v>0</v>
      </c>
      <c r="G25" s="2046" t="inlineStr">
        <is>
          <t>Industrial, Average Credit Risk</t>
        </is>
      </c>
      <c r="H25" s="1345" t="n">
        <v>0</v>
      </c>
      <c r="I25" s="2046" t="inlineStr">
        <is>
          <t>Industrial, Average Credit Risk</t>
        </is>
      </c>
      <c r="J25" s="1345" t="n">
        <v>0</v>
      </c>
      <c r="K25" s="2046" t="inlineStr">
        <is>
          <t>Industrial, Average Credit Risk</t>
        </is>
      </c>
      <c r="L25" s="1350" t="n">
        <v>0</v>
      </c>
      <c r="M25" s="2047" t="inlineStr">
        <is>
          <t>Local Tenant - Good Quality</t>
        </is>
      </c>
      <c r="N25" s="800" t="n">
        <v>0.1</v>
      </c>
    </row>
    <row r="26">
      <c r="A26" s="1601" t="inlineStr">
        <is>
          <t>Location</t>
        </is>
      </c>
      <c r="B26" s="1565" t="n"/>
      <c r="C26" s="1602">
        <f>Export030823!R2</f>
        <v/>
      </c>
      <c r="D26" s="1565" t="n"/>
      <c r="E26" s="1346" t="inlineStr">
        <is>
          <t>Average</t>
        </is>
      </c>
      <c r="F26" s="1345" t="n">
        <v>0</v>
      </c>
      <c r="G26" s="1346" t="inlineStr">
        <is>
          <t>Average</t>
        </is>
      </c>
      <c r="H26" s="1345" t="n">
        <v>0</v>
      </c>
      <c r="I26" s="1346" t="inlineStr">
        <is>
          <t>Average</t>
        </is>
      </c>
      <c r="J26" s="1345" t="n">
        <v>0</v>
      </c>
      <c r="K26" s="1346" t="inlineStr">
        <is>
          <t>Average</t>
        </is>
      </c>
      <c r="L26" s="1350" t="n">
        <v>0</v>
      </c>
      <c r="M26" s="494" t="n"/>
      <c r="N26" s="800" t="n">
        <v>0</v>
      </c>
    </row>
    <row r="27" ht="30" customHeight="1" s="1439">
      <c r="A27" s="1601" t="inlineStr">
        <is>
          <t>Age/Condition</t>
        </is>
      </c>
      <c r="B27" s="1565" t="n"/>
      <c r="C27" s="1621">
        <f>Export030823!T2</f>
        <v/>
      </c>
      <c r="D27" s="1565" t="n"/>
      <c r="E27" s="1346" t="inlineStr">
        <is>
          <t>1972/Average</t>
        </is>
      </c>
      <c r="F27" s="1345" t="n">
        <v>0</v>
      </c>
      <c r="G27" s="1346" t="inlineStr">
        <is>
          <t>1971/Fair</t>
        </is>
      </c>
      <c r="H27" s="1345" t="n">
        <v>0.1</v>
      </c>
      <c r="I27" s="1346" t="inlineStr">
        <is>
          <t>1922 (Ren.)/
Above-Average</t>
        </is>
      </c>
      <c r="J27" s="1345" t="n">
        <v>-0.05</v>
      </c>
      <c r="K27" s="1346" t="inlineStr">
        <is>
          <t>1954/Average</t>
        </is>
      </c>
      <c r="L27" s="1350" t="n">
        <v>0</v>
      </c>
      <c r="M27" s="494" t="inlineStr">
        <is>
          <t>2014 (Ren.)/Above-Average</t>
        </is>
      </c>
      <c r="N27" s="800" t="n">
        <v>0.1</v>
      </c>
    </row>
    <row r="28">
      <c r="A28" s="1601" t="inlineStr">
        <is>
          <t>Size (SF)</t>
        </is>
      </c>
      <c r="B28" s="1565" t="n"/>
      <c r="C28" s="1602">
        <f>C15</f>
        <v/>
      </c>
      <c r="D28" s="1565" t="n"/>
      <c r="E28" s="1346">
        <f>E15</f>
        <v/>
      </c>
      <c r="F28" s="1345" t="n">
        <v>0</v>
      </c>
      <c r="G28" s="1346">
        <f>G15</f>
        <v/>
      </c>
      <c r="H28" s="1345" t="n">
        <v>-0.05</v>
      </c>
      <c r="I28" s="1346">
        <f>I15</f>
        <v/>
      </c>
      <c r="J28" s="1345" t="n">
        <v>-0.05</v>
      </c>
      <c r="K28" s="1346">
        <f>K15</f>
        <v/>
      </c>
      <c r="L28" s="1350" t="n">
        <v>0</v>
      </c>
      <c r="M28" s="494">
        <f>M15</f>
        <v/>
      </c>
      <c r="N28" s="800" t="n">
        <v>-0.05</v>
      </c>
    </row>
    <row r="29" ht="24" customHeight="1" s="1439">
      <c r="A29" s="1601" t="inlineStr">
        <is>
          <t>Quality</t>
        </is>
      </c>
      <c r="B29" s="1565" t="n"/>
      <c r="C29" s="1621">
        <f>Export030823!U2</f>
        <v/>
      </c>
      <c r="D29" s="1565" t="n"/>
      <c r="E29" s="1347" t="inlineStr">
        <is>
          <t>Average</t>
        </is>
      </c>
      <c r="F29" s="1345" t="n">
        <v>0</v>
      </c>
      <c r="G29" s="1347" t="inlineStr">
        <is>
          <t>Average</t>
        </is>
      </c>
      <c r="H29" s="1345" t="n">
        <v>0</v>
      </c>
      <c r="I29" s="1347" t="inlineStr">
        <is>
          <t>Average</t>
        </is>
      </c>
      <c r="J29" s="1345" t="n">
        <v>0</v>
      </c>
      <c r="K29" s="1347" t="inlineStr">
        <is>
          <t>Average</t>
        </is>
      </c>
      <c r="L29" s="1350" t="n">
        <v>0</v>
      </c>
      <c r="M29" s="495" t="inlineStr">
        <is>
          <t>Good</t>
        </is>
      </c>
      <c r="N29" s="800" t="n">
        <v>0</v>
      </c>
    </row>
    <row r="30" customFormat="1" s="12">
      <c r="A30" s="1601" t="inlineStr">
        <is>
          <t>Land-To-Building Ratio</t>
        </is>
      </c>
      <c r="B30" s="1565" t="n"/>
      <c r="C30" s="1631">
        <f>Export030823!V2</f>
        <v/>
      </c>
      <c r="D30" s="1565" t="n"/>
      <c r="E30" s="1348">
        <f>75359/E9</f>
        <v/>
      </c>
      <c r="F30" s="1345" t="n">
        <v>0</v>
      </c>
      <c r="G30" s="1348">
        <f>143748/G9</f>
        <v/>
      </c>
      <c r="H30" s="1345" t="n">
        <v>0</v>
      </c>
      <c r="I30" s="1348">
        <f>87120/I9</f>
        <v/>
      </c>
      <c r="J30" s="1345" t="n">
        <v>0</v>
      </c>
      <c r="K30" s="1348">
        <f>91912/K9</f>
        <v/>
      </c>
      <c r="L30" s="1350" t="n">
        <v>0</v>
      </c>
      <c r="M30" s="496" t="n">
        <v>5.52</v>
      </c>
      <c r="N30" s="800" t="n">
        <v>-0.05</v>
      </c>
    </row>
    <row r="31" ht="35.25" customFormat="1" customHeight="1" s="12">
      <c r="A31" s="1609" t="inlineStr">
        <is>
          <t>Functional Utility</t>
        </is>
      </c>
      <c r="B31" s="1610" t="n"/>
      <c r="C31" s="1622">
        <f>Export030823!X2</f>
        <v/>
      </c>
      <c r="D31" s="1565" t="n"/>
      <c r="E31" s="1349" t="inlineStr">
        <is>
          <t>Good: I-3 Zoning</t>
        </is>
      </c>
      <c r="F31" s="1345" t="n">
        <v>-0.1</v>
      </c>
      <c r="G31" s="1349" t="inlineStr">
        <is>
          <t>Average</t>
        </is>
      </c>
      <c r="H31" s="1345" t="n">
        <v>0</v>
      </c>
      <c r="I31" s="1349" t="inlineStr">
        <is>
          <t>Above-Average: I-B Zoning</t>
        </is>
      </c>
      <c r="J31" s="1345" t="n">
        <v>-0.05</v>
      </c>
      <c r="K31" s="1349" t="inlineStr">
        <is>
          <t>Average</t>
        </is>
      </c>
      <c r="L31" s="1350" t="n">
        <v>0</v>
      </c>
      <c r="M31" s="497" t="inlineStr">
        <is>
          <t>Average</t>
        </is>
      </c>
      <c r="N31" s="800" t="n">
        <v>0</v>
      </c>
    </row>
    <row r="32" ht="12.75" customHeight="1" s="1439">
      <c r="A32" s="1598" t="inlineStr">
        <is>
          <t>Subtotal Net Adjustments</t>
        </is>
      </c>
      <c r="B32" s="1599" t="n"/>
      <c r="C32" s="1599" t="n"/>
      <c r="D32" s="1600" t="n"/>
      <c r="E32" s="2048" t="n"/>
      <c r="F32" s="499">
        <f>SUM(F24:F31)</f>
        <v/>
      </c>
      <c r="G32" s="2048" t="n"/>
      <c r="H32" s="499">
        <f>SUM(H24:H31)</f>
        <v/>
      </c>
      <c r="I32" s="2048" t="n"/>
      <c r="J32" s="499">
        <f>SUM(J24:J31)</f>
        <v/>
      </c>
      <c r="K32" s="2048" t="n"/>
      <c r="L32" s="499">
        <f>SUM(L24:L31)</f>
        <v/>
      </c>
      <c r="M32" s="2048" t="n"/>
      <c r="N32" s="499">
        <f>SUM(N24:N31)</f>
        <v/>
      </c>
    </row>
    <row r="33">
      <c r="A33" s="1598" t="inlineStr">
        <is>
          <t>Adjusted Lease Rate Per Square Foot</t>
        </is>
      </c>
      <c r="B33" s="1599" t="n"/>
      <c r="C33" s="1599" t="n"/>
      <c r="D33" s="1600" t="n"/>
      <c r="E33" s="2048" t="n"/>
      <c r="F33" s="2049">
        <f>+E22*(1+F32)</f>
        <v/>
      </c>
      <c r="G33" s="2048" t="n"/>
      <c r="H33" s="2049">
        <f>+G22*(1+H32)</f>
        <v/>
      </c>
      <c r="I33" s="2048" t="n"/>
      <c r="J33" s="2049">
        <f>+I22*(1+J32)</f>
        <v/>
      </c>
      <c r="K33" s="2048" t="n"/>
      <c r="L33" s="2049">
        <f>+K22*(1+L32)</f>
        <v/>
      </c>
      <c r="M33" s="2048" t="n"/>
      <c r="N33" s="2049">
        <f>+M22*(1+N32)</f>
        <v/>
      </c>
    </row>
    <row r="34">
      <c r="A34" s="6" t="n"/>
      <c r="B34" s="7" t="n"/>
      <c r="C34" s="7" t="n"/>
      <c r="D34" s="7" t="n"/>
      <c r="E34" s="2050" t="n"/>
      <c r="F34" s="2051" t="n"/>
      <c r="G34" s="2051" t="n"/>
      <c r="H34" s="2051" t="n"/>
      <c r="I34" s="2051" t="n"/>
      <c r="J34" s="2051" t="n"/>
      <c r="K34" s="2050" t="n"/>
      <c r="L34" s="2051" t="n"/>
      <c r="M34" s="2050" t="n"/>
      <c r="N34" s="2051" t="n"/>
    </row>
    <row r="35" hidden="1" ht="15" customHeight="1" s="1439">
      <c r="A35" s="6" t="n"/>
      <c r="B35" s="7" t="n"/>
      <c r="C35" s="7" t="n"/>
      <c r="D35" s="7" t="n"/>
      <c r="E35" s="2050" t="n"/>
      <c r="F35" s="2051" t="n"/>
      <c r="G35" s="2051" t="n"/>
      <c r="H35" s="2051" t="n"/>
      <c r="I35" s="2051" t="n"/>
      <c r="J35" s="2051" t="n"/>
      <c r="K35" s="2050" t="n"/>
      <c r="L35" s="2051" t="n"/>
      <c r="M35" s="2050" t="n"/>
      <c r="N35" s="2051" t="n"/>
    </row>
    <row r="36" hidden="1" s="1439">
      <c r="F36" s="2052">
        <f>F33</f>
        <v/>
      </c>
    </row>
    <row r="37" hidden="1" s="1439">
      <c r="F37" s="2052">
        <f>H33</f>
        <v/>
      </c>
    </row>
    <row r="38" hidden="1" s="1439">
      <c r="F38" s="2052">
        <f>J33</f>
        <v/>
      </c>
    </row>
    <row r="39" hidden="1" s="1439">
      <c r="F39" s="2052">
        <f>L33</f>
        <v/>
      </c>
    </row>
    <row r="40" hidden="1" s="1439"/>
    <row r="41">
      <c r="E41" s="358">
        <f>(E28-$C$28)/$C$28</f>
        <v/>
      </c>
      <c r="G41" s="358">
        <f>(G28-$C$28)/$C$28</f>
        <v/>
      </c>
      <c r="I41" s="358">
        <f>(I28-$C$28)/$C$28</f>
        <v/>
      </c>
      <c r="K41" s="358">
        <f>(K28-$C$28)/$C$28</f>
        <v/>
      </c>
    </row>
  </sheetData>
  <mergeCells count="143">
    <mergeCell ref="G21:H21"/>
    <mergeCell ref="C6:D6"/>
    <mergeCell ref="A15:B15"/>
    <mergeCell ref="C15:D15"/>
    <mergeCell ref="E8:F8"/>
    <mergeCell ref="I16:J16"/>
    <mergeCell ref="G18:H18"/>
    <mergeCell ref="A27:B27"/>
    <mergeCell ref="I18:J18"/>
    <mergeCell ref="M16:N16"/>
    <mergeCell ref="C27:D27"/>
    <mergeCell ref="M18:N18"/>
    <mergeCell ref="A17:B17"/>
    <mergeCell ref="C17:D17"/>
    <mergeCell ref="M8:N8"/>
    <mergeCell ref="A22:B22"/>
    <mergeCell ref="M17:N17"/>
    <mergeCell ref="G20:H20"/>
    <mergeCell ref="I20:J20"/>
    <mergeCell ref="A19:B19"/>
    <mergeCell ref="C19:D19"/>
    <mergeCell ref="A28:B28"/>
    <mergeCell ref="C28:D28"/>
    <mergeCell ref="M19:N19"/>
    <mergeCell ref="E22:F22"/>
    <mergeCell ref="A33:D33"/>
    <mergeCell ref="G22:H22"/>
    <mergeCell ref="A9:B9"/>
    <mergeCell ref="K13:L13"/>
    <mergeCell ref="C3:D3"/>
    <mergeCell ref="I13:J13"/>
    <mergeCell ref="E3:F3"/>
    <mergeCell ref="A30:B30"/>
    <mergeCell ref="C30:D30"/>
    <mergeCell ref="I6:J6"/>
    <mergeCell ref="I15:J15"/>
    <mergeCell ref="A11:B11"/>
    <mergeCell ref="K15:L15"/>
    <mergeCell ref="C5:D5"/>
    <mergeCell ref="E5:F5"/>
    <mergeCell ref="C14:D14"/>
    <mergeCell ref="E14:F14"/>
    <mergeCell ref="C4:D4"/>
    <mergeCell ref="K21:L21"/>
    <mergeCell ref="E4:F4"/>
    <mergeCell ref="G7:H7"/>
    <mergeCell ref="I7:J7"/>
    <mergeCell ref="M13:N13"/>
    <mergeCell ref="M7:N7"/>
    <mergeCell ref="A26:B26"/>
    <mergeCell ref="M21:N21"/>
    <mergeCell ref="I8:J8"/>
    <mergeCell ref="A8:B8"/>
    <mergeCell ref="I17:J17"/>
    <mergeCell ref="C8:D8"/>
    <mergeCell ref="K17:L17"/>
    <mergeCell ref="E16:F16"/>
    <mergeCell ref="G16:H16"/>
    <mergeCell ref="A10:B10"/>
    <mergeCell ref="I19:J19"/>
    <mergeCell ref="K19:L19"/>
    <mergeCell ref="C18:D18"/>
    <mergeCell ref="K6:L6"/>
    <mergeCell ref="G9:H9"/>
    <mergeCell ref="E18:F18"/>
    <mergeCell ref="I9:J9"/>
    <mergeCell ref="K3:L3"/>
    <mergeCell ref="K16:L16"/>
    <mergeCell ref="K9:L9"/>
    <mergeCell ref="K5:L5"/>
    <mergeCell ref="M9:N9"/>
    <mergeCell ref="M5:N5"/>
    <mergeCell ref="C20:D20"/>
    <mergeCell ref="E20:F20"/>
    <mergeCell ref="C29:D29"/>
    <mergeCell ref="E13:F13"/>
    <mergeCell ref="C22:D22"/>
    <mergeCell ref="G13:H13"/>
    <mergeCell ref="C31:D31"/>
    <mergeCell ref="A3:B3"/>
    <mergeCell ref="A12:B12"/>
    <mergeCell ref="I21:J21"/>
    <mergeCell ref="C12:D12"/>
    <mergeCell ref="A21:B21"/>
    <mergeCell ref="E6:F6"/>
    <mergeCell ref="M15:N15"/>
    <mergeCell ref="C21:D21"/>
    <mergeCell ref="E15:F15"/>
    <mergeCell ref="K8:L8"/>
    <mergeCell ref="G15:H15"/>
    <mergeCell ref="A2:N2"/>
    <mergeCell ref="A5:B5"/>
    <mergeCell ref="A14:B14"/>
    <mergeCell ref="A23:B23"/>
    <mergeCell ref="C23:D23"/>
    <mergeCell ref="A4:B4"/>
    <mergeCell ref="K7:L7"/>
    <mergeCell ref="C7:D7"/>
    <mergeCell ref="E7:F7"/>
    <mergeCell ref="K18:L18"/>
    <mergeCell ref="A32:D32"/>
    <mergeCell ref="A24:B24"/>
    <mergeCell ref="C24:D24"/>
    <mergeCell ref="G8:H8"/>
    <mergeCell ref="E17:F17"/>
    <mergeCell ref="C26:D26"/>
    <mergeCell ref="A6:B6"/>
    <mergeCell ref="G17:H17"/>
    <mergeCell ref="A16:B16"/>
    <mergeCell ref="K20:L20"/>
    <mergeCell ref="C16:D16"/>
    <mergeCell ref="M20:N20"/>
    <mergeCell ref="A25:B25"/>
    <mergeCell ref="C25:D25"/>
    <mergeCell ref="E19:F19"/>
    <mergeCell ref="G19:H19"/>
    <mergeCell ref="I22:J22"/>
    <mergeCell ref="G6:H6"/>
    <mergeCell ref="C9:D9"/>
    <mergeCell ref="K22:L22"/>
    <mergeCell ref="E9:F9"/>
    <mergeCell ref="A18:B18"/>
    <mergeCell ref="M22:N22"/>
    <mergeCell ref="G3:H3"/>
    <mergeCell ref="I3:J3"/>
    <mergeCell ref="M6:N6"/>
    <mergeCell ref="G5:H5"/>
    <mergeCell ref="I5:J5"/>
    <mergeCell ref="G14:H14"/>
    <mergeCell ref="M3:N3"/>
    <mergeCell ref="I14:J14"/>
    <mergeCell ref="K14:L14"/>
    <mergeCell ref="G4:H4"/>
    <mergeCell ref="A20:B20"/>
    <mergeCell ref="I4:J4"/>
    <mergeCell ref="A29:B29"/>
    <mergeCell ref="M14:N14"/>
    <mergeCell ref="A13:B13"/>
    <mergeCell ref="C13:D13"/>
    <mergeCell ref="K4:L4"/>
    <mergeCell ref="A31:B31"/>
    <mergeCell ref="M4:N4"/>
    <mergeCell ref="E21:F21"/>
  </mergeCells>
  <pageMargins left="0.7" right="0.7" top="0.75" bottom="0.75" header="0.3" footer="0.3"/>
  <pageSetup orientation="portrait"/>
</worksheet>
</file>

<file path=xl/worksheets/sheet18.xml><?xml version="1.0" encoding="utf-8"?>
<worksheet xmlns="http://schemas.openxmlformats.org/spreadsheetml/2006/main">
  <sheetPr>
    <outlinePr summaryBelow="1" summaryRight="1"/>
    <pageSetUpPr/>
  </sheetPr>
  <dimension ref="C3:R27"/>
  <sheetViews>
    <sheetView showGridLines="0" workbookViewId="0">
      <selection activeCell="J16" sqref="J16"/>
    </sheetView>
  </sheetViews>
  <sheetFormatPr baseColWidth="8" defaultRowHeight="15"/>
  <cols>
    <col width="5.7109375" customWidth="1" style="1439" min="3" max="3"/>
    <col width="8.7109375" customWidth="1" style="1439" min="4" max="4"/>
    <col width="28.7109375" customWidth="1" style="1439" min="5" max="5"/>
    <col width="9.42578125" bestFit="1" customWidth="1" style="1439" min="8" max="8"/>
    <col width="11.5703125" bestFit="1" customWidth="1" style="1439" min="15" max="15"/>
    <col width="11.140625" customWidth="1" style="1439" min="16" max="16"/>
    <col width="11.42578125" customWidth="1" style="1439" min="17" max="17"/>
    <col hidden="1" width="13" customWidth="1" style="1439" min="18" max="18"/>
  </cols>
  <sheetData>
    <row r="3">
      <c r="C3" s="1552" t="inlineStr">
        <is>
          <t xml:space="preserve"> SUMMARY OF IMPROVED SALES</t>
        </is>
      </c>
    </row>
    <row r="4" ht="39" customHeight="1" s="1439">
      <c r="C4" s="1640" t="inlineStr">
        <is>
          <t>No.</t>
        </is>
      </c>
      <c r="D4" s="1640" t="inlineStr">
        <is>
          <t>Type</t>
        </is>
      </c>
      <c r="E4" s="69" t="inlineStr">
        <is>
          <t>Property Type / Location</t>
        </is>
      </c>
      <c r="F4" s="182" t="inlineStr">
        <is>
          <t>Date of
Sale</t>
        </is>
      </c>
      <c r="G4" s="182" t="inlineStr">
        <is>
          <t>Property Rights</t>
        </is>
      </c>
      <c r="H4" s="182" t="inlineStr">
        <is>
          <t>Year
Built</t>
        </is>
      </c>
      <c r="I4" s="182" t="inlineStr">
        <is>
          <t>Bldg. Size 
(SF)</t>
        </is>
      </c>
      <c r="J4" s="182" t="inlineStr">
        <is>
          <t>Site Size
(SF)
(Acres)</t>
        </is>
      </c>
      <c r="K4" s="182" t="inlineStr">
        <is>
          <t>Building Footprint</t>
        </is>
      </c>
      <c r="L4" s="191" t="inlineStr">
        <is>
          <t>Coverage Ratio</t>
        </is>
      </c>
      <c r="M4" s="182" t="inlineStr">
        <is>
          <t>Percent Office</t>
        </is>
      </c>
      <c r="N4" s="182" t="inlineStr">
        <is>
          <t>Clear
Heights (ft.)</t>
        </is>
      </c>
      <c r="O4" s="192" t="inlineStr">
        <is>
          <t>Occupancy</t>
        </is>
      </c>
      <c r="P4" s="182" t="inlineStr">
        <is>
          <t>Sale Price</t>
        </is>
      </c>
      <c r="Q4" s="182" t="inlineStr">
        <is>
          <t>Price PSF</t>
        </is>
      </c>
      <c r="R4" s="193" t="inlineStr">
        <is>
          <t>Overall Rate</t>
        </is>
      </c>
    </row>
    <row r="5" ht="12" customHeight="1" s="1439">
      <c r="C5" s="309">
        <f>ROW()-4</f>
        <v/>
      </c>
      <c r="D5" s="309" t="inlineStr">
        <is>
          <t>Sale</t>
        </is>
      </c>
      <c r="E5" s="310" t="inlineStr">
        <is>
          <t xml:space="preserve">Industrial </t>
        </is>
      </c>
      <c r="F5" s="2053" t="n">
        <v>42705</v>
      </c>
      <c r="G5" s="2054" t="inlineStr">
        <is>
          <t>Fee Simple</t>
        </is>
      </c>
      <c r="H5" s="1634" t="n">
        <v>2007</v>
      </c>
      <c r="I5" s="313" t="n">
        <v>25540</v>
      </c>
      <c r="J5" s="314" t="n">
        <v>214163</v>
      </c>
      <c r="K5" s="1638" t="n">
        <v>25540</v>
      </c>
      <c r="L5" s="315">
        <f>K5/J5</f>
        <v/>
      </c>
      <c r="M5" s="316" t="n">
        <v>0.14</v>
      </c>
      <c r="N5" s="317" t="inlineStr">
        <is>
          <t>20'</t>
        </is>
      </c>
      <c r="O5" s="318" t="inlineStr">
        <is>
          <t>Vacant at TOS</t>
        </is>
      </c>
      <c r="P5" s="2055" t="n">
        <v>1800000</v>
      </c>
      <c r="Q5" s="2056">
        <f>P5/I5</f>
        <v/>
      </c>
      <c r="R5" s="295" t="inlineStr">
        <is>
          <t>N/A</t>
        </is>
      </c>
    </row>
    <row r="6" ht="12" customHeight="1" s="1439">
      <c r="C6" s="309" t="n"/>
      <c r="D6" s="309" t="n"/>
      <c r="E6" s="310" t="inlineStr">
        <is>
          <t>61 Chimuza Road</t>
        </is>
      </c>
      <c r="F6" s="2057" t="n"/>
      <c r="G6" s="2054" t="n"/>
      <c r="I6" s="322" t="n"/>
      <c r="J6" s="323">
        <f>J5/43560</f>
        <v/>
      </c>
      <c r="L6" s="315" t="n"/>
      <c r="M6" s="316" t="n"/>
      <c r="N6" s="317" t="n"/>
      <c r="O6" s="318" t="n"/>
      <c r="P6" s="2058" t="n"/>
      <c r="Q6" s="2056" t="n"/>
      <c r="R6" s="295" t="n"/>
    </row>
    <row r="7" ht="12" customHeight="1" s="1439">
      <c r="C7" s="309" t="n"/>
      <c r="D7" s="309" t="n"/>
      <c r="E7" s="310" t="inlineStr">
        <is>
          <t>Rock Springs, Wyoming</t>
        </is>
      </c>
      <c r="F7" s="2053" t="n"/>
      <c r="G7" s="2059" t="n"/>
      <c r="H7" s="1634" t="n"/>
      <c r="I7" s="313" t="n"/>
      <c r="J7" s="323" t="n"/>
      <c r="K7" s="1638" t="n"/>
      <c r="L7" s="315" t="n"/>
      <c r="M7" s="316" t="n"/>
      <c r="N7" s="317" t="n"/>
      <c r="O7" s="318" t="n"/>
      <c r="P7" s="2058" t="n"/>
      <c r="Q7" s="2056" t="n"/>
      <c r="R7" s="295" t="n"/>
    </row>
    <row r="8" ht="12" customHeight="1" s="1439">
      <c r="C8" s="309" t="n"/>
      <c r="D8" s="309" t="n"/>
      <c r="E8" s="310" t="n"/>
      <c r="F8" s="2060" t="n"/>
      <c r="G8" s="2061" t="n"/>
      <c r="H8" s="330" t="inlineStr">
        <is>
          <t> </t>
        </is>
      </c>
      <c r="I8" s="314" t="inlineStr">
        <is>
          <t> </t>
        </is>
      </c>
      <c r="J8" s="331" t="n"/>
      <c r="K8" s="332" t="inlineStr">
        <is>
          <t> </t>
        </is>
      </c>
      <c r="L8" s="333" t="n"/>
      <c r="M8" s="334" t="n"/>
      <c r="N8" s="335" t="n"/>
      <c r="O8" s="336" t="inlineStr">
        <is>
          <t> </t>
        </is>
      </c>
      <c r="P8" s="2058" t="n"/>
      <c r="Q8" s="2056" t="n"/>
      <c r="R8" s="295" t="inlineStr">
        <is>
          <t> </t>
        </is>
      </c>
    </row>
    <row r="9" ht="12" customHeight="1" s="1439">
      <c r="C9" s="309" t="n">
        <v>2</v>
      </c>
      <c r="D9" s="309" t="inlineStr">
        <is>
          <t>Sale</t>
        </is>
      </c>
      <c r="E9" s="310" t="inlineStr">
        <is>
          <t xml:space="preserve">Industrial </t>
        </is>
      </c>
      <c r="F9" s="2053" t="n">
        <v>42583</v>
      </c>
      <c r="G9" s="2059" t="inlineStr">
        <is>
          <t>Fee Simple</t>
        </is>
      </c>
      <c r="H9" s="1634" t="n">
        <v>2005</v>
      </c>
      <c r="I9" s="313" t="n">
        <v>13100</v>
      </c>
      <c r="J9" s="314" t="n">
        <v>138956</v>
      </c>
      <c r="K9" s="1638" t="n">
        <v>13100</v>
      </c>
      <c r="L9" s="315">
        <f>K9/J9</f>
        <v/>
      </c>
      <c r="M9" s="316" t="n">
        <v>0.21</v>
      </c>
      <c r="N9" s="317" t="inlineStr">
        <is>
          <t>20'</t>
        </is>
      </c>
      <c r="O9" s="318" t="inlineStr">
        <is>
          <t>Vacant at TOS</t>
        </is>
      </c>
      <c r="P9" s="2055" t="n">
        <v>1350000</v>
      </c>
      <c r="Q9" s="2056">
        <f>P9/I9</f>
        <v/>
      </c>
      <c r="R9" s="295" t="inlineStr">
        <is>
          <t>N/A</t>
        </is>
      </c>
    </row>
    <row r="10" ht="12" customHeight="1" s="1439">
      <c r="C10" s="309" t="n"/>
      <c r="D10" s="309" t="n"/>
      <c r="E10" s="310" t="inlineStr">
        <is>
          <t>1751 Blairtown Road</t>
        </is>
      </c>
      <c r="F10" s="2053" t="n"/>
      <c r="G10" s="2059" t="n"/>
      <c r="H10" s="1634" t="n"/>
      <c r="I10" s="313" t="n"/>
      <c r="J10" s="323">
        <f>J9/43560</f>
        <v/>
      </c>
      <c r="K10" s="1638" t="n"/>
      <c r="L10" s="315" t="n"/>
      <c r="M10" s="316" t="n"/>
      <c r="N10" s="317" t="n"/>
      <c r="O10" s="318" t="n"/>
      <c r="P10" s="2055" t="n"/>
      <c r="Q10" s="2056" t="n"/>
      <c r="R10" s="295" t="n"/>
    </row>
    <row r="11" ht="12" customHeight="1" s="1439">
      <c r="C11" s="309" t="n"/>
      <c r="D11" s="309" t="n"/>
      <c r="E11" s="310" t="inlineStr">
        <is>
          <t>Rock Springs, Wyoming</t>
        </is>
      </c>
      <c r="F11" s="2053" t="n"/>
      <c r="G11" s="2059" t="n"/>
      <c r="H11" s="1634" t="n"/>
      <c r="I11" s="313" t="n"/>
      <c r="J11" s="323" t="n"/>
      <c r="K11" s="1638" t="n"/>
      <c r="L11" s="315" t="n"/>
      <c r="M11" s="316" t="n"/>
      <c r="N11" s="317" t="n"/>
      <c r="O11" s="318" t="n"/>
      <c r="P11" s="2055" t="n"/>
      <c r="Q11" s="2056" t="n"/>
      <c r="R11" s="295" t="n"/>
    </row>
    <row r="12" ht="12" customHeight="1" s="1439">
      <c r="C12" s="309" t="n"/>
      <c r="D12" s="309" t="n"/>
      <c r="E12" s="310" t="n"/>
      <c r="F12" s="2060" t="n"/>
      <c r="G12" s="2060" t="n"/>
      <c r="H12" s="330" t="inlineStr">
        <is>
          <t> </t>
        </is>
      </c>
      <c r="I12" s="332" t="inlineStr">
        <is>
          <t> </t>
        </is>
      </c>
      <c r="J12" s="314" t="n"/>
      <c r="K12" s="332" t="inlineStr">
        <is>
          <t> </t>
        </is>
      </c>
      <c r="L12" s="333" t="n"/>
      <c r="M12" s="337" t="n"/>
      <c r="N12" s="337" t="n"/>
      <c r="O12" s="336" t="inlineStr">
        <is>
          <t> </t>
        </is>
      </c>
      <c r="P12" s="2062" t="n"/>
      <c r="Q12" s="2056" t="n"/>
      <c r="R12" s="295" t="inlineStr">
        <is>
          <t> </t>
        </is>
      </c>
    </row>
    <row r="13" ht="12" customHeight="1" s="1439">
      <c r="C13" s="309" t="n">
        <v>3</v>
      </c>
      <c r="D13" s="309" t="inlineStr">
        <is>
          <t>Sale</t>
        </is>
      </c>
      <c r="E13" s="310" t="inlineStr">
        <is>
          <t xml:space="preserve">Industrial </t>
        </is>
      </c>
      <c r="F13" s="2053" t="n">
        <v>42461</v>
      </c>
      <c r="G13" s="2059" t="inlineStr">
        <is>
          <t>Fee Simple</t>
        </is>
      </c>
      <c r="H13" s="1634" t="n">
        <v>1981</v>
      </c>
      <c r="I13" s="313" t="n">
        <v>8000</v>
      </c>
      <c r="J13" s="314" t="n">
        <v>50006</v>
      </c>
      <c r="K13" s="1638" t="n">
        <v>8000</v>
      </c>
      <c r="L13" s="315">
        <f>K13/J13</f>
        <v/>
      </c>
      <c r="M13" s="316" t="n">
        <v>0.1</v>
      </c>
      <c r="N13" s="317" t="inlineStr">
        <is>
          <t>16'</t>
        </is>
      </c>
      <c r="O13" s="318" t="inlineStr">
        <is>
          <t>Vacant at TOS</t>
        </is>
      </c>
      <c r="P13" s="2055" t="n">
        <v>530000</v>
      </c>
      <c r="Q13" s="2056">
        <f>P13/I13</f>
        <v/>
      </c>
      <c r="R13" s="295" t="n">
        <v>0.074</v>
      </c>
    </row>
    <row r="14" ht="12" customHeight="1" s="1439">
      <c r="C14" s="309" t="n"/>
      <c r="D14" s="309" t="n"/>
      <c r="E14" s="310" t="inlineStr">
        <is>
          <t>6 Bowker Road</t>
        </is>
      </c>
      <c r="F14" s="2053" t="n"/>
      <c r="G14" s="2059" t="n"/>
      <c r="H14" s="1634" t="n"/>
      <c r="I14" s="313" t="n"/>
      <c r="J14" s="323">
        <f>J13/43560</f>
        <v/>
      </c>
      <c r="K14" s="1638" t="n"/>
      <c r="L14" s="315" t="n"/>
      <c r="M14" s="316" t="n"/>
      <c r="N14" s="317" t="n"/>
      <c r="O14" s="318" t="n"/>
      <c r="P14" s="2055" t="n"/>
      <c r="Q14" s="2056" t="n"/>
      <c r="R14" s="295" t="n"/>
    </row>
    <row r="15" ht="12" customHeight="1" s="1439">
      <c r="C15" s="309" t="n"/>
      <c r="D15" s="309" t="n"/>
      <c r="E15" s="310" t="inlineStr">
        <is>
          <t>Rock Springs, Wyoming</t>
        </is>
      </c>
      <c r="F15" s="2053" t="n"/>
      <c r="G15" s="2059" t="n"/>
      <c r="H15" s="1634" t="n"/>
      <c r="I15" s="313" t="n"/>
      <c r="J15" s="323" t="n"/>
      <c r="K15" s="1638" t="n"/>
      <c r="L15" s="315" t="n"/>
      <c r="M15" s="316" t="n"/>
      <c r="N15" s="317" t="n"/>
      <c r="O15" s="318" t="n"/>
      <c r="P15" s="2055" t="n"/>
      <c r="Q15" s="2056" t="n"/>
      <c r="R15" s="295" t="n"/>
    </row>
    <row r="16" ht="12" customHeight="1" s="1439">
      <c r="C16" s="309" t="n"/>
      <c r="D16" s="309" t="n"/>
      <c r="E16" s="310" t="n"/>
      <c r="F16" s="2060" t="n"/>
      <c r="G16" s="2060" t="n"/>
      <c r="H16" s="330" t="inlineStr">
        <is>
          <t> </t>
        </is>
      </c>
      <c r="I16" s="332" t="inlineStr">
        <is>
          <t> </t>
        </is>
      </c>
      <c r="J16" s="314" t="n"/>
      <c r="K16" s="332" t="inlineStr">
        <is>
          <t> </t>
        </is>
      </c>
      <c r="L16" s="333" t="n"/>
      <c r="M16" s="337" t="n"/>
      <c r="N16" s="337" t="n"/>
      <c r="O16" s="336" t="inlineStr">
        <is>
          <t> </t>
        </is>
      </c>
      <c r="P16" s="2062" t="n"/>
      <c r="Q16" s="2056" t="n"/>
      <c r="R16" s="295" t="inlineStr">
        <is>
          <t> </t>
        </is>
      </c>
    </row>
    <row r="17" ht="12" customHeight="1" s="1439">
      <c r="C17" s="309" t="n">
        <v>4</v>
      </c>
      <c r="D17" s="309" t="inlineStr">
        <is>
          <t>Sale</t>
        </is>
      </c>
      <c r="E17" s="310" t="inlineStr">
        <is>
          <t>Industrial</t>
        </is>
      </c>
      <c r="F17" s="2053" t="n">
        <v>42430</v>
      </c>
      <c r="G17" s="2059" t="inlineStr">
        <is>
          <t>Fee Simple</t>
        </is>
      </c>
      <c r="H17" s="1634" t="n">
        <v>1979</v>
      </c>
      <c r="I17" s="313" t="n">
        <v>5300</v>
      </c>
      <c r="J17" s="314" t="n">
        <v>87555</v>
      </c>
      <c r="K17" s="1638" t="n">
        <v>5300</v>
      </c>
      <c r="L17" s="315">
        <f>K17/J17</f>
        <v/>
      </c>
      <c r="M17" s="316" t="n">
        <v>0.15</v>
      </c>
      <c r="N17" s="317" t="inlineStr">
        <is>
          <t>16'</t>
        </is>
      </c>
      <c r="O17" s="318" t="inlineStr">
        <is>
          <t>Vacant at TOS</t>
        </is>
      </c>
      <c r="P17" s="2055" t="n">
        <v>417000</v>
      </c>
      <c r="Q17" s="2056">
        <f>P17/I17</f>
        <v/>
      </c>
      <c r="R17" s="295" t="n">
        <v>0.065</v>
      </c>
    </row>
    <row r="18" ht="12" customHeight="1" s="1439">
      <c r="C18" s="309" t="n"/>
      <c r="D18" s="309" t="n"/>
      <c r="E18" s="310" t="inlineStr">
        <is>
          <t>1931 Yellowstone Road</t>
        </is>
      </c>
      <c r="F18" s="2053" t="n"/>
      <c r="G18" s="2059" t="n"/>
      <c r="H18" s="1634" t="n"/>
      <c r="I18" s="313" t="n"/>
      <c r="J18" s="323">
        <f>J17/43560</f>
        <v/>
      </c>
      <c r="K18" s="1638" t="n"/>
      <c r="L18" s="315" t="n"/>
      <c r="M18" s="316" t="n"/>
      <c r="N18" s="317" t="n"/>
      <c r="O18" s="318" t="n"/>
      <c r="P18" s="2055" t="n"/>
      <c r="Q18" s="2056" t="n"/>
      <c r="R18" s="295" t="n"/>
    </row>
    <row r="19" ht="12" customHeight="1" s="1439">
      <c r="C19" s="309" t="n"/>
      <c r="D19" s="309" t="n"/>
      <c r="E19" s="310" t="inlineStr">
        <is>
          <t>Rock Springs, Wyoming</t>
        </is>
      </c>
      <c r="F19" s="2053" t="n"/>
      <c r="G19" s="2059" t="n"/>
      <c r="H19" s="1634" t="n"/>
      <c r="I19" s="313" t="n"/>
      <c r="J19" s="323" t="n"/>
      <c r="K19" s="1638" t="n"/>
      <c r="L19" s="315" t="n"/>
      <c r="M19" s="316" t="n"/>
      <c r="N19" s="317" t="n"/>
      <c r="O19" s="318" t="n"/>
      <c r="P19" s="2055" t="n"/>
      <c r="Q19" s="2056" t="n"/>
      <c r="R19" s="295" t="n"/>
    </row>
    <row r="20" ht="12" customHeight="1" s="1439">
      <c r="C20" s="309" t="n"/>
      <c r="D20" s="309" t="n"/>
      <c r="E20" s="310" t="n"/>
      <c r="F20" s="2053" t="n"/>
      <c r="G20" s="2059" t="n"/>
      <c r="H20" s="1634" t="n"/>
      <c r="I20" s="313" t="n"/>
      <c r="J20" s="323" t="n"/>
      <c r="K20" s="1638" t="n"/>
      <c r="L20" s="315" t="n"/>
      <c r="M20" s="316" t="n"/>
      <c r="N20" s="317" t="n"/>
      <c r="O20" s="318" t="n"/>
      <c r="P20" s="2055" t="n"/>
      <c r="Q20" s="2056" t="n"/>
      <c r="R20" s="295" t="n"/>
    </row>
    <row r="21" ht="12" customHeight="1" s="1439">
      <c r="C21" s="309" t="n">
        <v>5</v>
      </c>
      <c r="D21" s="309" t="inlineStr">
        <is>
          <t>Sale</t>
        </is>
      </c>
      <c r="E21" s="310" t="inlineStr">
        <is>
          <t xml:space="preserve">Industrial </t>
        </is>
      </c>
      <c r="F21" s="2053" t="n">
        <v>42401</v>
      </c>
      <c r="G21" s="2059" t="inlineStr">
        <is>
          <t>Fee Simple</t>
        </is>
      </c>
      <c r="H21" s="1634" t="n">
        <v>1978</v>
      </c>
      <c r="I21" s="313" t="n">
        <v>7500</v>
      </c>
      <c r="J21" s="314" t="n">
        <v>29620</v>
      </c>
      <c r="K21" s="1638" t="n">
        <v>7500</v>
      </c>
      <c r="L21" s="315">
        <f>K21/J21</f>
        <v/>
      </c>
      <c r="M21" s="316" t="n">
        <v>0.15</v>
      </c>
      <c r="N21" s="317" t="inlineStr">
        <is>
          <t>18'</t>
        </is>
      </c>
      <c r="O21" s="318" t="inlineStr">
        <is>
          <t>Vacant at TOS</t>
        </is>
      </c>
      <c r="P21" s="2055" t="n">
        <v>400000</v>
      </c>
      <c r="Q21" s="2056">
        <f>P21/I21</f>
        <v/>
      </c>
      <c r="R21" s="295" t="n">
        <v>0.055</v>
      </c>
    </row>
    <row r="22" ht="12" customHeight="1" s="1439">
      <c r="C22" s="309" t="n"/>
      <c r="D22" s="309" t="n"/>
      <c r="E22" s="310" t="inlineStr">
        <is>
          <t>60 Signal Road</t>
        </is>
      </c>
      <c r="F22" s="2053" t="n"/>
      <c r="G22" s="2059" t="n"/>
      <c r="H22" s="1634" t="n"/>
      <c r="I22" s="313" t="n"/>
      <c r="J22" s="323">
        <f>J21/43560</f>
        <v/>
      </c>
      <c r="K22" s="1638" t="n"/>
      <c r="L22" s="315" t="n"/>
      <c r="M22" s="316" t="n"/>
      <c r="N22" s="317" t="n"/>
      <c r="O22" s="318" t="n"/>
      <c r="P22" s="2055" t="n"/>
      <c r="Q22" s="2056" t="n"/>
      <c r="R22" s="295" t="n"/>
    </row>
    <row r="23" ht="12" customHeight="1" s="1439">
      <c r="C23" s="309" t="n"/>
      <c r="D23" s="309" t="n"/>
      <c r="E23" s="310" t="inlineStr">
        <is>
          <t>Rock Springs, Wyoming</t>
        </is>
      </c>
      <c r="F23" s="2053" t="n"/>
      <c r="G23" s="2059" t="n"/>
      <c r="H23" s="1634" t="n"/>
      <c r="I23" s="313" t="n"/>
      <c r="J23" s="323" t="n"/>
      <c r="K23" s="1638" t="n"/>
      <c r="L23" s="315" t="n"/>
      <c r="M23" s="316" t="n"/>
      <c r="N23" s="317" t="n"/>
      <c r="O23" s="318" t="n"/>
      <c r="P23" s="2055" t="n"/>
      <c r="Q23" s="2056" t="n"/>
      <c r="R23" s="295" t="n"/>
    </row>
    <row r="24" ht="12" customHeight="1" s="1439">
      <c r="C24" s="309" t="n"/>
      <c r="D24" s="309" t="n"/>
      <c r="E24" s="310" t="n"/>
      <c r="F24" s="2053" t="n"/>
      <c r="G24" s="2059" t="n"/>
      <c r="H24" s="1634" t="n"/>
      <c r="I24" s="313" t="n"/>
      <c r="J24" s="323" t="n"/>
      <c r="K24" s="1638" t="n"/>
      <c r="L24" s="315" t="n"/>
      <c r="M24" s="316" t="n"/>
      <c r="N24" s="317" t="n"/>
      <c r="O24" s="318" t="n"/>
      <c r="P24" s="2055" t="n"/>
      <c r="Q24" s="2056" t="n"/>
      <c r="R24" s="295" t="n"/>
    </row>
    <row r="25" ht="12.75" customHeight="1" s="1439">
      <c r="C25" s="194" t="inlineStr">
        <is>
          <t>Subj.</t>
        </is>
      </c>
      <c r="D25" s="194" t="n"/>
      <c r="E25" s="284">
        <f>'Property Info'!B15</f>
        <v/>
      </c>
      <c r="F25" s="2063" t="n"/>
      <c r="G25" s="194" t="n"/>
      <c r="H25" s="1636">
        <f>'Property Info'!B8</f>
        <v/>
      </c>
      <c r="I25" s="1635">
        <f>'Property Info'!B4</f>
        <v/>
      </c>
      <c r="J25" s="286">
        <f>'Property Info'!B11</f>
        <v/>
      </c>
      <c r="K25" s="1637">
        <f>'Property Info'!B5</f>
        <v/>
      </c>
      <c r="L25" s="287">
        <f>'Property Info'!B13</f>
        <v/>
      </c>
      <c r="M25" s="288">
        <f>'Property Info'!B14</f>
        <v/>
      </c>
      <c r="N25" s="289" t="inlineStr"/>
      <c r="O25" s="288">
        <f>'Property Info'!B19</f>
        <v/>
      </c>
      <c r="P25" s="2064" t="n"/>
      <c r="Q25" s="2065" t="n"/>
      <c r="R25" s="197" t="n"/>
    </row>
    <row r="26" ht="12.75" customHeight="1" s="1439">
      <c r="C26" s="198" t="n"/>
      <c r="D26" s="198" t="n"/>
      <c r="E26" s="290">
        <f>'Property Info'!B16</f>
        <v/>
      </c>
      <c r="F26" s="291" t="n"/>
      <c r="G26" s="291" t="n"/>
      <c r="J26" s="292">
        <f>'Property Info'!B12</f>
        <v/>
      </c>
      <c r="L26" s="291" t="n"/>
      <c r="M26" s="291" t="n"/>
      <c r="N26" s="291" t="n"/>
      <c r="O26" s="291" t="n"/>
      <c r="P26" s="198" t="n"/>
      <c r="Q26" s="198" t="n"/>
      <c r="R26" s="198" t="n"/>
    </row>
    <row r="27" ht="12.75" customHeight="1" s="1439">
      <c r="C27" s="199" t="n"/>
      <c r="D27" s="199" t="n"/>
      <c r="E27" s="293">
        <f>'Property Info'!B17</f>
        <v/>
      </c>
      <c r="F27" s="294" t="n"/>
      <c r="G27" s="294" t="n"/>
      <c r="H27" s="1458" t="n"/>
      <c r="I27" s="1458" t="n"/>
      <c r="J27" s="294" t="n"/>
      <c r="K27" s="1458" t="n"/>
      <c r="L27" s="294" t="n"/>
      <c r="M27" s="294" t="n"/>
      <c r="N27" s="294" t="n"/>
      <c r="O27" s="294" t="n"/>
      <c r="P27" s="199" t="n"/>
      <c r="Q27" s="199" t="n"/>
      <c r="R27" s="199" t="n"/>
    </row>
  </sheetData>
  <mergeCells count="6">
    <mergeCell ref="H5:H6"/>
    <mergeCell ref="I25:I27"/>
    <mergeCell ref="H25:H27"/>
    <mergeCell ref="C3:R3"/>
    <mergeCell ref="K25:K27"/>
    <mergeCell ref="K5:K6"/>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C2:AA35"/>
  <sheetViews>
    <sheetView showGridLines="0" workbookViewId="0">
      <selection activeCell="AC33" sqref="AC33"/>
    </sheetView>
  </sheetViews>
  <sheetFormatPr baseColWidth="8" defaultRowHeight="15"/>
  <cols>
    <col width="30" customWidth="1" style="1439" min="3" max="3"/>
    <col hidden="1" width="13" customWidth="1" style="1439" min="4" max="12"/>
    <col hidden="1" width="13" customWidth="1" style="1439" min="19" max="24"/>
    <col hidden="1" width="9.140625" customWidth="1" style="1439" min="27" max="27"/>
  </cols>
  <sheetData>
    <row r="2">
      <c r="C2" s="1639" t="inlineStr">
        <is>
          <t>HISTORICAL OPERATING ANALYSIS</t>
        </is>
      </c>
    </row>
    <row r="3">
      <c r="C3" s="1383" t="n"/>
      <c r="D3" s="1384" t="n"/>
      <c r="E3" s="1384" t="n"/>
      <c r="F3" s="1384" t="n"/>
      <c r="G3" s="1384" t="n"/>
      <c r="H3" s="1384" t="n"/>
      <c r="I3" s="1384" t="n"/>
      <c r="J3" s="1385" t="n"/>
      <c r="K3" s="1385" t="n"/>
      <c r="L3" s="1384" t="n"/>
      <c r="M3" s="1385" t="n"/>
      <c r="N3" s="1385" t="n"/>
      <c r="O3" s="1384" t="n"/>
      <c r="P3" s="2066" t="n"/>
      <c r="Q3" s="1385" t="n"/>
      <c r="R3" s="1387" t="n"/>
      <c r="S3" s="17" t="n"/>
      <c r="T3" s="17" t="n"/>
      <c r="U3" s="16" t="n"/>
      <c r="V3" s="17" t="n"/>
      <c r="W3" s="18" t="n"/>
      <c r="X3" s="19" t="n"/>
      <c r="AA3" s="67">
        <f>LA!C5</f>
        <v/>
      </c>
    </row>
    <row r="4">
      <c r="C4" s="1388" t="n"/>
      <c r="D4" s="1389" t="n">
        <v>2013</v>
      </c>
      <c r="E4" s="1389" t="n"/>
      <c r="F4" s="1390" t="n"/>
      <c r="G4" s="1389" t="n">
        <v>2014</v>
      </c>
      <c r="H4" s="1389" t="n"/>
      <c r="I4" s="1390" t="n"/>
      <c r="J4" s="1389" t="n">
        <v>2015</v>
      </c>
      <c r="K4" s="1389" t="n"/>
      <c r="L4" s="1391" t="n"/>
      <c r="M4" s="1389" t="n">
        <v>2016</v>
      </c>
      <c r="N4" s="1389" t="n"/>
      <c r="O4" s="1391" t="n"/>
      <c r="P4" s="1389" t="n">
        <v>2017</v>
      </c>
      <c r="Q4" s="1389" t="n"/>
      <c r="R4" s="1391" t="n"/>
      <c r="S4" s="17" t="inlineStr">
        <is>
          <t>Budget</t>
        </is>
      </c>
      <c r="T4" s="17" t="n"/>
      <c r="U4" s="20" t="n"/>
      <c r="V4" s="17" t="inlineStr">
        <is>
          <t>BBG Projection*</t>
        </is>
      </c>
      <c r="W4" s="17" t="n"/>
      <c r="X4" s="21" t="n"/>
    </row>
    <row r="5">
      <c r="C5" s="1388" t="n"/>
      <c r="D5" s="1391" t="inlineStr">
        <is>
          <t>Total</t>
        </is>
      </c>
      <c r="E5" s="1391" t="inlineStr">
        <is>
          <t>per SF</t>
        </is>
      </c>
      <c r="F5" s="1391" t="n"/>
      <c r="G5" s="1391" t="inlineStr">
        <is>
          <t>Total</t>
        </is>
      </c>
      <c r="H5" s="1391" t="inlineStr">
        <is>
          <t>per SF</t>
        </is>
      </c>
      <c r="I5" s="1391" t="n"/>
      <c r="J5" s="1391" t="inlineStr">
        <is>
          <t>Total</t>
        </is>
      </c>
      <c r="K5" s="1391" t="inlineStr">
        <is>
          <t>per SF</t>
        </is>
      </c>
      <c r="L5" s="1391" t="n"/>
      <c r="M5" s="1391" t="inlineStr">
        <is>
          <t>Total</t>
        </is>
      </c>
      <c r="N5" s="1391" t="inlineStr">
        <is>
          <t>per SF</t>
        </is>
      </c>
      <c r="O5" s="1391" t="n"/>
      <c r="P5" s="1391" t="inlineStr">
        <is>
          <t>Total</t>
        </is>
      </c>
      <c r="Q5" s="1391" t="inlineStr">
        <is>
          <t>per SF</t>
        </is>
      </c>
      <c r="R5" s="1391" t="n"/>
      <c r="S5" s="20" t="inlineStr">
        <is>
          <t>Total</t>
        </is>
      </c>
      <c r="T5" s="20" t="inlineStr">
        <is>
          <t>per SF</t>
        </is>
      </c>
      <c r="U5" s="20" t="n"/>
      <c r="V5" s="20" t="inlineStr">
        <is>
          <t>Total</t>
        </is>
      </c>
      <c r="W5" s="20" t="inlineStr">
        <is>
          <t>per SF</t>
        </is>
      </c>
      <c r="X5" s="1640" t="n"/>
    </row>
    <row r="6">
      <c r="C6" s="24" t="inlineStr">
        <is>
          <t>Rental Income</t>
        </is>
      </c>
      <c r="D6" s="2067">
        <f>SUMIF(Category,$B6,AMTY1)</f>
        <v/>
      </c>
      <c r="E6" s="2068">
        <f>D6/NRA</f>
        <v/>
      </c>
      <c r="F6" s="27" t="n"/>
      <c r="G6" s="2067">
        <f>SUMIF(Category,$B6,AMTY2)</f>
        <v/>
      </c>
      <c r="H6" s="1880">
        <f>G6/NRA</f>
        <v/>
      </c>
      <c r="I6" s="27" t="n"/>
      <c r="J6" s="2067">
        <f>SUMIF(Category,$B6,AMTY3)</f>
        <v/>
      </c>
      <c r="K6" s="1880">
        <f>J6/NRA</f>
        <v/>
      </c>
      <c r="L6" s="27" t="n"/>
      <c r="M6" s="2067" t="n">
        <v>122101.44</v>
      </c>
      <c r="N6" s="2069">
        <f>M6/$AA$3</f>
        <v/>
      </c>
      <c r="O6" s="2067" t="n"/>
      <c r="P6" s="2067" t="n">
        <v>185866.52</v>
      </c>
      <c r="Q6" s="2069">
        <f>P6/$AA$3</f>
        <v/>
      </c>
      <c r="R6" s="27" t="n"/>
      <c r="S6" s="2067">
        <f>SUMIF(Category,$B6,AmtBdgt)</f>
        <v/>
      </c>
      <c r="T6" s="1880">
        <f>S6/NRA</f>
        <v/>
      </c>
      <c r="U6" s="27" t="n"/>
      <c r="V6" s="2070">
        <f>[3]ProForma!C3</f>
        <v/>
      </c>
      <c r="W6" s="2071">
        <f>V6/NRA</f>
        <v/>
      </c>
      <c r="X6" s="2072" t="n"/>
    </row>
    <row r="7">
      <c r="C7" s="24" t="inlineStr">
        <is>
          <t>Operating Expense Recoveries</t>
        </is>
      </c>
      <c r="D7" s="32">
        <f>SUMIF(Category,$B7,AMTY1)</f>
        <v/>
      </c>
      <c r="E7" s="2068">
        <f>D7/NRA</f>
        <v/>
      </c>
      <c r="F7" s="27" t="n"/>
      <c r="G7" s="32">
        <f>SUMIF(Category,$B7,AMTY2)</f>
        <v/>
      </c>
      <c r="H7" s="1880">
        <f>G7/NRA</f>
        <v/>
      </c>
      <c r="I7" s="27" t="n"/>
      <c r="J7" s="32">
        <f>SUMIF(Category,$B7,AMTY3)</f>
        <v/>
      </c>
      <c r="K7" s="1880">
        <f>J7/NRA</f>
        <v/>
      </c>
      <c r="L7" s="27" t="n"/>
      <c r="M7" s="2067" t="n">
        <v>80407.75999999999</v>
      </c>
      <c r="N7" s="2069">
        <f>M7/$AA$3</f>
        <v/>
      </c>
      <c r="O7" s="2067" t="n"/>
      <c r="P7" s="2067" t="n">
        <v>101239</v>
      </c>
      <c r="Q7" s="2069">
        <f>P7/$AA$3</f>
        <v/>
      </c>
      <c r="R7" s="27" t="n"/>
      <c r="S7" s="32">
        <f>SUMIF(Category,$B7,AmtBdgt)</f>
        <v/>
      </c>
      <c r="T7" s="1880">
        <f>S7/NRA</f>
        <v/>
      </c>
      <c r="U7" s="27" t="n"/>
      <c r="V7" s="33">
        <f>[3]ProForma!C4</f>
        <v/>
      </c>
      <c r="W7" s="2071">
        <f>V7/NRA</f>
        <v/>
      </c>
      <c r="X7" s="34" t="n"/>
    </row>
    <row r="8" hidden="1" s="1439">
      <c r="C8" s="24" t="inlineStr">
        <is>
          <t>Parking</t>
        </is>
      </c>
      <c r="D8" s="32">
        <f>SUMIF(Category,$B8,AMTY1)</f>
        <v/>
      </c>
      <c r="E8" s="2068">
        <f>D8/NRA</f>
        <v/>
      </c>
      <c r="F8" s="27" t="n"/>
      <c r="G8" s="32">
        <f>SUMIF(Category,$B8,AMTY2)</f>
        <v/>
      </c>
      <c r="H8" s="1880">
        <f>G8/NRA</f>
        <v/>
      </c>
      <c r="I8" s="27" t="n"/>
      <c r="J8" s="32">
        <f>SUMIF(Category,$B8,AMTY3)</f>
        <v/>
      </c>
      <c r="K8" s="1880">
        <f>J8/NRA</f>
        <v/>
      </c>
      <c r="L8" s="27" t="n"/>
      <c r="M8" s="32">
        <f>SUMIF(Category,$B8,AMTY4)</f>
        <v/>
      </c>
      <c r="N8" s="1880">
        <f>M8/$AA$3</f>
        <v/>
      </c>
      <c r="O8" s="27" t="n"/>
      <c r="P8" s="32">
        <f>SUMIF(Category,$B8,AMTY5)</f>
        <v/>
      </c>
      <c r="Q8" s="1880">
        <f>P8/$AA$3</f>
        <v/>
      </c>
      <c r="R8" s="27" t="n"/>
      <c r="S8" s="32">
        <f>SUMIF(Category,$B8,AmtBdgt)</f>
        <v/>
      </c>
      <c r="T8" s="1880">
        <f>S8/NRA</f>
        <v/>
      </c>
      <c r="U8" s="27" t="n"/>
      <c r="V8" s="33">
        <f>W8*NRA</f>
        <v/>
      </c>
      <c r="W8" s="2073" t="n">
        <v>0</v>
      </c>
      <c r="X8" s="34" t="n"/>
    </row>
    <row r="9" hidden="1" s="1439">
      <c r="C9" s="24" t="inlineStr">
        <is>
          <t>Late Charges</t>
        </is>
      </c>
      <c r="D9" s="32">
        <f>SUMIF(Category,$B9,AMTY1)</f>
        <v/>
      </c>
      <c r="E9" s="2068">
        <f>D9/NRA</f>
        <v/>
      </c>
      <c r="F9" s="27" t="n"/>
      <c r="G9" s="32">
        <f>SUMIF(Category,$B9,AMTY2)</f>
        <v/>
      </c>
      <c r="H9" s="1880">
        <f>G9/NRA</f>
        <v/>
      </c>
      <c r="I9" s="27" t="n"/>
      <c r="J9" s="32">
        <f>SUMIF(Category,$B9,AMTY3)</f>
        <v/>
      </c>
      <c r="K9" s="1880">
        <f>J9/NRA</f>
        <v/>
      </c>
      <c r="L9" s="27" t="n"/>
      <c r="M9" s="32">
        <f>SUMIF(Category,$B9,AMTY4)</f>
        <v/>
      </c>
      <c r="N9" s="1880">
        <f>M9/$AA$3</f>
        <v/>
      </c>
      <c r="O9" s="27" t="n"/>
      <c r="P9" s="32">
        <f>SUMIF(Category,$B9,AMTY5)</f>
        <v/>
      </c>
      <c r="Q9" s="1880">
        <f>P9/$AA$3</f>
        <v/>
      </c>
      <c r="R9" s="27" t="n"/>
      <c r="S9" s="32">
        <f>SUMIF(Category,$B9,AmtBdgt)</f>
        <v/>
      </c>
      <c r="T9" s="1880">
        <f>S9/NRA</f>
        <v/>
      </c>
      <c r="U9" s="27" t="n"/>
      <c r="V9" s="33">
        <f>W9*NRA</f>
        <v/>
      </c>
      <c r="W9" s="2073" t="n">
        <v>0</v>
      </c>
      <c r="X9" s="34" t="n"/>
    </row>
    <row r="10" hidden="1" s="1439">
      <c r="C10" s="24" t="inlineStr">
        <is>
          <t>NSF Fee Income</t>
        </is>
      </c>
      <c r="D10" s="32">
        <f>SUMIF(Category,$B10,AMTY1)</f>
        <v/>
      </c>
      <c r="E10" s="2068">
        <f>D10/NRA</f>
        <v/>
      </c>
      <c r="F10" s="27" t="n"/>
      <c r="G10" s="32">
        <f>SUMIF(Category,$B10,AMTY2)</f>
        <v/>
      </c>
      <c r="H10" s="1880">
        <f>G10/NRA</f>
        <v/>
      </c>
      <c r="I10" s="27" t="n"/>
      <c r="J10" s="32">
        <f>SUMIF(Category,$B10,AMTY3)</f>
        <v/>
      </c>
      <c r="K10" s="1880">
        <f>J10/NRA</f>
        <v/>
      </c>
      <c r="L10" s="27" t="n"/>
      <c r="M10" s="32">
        <f>SUMIF(Category,$B10,AMTY4)</f>
        <v/>
      </c>
      <c r="N10" s="1880">
        <f>M10/$AA$3</f>
        <v/>
      </c>
      <c r="O10" s="27" t="n"/>
      <c r="P10" s="32">
        <f>SUMIF(Category,$B10,AMTY5)</f>
        <v/>
      </c>
      <c r="Q10" s="1880">
        <f>P10/$AA$3</f>
        <v/>
      </c>
      <c r="R10" s="27" t="n"/>
      <c r="S10" s="32">
        <f>SUMIF(Category,$B10,AmtBdgt)</f>
        <v/>
      </c>
      <c r="T10" s="1880">
        <f>S10/NRA</f>
        <v/>
      </c>
      <c r="U10" s="27" t="n"/>
      <c r="V10" s="33">
        <f>W10*NRA</f>
        <v/>
      </c>
      <c r="W10" s="2073" t="n">
        <v>0</v>
      </c>
      <c r="X10" s="34" t="n"/>
    </row>
    <row r="11" hidden="1" s="1439">
      <c r="C11" s="24" t="inlineStr">
        <is>
          <t>Keys, Lock, Lock Charge</t>
        </is>
      </c>
      <c r="D11" s="32">
        <f>SUMIF(Category,$B11,AMTY1)</f>
        <v/>
      </c>
      <c r="E11" s="2068">
        <f>D11/NRA</f>
        <v/>
      </c>
      <c r="F11" s="27" t="n"/>
      <c r="G11" s="32">
        <f>SUMIF(Category,$B11,AMTY2)</f>
        <v/>
      </c>
      <c r="H11" s="1880">
        <f>G11/NRA</f>
        <v/>
      </c>
      <c r="I11" s="27" t="n"/>
      <c r="J11" s="32">
        <f>SUMIF(Category,$B11,AMTY3)</f>
        <v/>
      </c>
      <c r="K11" s="1880">
        <f>J11/NRA</f>
        <v/>
      </c>
      <c r="L11" s="27" t="n"/>
      <c r="M11" s="32">
        <f>SUMIF(Category,$B11,AMTY4)</f>
        <v/>
      </c>
      <c r="N11" s="1880">
        <f>M11/$AA$3</f>
        <v/>
      </c>
      <c r="O11" s="27" t="n"/>
      <c r="P11" s="32">
        <f>SUMIF(Category,$B11,AMTY5)</f>
        <v/>
      </c>
      <c r="Q11" s="1880">
        <f>P11/$AA$3</f>
        <v/>
      </c>
      <c r="R11" s="27" t="n"/>
      <c r="S11" s="32">
        <f>SUMIF(Category,$B11,AmtBdgt)</f>
        <v/>
      </c>
      <c r="T11" s="1880">
        <f>S11/NRA</f>
        <v/>
      </c>
      <c r="U11" s="27" t="n"/>
      <c r="V11" s="33">
        <f>W11*NRA</f>
        <v/>
      </c>
      <c r="W11" s="2073" t="n">
        <v>0</v>
      </c>
      <c r="X11" s="34" t="n"/>
    </row>
    <row r="12" hidden="1" s="1439">
      <c r="C12" s="24" t="inlineStr">
        <is>
          <t>Lease Termination Fee Income</t>
        </is>
      </c>
      <c r="D12" s="32">
        <f>SUMIF(Category,$B12,AMTY1)</f>
        <v/>
      </c>
      <c r="E12" s="2068">
        <f>D12/NRA</f>
        <v/>
      </c>
      <c r="F12" s="27" t="n"/>
      <c r="G12" s="32">
        <f>SUMIF(Category,$B12,AMTY2)</f>
        <v/>
      </c>
      <c r="H12" s="1880">
        <f>G12/NRA</f>
        <v/>
      </c>
      <c r="I12" s="27" t="n"/>
      <c r="J12" s="32">
        <f>SUMIF(Category,$B12,AMTY3)</f>
        <v/>
      </c>
      <c r="K12" s="1880">
        <f>J12/NRA</f>
        <v/>
      </c>
      <c r="L12" s="27" t="n"/>
      <c r="M12" s="32">
        <f>SUMIF(Category,$B12,AMTY4)</f>
        <v/>
      </c>
      <c r="N12" s="1880">
        <f>M12/$AA$3</f>
        <v/>
      </c>
      <c r="O12" s="27" t="n"/>
      <c r="P12" s="32">
        <f>SUMIF(Category,$B12,AMTY5)</f>
        <v/>
      </c>
      <c r="Q12" s="1880">
        <f>P12/$AA$3</f>
        <v/>
      </c>
      <c r="R12" s="27" t="n"/>
      <c r="S12" s="32">
        <f>SUMIF(Category,$B12,AmtBdgt)</f>
        <v/>
      </c>
      <c r="T12" s="1880">
        <f>S12/NRA</f>
        <v/>
      </c>
      <c r="U12" s="27" t="n"/>
      <c r="V12" s="33">
        <f>W12*NRA</f>
        <v/>
      </c>
      <c r="W12" s="2073" t="n">
        <v>0</v>
      </c>
      <c r="X12" s="34" t="n"/>
    </row>
    <row r="13" hidden="1" s="1439">
      <c r="C13" s="24" t="inlineStr">
        <is>
          <t>Legal and Collection Fee Income</t>
        </is>
      </c>
      <c r="D13" s="32">
        <f>SUMIF(Category,$B13,AMTY1)</f>
        <v/>
      </c>
      <c r="E13" s="2068">
        <f>D13/NRA</f>
        <v/>
      </c>
      <c r="F13" s="27" t="n"/>
      <c r="G13" s="32">
        <f>SUMIF(Category,$B13,AMTY2)</f>
        <v/>
      </c>
      <c r="H13" s="1880">
        <f>G13/NRA</f>
        <v/>
      </c>
      <c r="I13" s="27" t="n"/>
      <c r="J13" s="32">
        <f>SUMIF(Category,$B13,AMTY3)</f>
        <v/>
      </c>
      <c r="K13" s="1880">
        <f>J13/NRA</f>
        <v/>
      </c>
      <c r="L13" s="27" t="n"/>
      <c r="M13" s="32">
        <f>SUMIF(Category,$B13,AMTY4)</f>
        <v/>
      </c>
      <c r="N13" s="1880">
        <f>M13/$AA$3</f>
        <v/>
      </c>
      <c r="O13" s="27" t="n"/>
      <c r="P13" s="32">
        <f>SUMIF(Category,$B13,AMTY5)</f>
        <v/>
      </c>
      <c r="Q13" s="1880">
        <f>P13/$AA$3</f>
        <v/>
      </c>
      <c r="R13" s="27" t="n"/>
      <c r="S13" s="32">
        <f>SUMIF(Category,$B13,AmtBdgt)</f>
        <v/>
      </c>
      <c r="T13" s="1880">
        <f>S13/NRA</f>
        <v/>
      </c>
      <c r="U13" s="27" t="n"/>
      <c r="V13" s="33">
        <f>W13*NRA</f>
        <v/>
      </c>
      <c r="W13" s="2073" t="n">
        <v>0</v>
      </c>
      <c r="X13" s="34" t="n"/>
    </row>
    <row r="14" hidden="1" s="1439">
      <c r="C14" s="24" t="inlineStr">
        <is>
          <t>Storage Space Rental</t>
        </is>
      </c>
      <c r="D14" s="32">
        <f>SUMIF(Category,$B14,AMTY1)</f>
        <v/>
      </c>
      <c r="E14" s="2068">
        <f>D14/NRA</f>
        <v/>
      </c>
      <c r="F14" s="27" t="n"/>
      <c r="G14" s="32">
        <f>SUMIF(Category,$B14,AMTY2)</f>
        <v/>
      </c>
      <c r="H14" s="1880">
        <f>G14/NRA</f>
        <v/>
      </c>
      <c r="I14" s="27" t="n"/>
      <c r="J14" s="32">
        <f>SUMIF(Category,$B14,AMTY3)</f>
        <v/>
      </c>
      <c r="K14" s="1880">
        <f>J14/NRA</f>
        <v/>
      </c>
      <c r="L14" s="27" t="n"/>
      <c r="M14" s="32">
        <f>SUMIF(Category,$B14,AMTY4)</f>
        <v/>
      </c>
      <c r="N14" s="1880">
        <f>M14/$AA$3</f>
        <v/>
      </c>
      <c r="O14" s="27" t="n"/>
      <c r="P14" s="32">
        <f>SUMIF(Category,$B14,AMTY5)</f>
        <v/>
      </c>
      <c r="Q14" s="1880">
        <f>P14/$AA$3</f>
        <v/>
      </c>
      <c r="R14" s="27" t="n"/>
      <c r="S14" s="32">
        <f>SUMIF(Category,$B14,AmtBdgt)</f>
        <v/>
      </c>
      <c r="T14" s="1880">
        <f>S14/NRA</f>
        <v/>
      </c>
      <c r="U14" s="27" t="n"/>
      <c r="V14" s="33">
        <f>W14*NRA</f>
        <v/>
      </c>
      <c r="W14" s="2073" t="n">
        <v>0</v>
      </c>
      <c r="X14" s="34" t="n"/>
    </row>
    <row r="15" hidden="1" s="1439">
      <c r="C15" s="24" t="inlineStr">
        <is>
          <t>Miscellaneous</t>
        </is>
      </c>
      <c r="D15" s="32">
        <f>SUMIF(Category,$B15,AMTY1)</f>
        <v/>
      </c>
      <c r="E15" s="2068">
        <f>D15/NRA</f>
        <v/>
      </c>
      <c r="F15" s="27" t="n"/>
      <c r="G15" s="32">
        <f>SUMIF(Category,$B15,AMTY2)</f>
        <v/>
      </c>
      <c r="H15" s="1880">
        <f>G15/NRA</f>
        <v/>
      </c>
      <c r="I15" s="27" t="n"/>
      <c r="J15" s="32">
        <f>SUMIF(Category,$B15,AMTY3)</f>
        <v/>
      </c>
      <c r="K15" s="1880">
        <f>J15/NRA</f>
        <v/>
      </c>
      <c r="L15" s="27" t="n"/>
      <c r="M15" s="32">
        <f>SUMIF(Category,$B15,AMTY4)</f>
        <v/>
      </c>
      <c r="N15" s="1880">
        <f>M15/$AA$3</f>
        <v/>
      </c>
      <c r="O15" s="27" t="n"/>
      <c r="P15" s="32">
        <f>SUMIF(Category,$B15,AMTY5)</f>
        <v/>
      </c>
      <c r="Q15" s="1880">
        <f>P15/$AA$3</f>
        <v/>
      </c>
      <c r="R15" s="27" t="n"/>
      <c r="S15" s="32">
        <f>SUMIF(Category,$B15,AmtBdgt)</f>
        <v/>
      </c>
      <c r="T15" s="1880">
        <f>S15/NRA</f>
        <v/>
      </c>
      <c r="U15" s="27" t="n"/>
      <c r="V15" s="33">
        <f>[3]ProForma!C7</f>
        <v/>
      </c>
      <c r="W15" s="2071">
        <f>V15/NRA</f>
        <v/>
      </c>
      <c r="X15" s="34" t="n"/>
    </row>
    <row r="16" hidden="1" s="1439">
      <c r="C16" s="3" t="inlineStr">
        <is>
          <t>Total Potential Gross Income</t>
        </is>
      </c>
      <c r="D16" s="2074">
        <f>SUM(D6:D15)</f>
        <v/>
      </c>
      <c r="E16" s="2075">
        <f>D16/NRA</f>
        <v/>
      </c>
      <c r="F16" s="38" t="n"/>
      <c r="G16" s="2074">
        <f>SUM(G6:G15)</f>
        <v/>
      </c>
      <c r="H16" s="1884">
        <f>G16/NRA</f>
        <v/>
      </c>
      <c r="I16" s="38" t="n"/>
      <c r="J16" s="2074">
        <f>SUM(J6:J15)</f>
        <v/>
      </c>
      <c r="K16" s="1884">
        <f>J16/NRA</f>
        <v/>
      </c>
      <c r="L16" s="38" t="n"/>
      <c r="M16" s="2074">
        <f>SUM(M6:M15)</f>
        <v/>
      </c>
      <c r="N16" s="1880">
        <f>M16/$AA$3</f>
        <v/>
      </c>
      <c r="O16" s="38" t="n"/>
      <c r="P16" s="2074">
        <f>SUM(P6:P15)</f>
        <v/>
      </c>
      <c r="Q16" s="1880">
        <f>P16/$AA$3</f>
        <v/>
      </c>
      <c r="R16" s="38" t="n"/>
      <c r="S16" s="2074">
        <f>SUM(S6:S15)</f>
        <v/>
      </c>
      <c r="T16" s="1884">
        <f>S16/NRA</f>
        <v/>
      </c>
      <c r="U16" s="38" t="n"/>
      <c r="V16" s="2074">
        <f>SUM(V6:V15)</f>
        <v/>
      </c>
      <c r="W16" s="1884">
        <f>V16/NRA</f>
        <v/>
      </c>
      <c r="X16" s="2076" t="n"/>
    </row>
    <row r="17" hidden="1" s="1439">
      <c r="C17" s="3" t="n"/>
      <c r="D17" s="2067" t="n"/>
      <c r="E17" s="2068" t="n"/>
      <c r="F17" s="27" t="n"/>
      <c r="G17" s="2067" t="n"/>
      <c r="H17" s="1880" t="n"/>
      <c r="I17" s="27" t="n"/>
      <c r="J17" s="2067" t="n"/>
      <c r="K17" s="1880" t="n"/>
      <c r="L17" s="27" t="n"/>
      <c r="M17" s="2067" t="n"/>
      <c r="N17" s="1880">
        <f>M17/$AA$3</f>
        <v/>
      </c>
      <c r="O17" s="27" t="n"/>
      <c r="P17" s="2067" t="n"/>
      <c r="Q17" s="1880">
        <f>P17/$AA$3</f>
        <v/>
      </c>
      <c r="R17" s="27" t="n"/>
      <c r="S17" s="2067" t="n"/>
      <c r="T17" s="1880" t="n"/>
      <c r="U17" s="27" t="n"/>
      <c r="V17" s="2077" t="n"/>
      <c r="W17" s="1880" t="n"/>
      <c r="X17" s="2072" t="n"/>
    </row>
    <row r="18" hidden="1" s="1439">
      <c r="C18" s="24" t="inlineStr">
        <is>
          <t>Physical Vacancy</t>
        </is>
      </c>
      <c r="D18" s="32">
        <f>SUMIF(Category,$B18,AMTY1)</f>
        <v/>
      </c>
      <c r="E18" s="2068">
        <f>D18/NRA</f>
        <v/>
      </c>
      <c r="F18" s="27" t="n"/>
      <c r="G18" s="32">
        <f>SUMIF(Category,$B18,AMTY2)</f>
        <v/>
      </c>
      <c r="H18" s="1880">
        <f>G18/NRA</f>
        <v/>
      </c>
      <c r="I18" s="27" t="n"/>
      <c r="J18" s="32">
        <f>SUMIF(Category,$B18,AMTY3)</f>
        <v/>
      </c>
      <c r="K18" s="1880">
        <f>J18/NRA</f>
        <v/>
      </c>
      <c r="L18" s="27" t="n"/>
      <c r="M18" s="32">
        <f>SUMIF(Category,$B18,AMTY4)</f>
        <v/>
      </c>
      <c r="N18" s="1880">
        <f>M18/$AA$3</f>
        <v/>
      </c>
      <c r="O18" s="27" t="n"/>
      <c r="P18" s="32">
        <f>SUMIF(Category,$B18,AMTY5)</f>
        <v/>
      </c>
      <c r="Q18" s="1880">
        <f>P18/$AA$3</f>
        <v/>
      </c>
      <c r="R18" s="27" t="n"/>
      <c r="S18" s="32">
        <f>SUMIF(Category,$B18,AmtBdgt)</f>
        <v/>
      </c>
      <c r="T18" s="1880">
        <f>S18/NRA</f>
        <v/>
      </c>
      <c r="U18" s="27" t="n"/>
      <c r="V18" s="33" t="n"/>
      <c r="W18" s="2071" t="n"/>
      <c r="X18" s="2072" t="n"/>
    </row>
    <row r="19" hidden="1" s="1439">
      <c r="C19" s="24" t="inlineStr">
        <is>
          <t>Bad Debt / Collection Loss</t>
        </is>
      </c>
      <c r="D19" s="32">
        <f>SUMIF(Category,$B19,AMTY1)</f>
        <v/>
      </c>
      <c r="E19" s="2068">
        <f>D19/NRA</f>
        <v/>
      </c>
      <c r="F19" s="27" t="n"/>
      <c r="G19" s="32">
        <f>SUMIF(Category,$B19,AMTY2)</f>
        <v/>
      </c>
      <c r="H19" s="1880">
        <f>G19/NRA</f>
        <v/>
      </c>
      <c r="I19" s="27" t="n"/>
      <c r="J19" s="32">
        <f>SUMIF(Category,$B19,AMTY3)</f>
        <v/>
      </c>
      <c r="K19" s="1880">
        <f>J19/NRA</f>
        <v/>
      </c>
      <c r="L19" s="27" t="n"/>
      <c r="M19" s="32">
        <f>SUMIF(Category,$B19,AMTY4)</f>
        <v/>
      </c>
      <c r="N19" s="1880">
        <f>M19/$AA$3</f>
        <v/>
      </c>
      <c r="O19" s="27" t="n"/>
      <c r="P19" s="32">
        <f>SUMIF(Category,$B19,AMTY5)</f>
        <v/>
      </c>
      <c r="Q19" s="1880">
        <f>P19/$AA$3</f>
        <v/>
      </c>
      <c r="R19" s="27" t="n"/>
      <c r="S19" s="32">
        <f>SUMIF(Category,$B19,AmtBdgt)</f>
        <v/>
      </c>
      <c r="T19" s="1880">
        <f>S19/NRA</f>
        <v/>
      </c>
      <c r="U19" s="27" t="n"/>
      <c r="V19" s="33" t="n"/>
      <c r="W19" s="2071" t="n"/>
      <c r="X19" s="2072" t="n"/>
    </row>
    <row r="20" hidden="1" s="1439">
      <c r="C20" s="24" t="inlineStr">
        <is>
          <t>Concessions</t>
        </is>
      </c>
      <c r="D20" s="32">
        <f>SUMIF(Category,$B20,AMTY1)</f>
        <v/>
      </c>
      <c r="E20" s="2068">
        <f>D20/NRA</f>
        <v/>
      </c>
      <c r="F20" s="27" t="n"/>
      <c r="G20" s="32">
        <f>SUMIF(Category,$B20,AMTY2)</f>
        <v/>
      </c>
      <c r="H20" s="1880">
        <f>G20/NRA</f>
        <v/>
      </c>
      <c r="I20" s="27" t="n"/>
      <c r="J20" s="32">
        <f>SUMIF(Category,$B20,AMTY3)</f>
        <v/>
      </c>
      <c r="K20" s="1880">
        <f>J20/NRA</f>
        <v/>
      </c>
      <c r="L20" s="27" t="n"/>
      <c r="M20" s="32">
        <f>SUMIF(Category,$B20,AMTY4)</f>
        <v/>
      </c>
      <c r="N20" s="1880">
        <f>M20/$AA$3</f>
        <v/>
      </c>
      <c r="O20" s="27" t="n"/>
      <c r="P20" s="32">
        <f>SUMIF(Category,$B20,AMTY5)</f>
        <v/>
      </c>
      <c r="Q20" s="1880">
        <f>P20/$AA$3</f>
        <v/>
      </c>
      <c r="R20" s="27" t="n"/>
      <c r="S20" s="32">
        <f>SUMIF(Category,$B20,AmtBdgt)</f>
        <v/>
      </c>
      <c r="T20" s="1880">
        <f>S20/NRA</f>
        <v/>
      </c>
      <c r="U20" s="27" t="n"/>
      <c r="V20" s="32" t="n"/>
      <c r="W20" s="1880" t="n"/>
      <c r="X20" s="2072" t="n"/>
    </row>
    <row r="21" hidden="1" s="1439">
      <c r="C21" s="42" t="inlineStr">
        <is>
          <t>Vacancy &amp; Collection Loss</t>
        </is>
      </c>
      <c r="D21" s="32">
        <f>-[3]OpActuals!B13</f>
        <v/>
      </c>
      <c r="E21" s="2068">
        <f>D21/NRA</f>
        <v/>
      </c>
      <c r="F21" s="27" t="n"/>
      <c r="G21" s="32">
        <f>-[3]OpActuals!C13</f>
        <v/>
      </c>
      <c r="H21" s="1880">
        <f>G21/NRA</f>
        <v/>
      </c>
      <c r="I21" s="27" t="n"/>
      <c r="J21" s="32">
        <f>-[3]OpActuals!D13</f>
        <v/>
      </c>
      <c r="K21" s="1880">
        <f>J21/NRA</f>
        <v/>
      </c>
      <c r="L21" s="27" t="n"/>
      <c r="M21" s="32">
        <f>-[3]OpActuals!E13</f>
        <v/>
      </c>
      <c r="N21" s="1880">
        <f>M21/$AA$3</f>
        <v/>
      </c>
      <c r="O21" s="27" t="n"/>
      <c r="P21" s="32">
        <f>-[3]OpActuals!G13</f>
        <v/>
      </c>
      <c r="Q21" s="1880">
        <f>P21/$AA$3</f>
        <v/>
      </c>
      <c r="R21" s="27" t="n"/>
      <c r="S21" s="32">
        <f>-[3]OpActuals!H13</f>
        <v/>
      </c>
      <c r="T21" s="1880">
        <f>S21/NRA</f>
        <v/>
      </c>
      <c r="U21" s="27" t="n"/>
      <c r="V21" s="32" t="n"/>
      <c r="W21" s="1880" t="n"/>
      <c r="X21" s="43" t="n"/>
    </row>
    <row r="22">
      <c r="C22" s="85" t="inlineStr">
        <is>
          <t>EFFECTIVE GROSS INCOME</t>
        </is>
      </c>
      <c r="D22" s="2078">
        <f>D16+D21</f>
        <v/>
      </c>
      <c r="E22" s="2079">
        <f>D22/NRA</f>
        <v/>
      </c>
      <c r="F22" s="146" t="n"/>
      <c r="G22" s="2078">
        <f>G16+G21</f>
        <v/>
      </c>
      <c r="H22" s="2080">
        <f>G22/NRA</f>
        <v/>
      </c>
      <c r="I22" s="146" t="n"/>
      <c r="J22" s="2078">
        <f>J16+J21</f>
        <v/>
      </c>
      <c r="K22" s="2080">
        <f>J22/NRA</f>
        <v/>
      </c>
      <c r="L22" s="146" t="n"/>
      <c r="M22" s="2078">
        <f>SUM(M6:M7)</f>
        <v/>
      </c>
      <c r="N22" s="2081">
        <f>M22/$AA$3</f>
        <v/>
      </c>
      <c r="O22" s="2078" t="n"/>
      <c r="P22" s="2078">
        <f>SUM(P6:P7)</f>
        <v/>
      </c>
      <c r="Q22" s="2081">
        <f>P22/$AA$3</f>
        <v/>
      </c>
      <c r="R22" s="146" t="n"/>
      <c r="S22" s="2074">
        <f>S16+S21</f>
        <v/>
      </c>
      <c r="T22" s="1884">
        <f>S22/NRA</f>
        <v/>
      </c>
      <c r="U22" s="38" t="n"/>
      <c r="V22" s="2074">
        <f>[3]ProForma!C11</f>
        <v/>
      </c>
      <c r="W22" s="1884">
        <f>V22/NRA</f>
        <v/>
      </c>
      <c r="X22" s="2076" t="n"/>
    </row>
    <row r="23">
      <c r="C23" s="1392" t="inlineStr">
        <is>
          <t>Fixed Expenses</t>
        </is>
      </c>
      <c r="D23" s="2082" t="n"/>
      <c r="E23" s="2083" t="n"/>
      <c r="F23" s="1395" t="n"/>
      <c r="G23" s="2082" t="n"/>
      <c r="H23" s="2084" t="n"/>
      <c r="I23" s="1395" t="n"/>
      <c r="J23" s="2082" t="n"/>
      <c r="K23" s="2084" t="n"/>
      <c r="L23" s="1395" t="n"/>
      <c r="M23" s="2082" t="n"/>
      <c r="N23" s="2084" t="n"/>
      <c r="O23" s="1395" t="n"/>
      <c r="P23" s="2082" t="n"/>
      <c r="Q23" s="2084" t="n"/>
      <c r="R23" s="1395" t="n"/>
      <c r="S23" s="2085" t="n"/>
      <c r="T23" s="2086" t="n"/>
      <c r="U23" s="45" t="n"/>
      <c r="V23" s="2085" t="n"/>
      <c r="W23" s="2086" t="inlineStr">
        <is>
          <t> </t>
        </is>
      </c>
      <c r="X23" s="47" t="n"/>
    </row>
    <row r="24">
      <c r="C24" s="24" t="inlineStr">
        <is>
          <t>Real Estate Taxes</t>
        </is>
      </c>
      <c r="D24" s="32">
        <f>SUMIF(Category,$B24,AMTY1)</f>
        <v/>
      </c>
      <c r="E24" s="2068">
        <f>D24/NRA</f>
        <v/>
      </c>
      <c r="F24" s="23" t="n"/>
      <c r="G24" s="2087">
        <f>SUMIF(Category,$B24,AMTY2)</f>
        <v/>
      </c>
      <c r="H24" s="1880">
        <f>G24/NRA</f>
        <v/>
      </c>
      <c r="I24" s="23" t="n"/>
      <c r="J24" s="2087">
        <f>SUMIF(Category,$B24,AMTY3)</f>
        <v/>
      </c>
      <c r="K24" s="1880">
        <f>J24/NRA</f>
        <v/>
      </c>
      <c r="L24" s="23" t="n"/>
      <c r="M24" s="2067" t="n">
        <v>58886</v>
      </c>
      <c r="N24" s="2069">
        <f>M24/$AA$3</f>
        <v/>
      </c>
      <c r="O24" s="2067" t="n"/>
      <c r="P24" s="2067" t="n">
        <v>60666.21</v>
      </c>
      <c r="Q24" s="2069">
        <f>P24/$AA$3</f>
        <v/>
      </c>
      <c r="R24" s="23" t="n"/>
      <c r="S24" s="2087">
        <f>SUMIF(Category,$B24,AmtBdgt)</f>
        <v/>
      </c>
      <c r="T24" s="1880">
        <f>S24/NRA</f>
        <v/>
      </c>
      <c r="U24" s="23" t="n"/>
      <c r="V24" s="33">
        <f>W24*NRA</f>
        <v/>
      </c>
      <c r="W24" s="2073" t="n">
        <v>0</v>
      </c>
      <c r="X24" s="43" t="n"/>
    </row>
    <row r="25">
      <c r="C25" s="24" t="inlineStr">
        <is>
          <t>Property Insurance</t>
        </is>
      </c>
      <c r="D25" s="2087">
        <f>SUMIF(Category,$B25,AMTY1)</f>
        <v/>
      </c>
      <c r="E25" s="2088">
        <f>D25/NRA</f>
        <v/>
      </c>
      <c r="F25" s="23" t="n"/>
      <c r="G25" s="2087">
        <f>SUMIF(Category,$B25,AMTY2)</f>
        <v/>
      </c>
      <c r="H25" s="1880">
        <f>G25/NRA</f>
        <v/>
      </c>
      <c r="I25" s="23" t="n"/>
      <c r="J25" s="2087">
        <f>SUMIF(Category,$B25,AMTY3)</f>
        <v/>
      </c>
      <c r="K25" s="1880">
        <f>J25/NRA</f>
        <v/>
      </c>
      <c r="L25" s="23" t="n"/>
      <c r="M25" s="2067" t="n">
        <v>6547.2</v>
      </c>
      <c r="N25" s="2069">
        <f>M25/$AA$3</f>
        <v/>
      </c>
      <c r="O25" s="2067" t="n"/>
      <c r="P25" s="2067" t="n">
        <v>7893.9</v>
      </c>
      <c r="Q25" s="2069">
        <f>P25/$AA$3</f>
        <v/>
      </c>
      <c r="R25" s="23" t="n"/>
      <c r="S25" s="2087">
        <f>SUMIF(Category,$B25,AmtBdgt)</f>
        <v/>
      </c>
      <c r="T25" s="1880">
        <f>S25/NRA</f>
        <v/>
      </c>
      <c r="U25" s="23" t="n"/>
      <c r="V25" s="33">
        <f>W25*NRA</f>
        <v/>
      </c>
      <c r="W25" s="2073" t="n">
        <v>0</v>
      </c>
      <c r="X25" s="43" t="n"/>
    </row>
    <row r="26">
      <c r="C26" s="1392" t="inlineStr">
        <is>
          <t>Variable Expenses</t>
        </is>
      </c>
      <c r="D26" s="2089" t="n"/>
      <c r="E26" s="2083" t="n"/>
      <c r="F26" s="1395" t="n"/>
      <c r="G26" s="2089" t="n"/>
      <c r="H26" s="2084" t="n"/>
      <c r="I26" s="1395" t="n"/>
      <c r="J26" s="2089" t="n"/>
      <c r="K26" s="2084" t="n"/>
      <c r="L26" s="1395" t="n"/>
      <c r="M26" s="2089" t="n"/>
      <c r="N26" s="2084" t="n"/>
      <c r="O26" s="1395" t="n"/>
      <c r="P26" s="2089" t="n"/>
      <c r="Q26" s="2084" t="n"/>
      <c r="R26" s="1395" t="n"/>
      <c r="S26" s="2090" t="n"/>
      <c r="T26" s="2086" t="n"/>
      <c r="U26" s="45" t="n"/>
      <c r="V26" s="52" t="n"/>
      <c r="W26" s="2091" t="n"/>
      <c r="X26" s="54" t="n"/>
    </row>
    <row r="27">
      <c r="C27" s="24" t="inlineStr">
        <is>
          <t>Utilities</t>
        </is>
      </c>
      <c r="D27" s="2092">
        <f>SUMIF(Category,$B27,AMTY1)</f>
        <v/>
      </c>
      <c r="E27" s="2068">
        <f>D27/NRA</f>
        <v/>
      </c>
      <c r="F27" s="23" t="n"/>
      <c r="G27" s="2067">
        <f>SUMIF(Category,$B27,AMTY2)</f>
        <v/>
      </c>
      <c r="H27" s="1880">
        <f>G27/NRA</f>
        <v/>
      </c>
      <c r="I27" s="23" t="n"/>
      <c r="J27" s="2067">
        <f>SUMIF(Category,$B27,AMTY3)</f>
        <v/>
      </c>
      <c r="K27" s="1880">
        <f>J27/NRA</f>
        <v/>
      </c>
      <c r="L27" s="23" t="n"/>
      <c r="M27" s="2067" t="n">
        <v>3705.88</v>
      </c>
      <c r="N27" s="2069">
        <f>M27/$AA$3</f>
        <v/>
      </c>
      <c r="O27" s="2067" t="n"/>
      <c r="P27" s="2067" t="n">
        <v>3936</v>
      </c>
      <c r="Q27" s="2069">
        <f>P27/$AA$3</f>
        <v/>
      </c>
      <c r="R27" s="23" t="n"/>
      <c r="S27" s="2067">
        <f>SUMIF(Category,$B27,AmtBdgt)</f>
        <v/>
      </c>
      <c r="T27" s="1880">
        <f>S27/NRA</f>
        <v/>
      </c>
      <c r="U27" s="23" t="n"/>
      <c r="V27" s="33">
        <f>W27*NRA</f>
        <v/>
      </c>
      <c r="W27" s="2071">
        <f>[3]SummaryExpenseTbl!M32</f>
        <v/>
      </c>
      <c r="X27" s="43" t="n"/>
    </row>
    <row r="28">
      <c r="C28" s="24" t="inlineStr">
        <is>
          <t>CAM Repairs &amp; Maintenance</t>
        </is>
      </c>
      <c r="D28" s="2092">
        <f>SUMIF(Category,$B28,AMTY1)</f>
        <v/>
      </c>
      <c r="E28" s="2068">
        <f>D28/NRA</f>
        <v/>
      </c>
      <c r="F28" s="23" t="n"/>
      <c r="G28" s="2067">
        <f>SUMIF(Category,$B28,AMTY2)</f>
        <v/>
      </c>
      <c r="H28" s="1880">
        <f>G28/NRA</f>
        <v/>
      </c>
      <c r="I28" s="23" t="n"/>
      <c r="J28" s="2067">
        <f>SUMIF(Category,$B28,AMTY3)</f>
        <v/>
      </c>
      <c r="K28" s="1880">
        <f>J28/NRA</f>
        <v/>
      </c>
      <c r="L28" s="23" t="n"/>
      <c r="M28" s="2067" t="n">
        <v>89936</v>
      </c>
      <c r="N28" s="2069">
        <f>M28/$AA$3</f>
        <v/>
      </c>
      <c r="O28" s="2067" t="n"/>
      <c r="P28" s="2067" t="n">
        <v>10029</v>
      </c>
      <c r="Q28" s="2069">
        <f>P28/$AA$3</f>
        <v/>
      </c>
      <c r="R28" s="23" t="n"/>
      <c r="S28" s="2067">
        <f>SUMIF(Category,$B28,AmtBdgt)</f>
        <v/>
      </c>
      <c r="T28" s="1880">
        <f>S28/NRA</f>
        <v/>
      </c>
      <c r="U28" s="23" t="n"/>
      <c r="V28" s="33">
        <f>W28*NRA</f>
        <v/>
      </c>
      <c r="W28" s="2073" t="n">
        <v>0</v>
      </c>
      <c r="X28" s="34" t="n"/>
    </row>
    <row r="29">
      <c r="C29" s="24" t="inlineStr">
        <is>
          <t>Administrative and General</t>
        </is>
      </c>
      <c r="D29" s="2092">
        <f>SUMIF(Category,$B29,AMTY1)</f>
        <v/>
      </c>
      <c r="E29" s="2068">
        <f>D29/NRA</f>
        <v/>
      </c>
      <c r="F29" s="23" t="n"/>
      <c r="G29" s="2067">
        <f>SUMIF(Category,$B29,AMTY2)</f>
        <v/>
      </c>
      <c r="H29" s="1880">
        <f>G29/NRA</f>
        <v/>
      </c>
      <c r="I29" s="23" t="n"/>
      <c r="J29" s="2067">
        <f>SUMIF(Category,$B29,AMTY3)</f>
        <v/>
      </c>
      <c r="K29" s="1880">
        <f>J29/NRA</f>
        <v/>
      </c>
      <c r="L29" s="23" t="n"/>
      <c r="M29" s="2067" t="n">
        <v>14390</v>
      </c>
      <c r="N29" s="2069">
        <f>M29/$AA$3</f>
        <v/>
      </c>
      <c r="O29" s="2067" t="n"/>
      <c r="P29" s="2067" t="n">
        <v>1852</v>
      </c>
      <c r="Q29" s="2069">
        <f>P29/$AA$3</f>
        <v/>
      </c>
      <c r="R29" s="23" t="n"/>
      <c r="S29" s="2067">
        <f>SUMIF(Category,$B29,AmtBdgt)</f>
        <v/>
      </c>
      <c r="T29" s="1880">
        <f>S29/NRA</f>
        <v/>
      </c>
      <c r="U29" s="23" t="n"/>
      <c r="V29" s="33">
        <f>W29*NRA</f>
        <v/>
      </c>
      <c r="W29" s="2073" t="n">
        <v>0</v>
      </c>
      <c r="X29" s="2093" t="n"/>
    </row>
    <row r="30">
      <c r="C30" s="24" t="inlineStr">
        <is>
          <t>Management</t>
        </is>
      </c>
      <c r="D30" s="2092">
        <f>SUMIF(Category,$B30,AMTY1)</f>
        <v/>
      </c>
      <c r="E30" s="2068">
        <f>D30/NRA</f>
        <v/>
      </c>
      <c r="F30" s="23" t="n"/>
      <c r="G30" s="2067">
        <f>SUMIF(Category,$B30,AMTY2)</f>
        <v/>
      </c>
      <c r="H30" s="1880">
        <f>G30/NRA</f>
        <v/>
      </c>
      <c r="I30" s="23" t="n"/>
      <c r="J30" s="2067">
        <f>SUMIF(Category,$B30,AMTY3)</f>
        <v/>
      </c>
      <c r="K30" s="1880">
        <f>J30/NRA</f>
        <v/>
      </c>
      <c r="L30" s="23" t="n"/>
      <c r="M30" s="2067" t="n">
        <v>5399.91</v>
      </c>
      <c r="N30" s="2069">
        <f>M30/$AA$3</f>
        <v/>
      </c>
      <c r="O30" s="2067" t="n"/>
      <c r="P30" s="2067" t="n">
        <v>10656.65</v>
      </c>
      <c r="Q30" s="2069">
        <f>P30/$AA$3</f>
        <v/>
      </c>
      <c r="R30" s="23" t="n"/>
      <c r="S30" s="2067">
        <f>SUMIF(Category,$B30,AmtBdgt)</f>
        <v/>
      </c>
      <c r="T30" s="1880">
        <f>S30/NRA</f>
        <v/>
      </c>
      <c r="U30" s="23" t="n"/>
      <c r="V30" s="33">
        <f>W30*NRA</f>
        <v/>
      </c>
      <c r="W30" s="2071">
        <f>[3]SummaryExpenseTbl!M38</f>
        <v/>
      </c>
      <c r="X30" s="43" t="n"/>
    </row>
    <row r="31" hidden="1" s="1439">
      <c r="C31" s="24" t="inlineStr">
        <is>
          <t>Replacement Reserves</t>
        </is>
      </c>
      <c r="D31" s="2094">
        <f>SUMIF(Category,$B31,AMTY1)</f>
        <v/>
      </c>
      <c r="E31" s="2068">
        <f>D31/NRA</f>
        <v/>
      </c>
      <c r="F31" s="23" t="n"/>
      <c r="G31" s="2094">
        <f>SUMIF(Category,$B31,AMTY2)</f>
        <v/>
      </c>
      <c r="H31" s="1880">
        <f>G31/NRA</f>
        <v/>
      </c>
      <c r="I31" s="23" t="n"/>
      <c r="J31" s="2094">
        <f>SUMIF(Category,$B31,AMTY3)</f>
        <v/>
      </c>
      <c r="K31" s="1880">
        <f>J31/NRA</f>
        <v/>
      </c>
      <c r="L31" s="23" t="n"/>
      <c r="M31" s="2067">
        <f>SUMIF(Category,$B31,AMTY4)</f>
        <v/>
      </c>
      <c r="N31" s="2069">
        <f>M31/$AA$3</f>
        <v/>
      </c>
      <c r="O31" s="2067" t="n"/>
      <c r="P31" s="2067">
        <f>SUMIF(Category,$B31,AMTY5)</f>
        <v/>
      </c>
      <c r="Q31" s="2069">
        <f>P31/$AA$3</f>
        <v/>
      </c>
      <c r="R31" s="23" t="n"/>
      <c r="S31" s="2067">
        <f>SUMIF(Category,$B31,AmtBdgt)</f>
        <v/>
      </c>
      <c r="T31" s="1880">
        <f>S31/NRA</f>
        <v/>
      </c>
      <c r="U31" s="23" t="n"/>
      <c r="V31" s="33">
        <f>W31*NRA</f>
        <v/>
      </c>
      <c r="W31" s="2071">
        <f>[3]SummaryExpenseTbl!M41</f>
        <v/>
      </c>
      <c r="X31" s="43" t="n"/>
    </row>
    <row r="32" hidden="1" s="1439">
      <c r="C32" s="24" t="n"/>
      <c r="D32" s="2095" t="n"/>
      <c r="E32" s="2068" t="n"/>
      <c r="F32" s="23" t="n"/>
      <c r="G32" s="2095" t="n"/>
      <c r="H32" s="1880" t="n"/>
      <c r="I32" s="23" t="n"/>
      <c r="J32" s="2095" t="n"/>
      <c r="K32" s="1880" t="n"/>
      <c r="L32" s="23" t="n"/>
      <c r="M32" s="2092" t="n"/>
      <c r="N32" s="1880" t="n"/>
      <c r="O32" s="23" t="n"/>
      <c r="P32" s="2092" t="n"/>
      <c r="Q32" s="1880" t="n"/>
      <c r="R32" s="23" t="n"/>
      <c r="S32" s="2092" t="n"/>
      <c r="T32" s="1880" t="n"/>
      <c r="U32" s="23" t="n"/>
      <c r="V32" s="2095" t="n"/>
      <c r="W32" s="1880" t="n"/>
      <c r="X32" s="2096" t="n"/>
    </row>
    <row r="33">
      <c r="C33" s="85" t="inlineStr">
        <is>
          <t>TOTAL EXPENSES</t>
        </is>
      </c>
      <c r="D33" s="2078">
        <f>SUM(D24:D25,D27:D31)</f>
        <v/>
      </c>
      <c r="E33" s="2079">
        <f>D33/NRA</f>
        <v/>
      </c>
      <c r="F33" s="2097" t="n"/>
      <c r="G33" s="2078">
        <f>SUM(G24:G25,G27:G31)</f>
        <v/>
      </c>
      <c r="H33" s="2080">
        <f>G33/NRA</f>
        <v/>
      </c>
      <c r="I33" s="2097" t="n"/>
      <c r="J33" s="2078">
        <f>SUM(J24:J25,J27:J31)</f>
        <v/>
      </c>
      <c r="K33" s="2080">
        <f>J33/NRA</f>
        <v/>
      </c>
      <c r="L33" s="2097" t="n"/>
      <c r="M33" s="2078">
        <f>SUM(M24:M25,M27:M30)</f>
        <v/>
      </c>
      <c r="N33" s="2081">
        <f>M33/$AA$3</f>
        <v/>
      </c>
      <c r="O33" s="2078" t="n"/>
      <c r="P33" s="2078">
        <f>SUM(P24:P25,P27:P30)</f>
        <v/>
      </c>
      <c r="Q33" s="2081">
        <f>P33/$AA$3</f>
        <v/>
      </c>
      <c r="R33" s="2097" t="n"/>
      <c r="S33" s="2074">
        <f>SUM(S24:S25,S27:S31)</f>
        <v/>
      </c>
      <c r="T33" s="1884">
        <f>S33/NRA</f>
        <v/>
      </c>
      <c r="U33" s="2098" t="n"/>
      <c r="V33" s="2074">
        <f>SUM(V24:V25,V27:V31)</f>
        <v/>
      </c>
      <c r="W33" s="1884">
        <f>V33/NRA</f>
        <v/>
      </c>
      <c r="X33" s="2076" t="n"/>
    </row>
    <row r="34">
      <c r="C34" s="42" t="n"/>
      <c r="D34" s="2099" t="n"/>
      <c r="E34" s="2075" t="n"/>
      <c r="F34" s="61" t="n"/>
      <c r="G34" s="2099" t="n"/>
      <c r="H34" s="1884" t="n"/>
      <c r="I34" s="61" t="n"/>
      <c r="J34" s="2099" t="n"/>
      <c r="K34" s="1884" t="n"/>
      <c r="L34" s="61" t="n"/>
      <c r="M34" s="2099" t="n"/>
      <c r="N34" s="1884" t="n"/>
      <c r="O34" s="61" t="n"/>
      <c r="P34" s="2099" t="n"/>
      <c r="Q34" s="1884" t="n"/>
      <c r="R34" s="61" t="n"/>
      <c r="S34" s="2099" t="n"/>
      <c r="T34" s="1884" t="n"/>
      <c r="U34" s="61" t="n"/>
      <c r="V34" s="2099" t="n"/>
      <c r="W34" s="1884" t="n"/>
      <c r="X34" s="2100" t="n"/>
    </row>
    <row r="35">
      <c r="C35" s="85" t="inlineStr">
        <is>
          <t>NET OPERATING INCOME (NOI)</t>
        </is>
      </c>
      <c r="D35" s="2078">
        <f>D22-D33</f>
        <v/>
      </c>
      <c r="E35" s="2079">
        <f>D35/NRA</f>
        <v/>
      </c>
      <c r="F35" s="88" t="n"/>
      <c r="G35" s="2078">
        <f>G22-G33</f>
        <v/>
      </c>
      <c r="H35" s="2080">
        <f>G35/NRA</f>
        <v/>
      </c>
      <c r="I35" s="88" t="n"/>
      <c r="J35" s="2078">
        <f>J22-J33</f>
        <v/>
      </c>
      <c r="K35" s="2080">
        <f>J35/NRA</f>
        <v/>
      </c>
      <c r="L35" s="88" t="n"/>
      <c r="M35" s="2078">
        <f>M22-M33</f>
        <v/>
      </c>
      <c r="N35" s="2081">
        <f>M35/$AA$3</f>
        <v/>
      </c>
      <c r="O35" s="2078" t="n"/>
      <c r="P35" s="2078">
        <f>P22-P33</f>
        <v/>
      </c>
      <c r="Q35" s="2081">
        <f>P35/$AA$3</f>
        <v/>
      </c>
      <c r="R35" s="88" t="n"/>
      <c r="S35" s="2101">
        <f>S22-S33</f>
        <v/>
      </c>
      <c r="T35" s="2102">
        <f>S35/NRA</f>
        <v/>
      </c>
      <c r="U35" s="64" t="n"/>
      <c r="V35" s="2101">
        <f>V22-V33</f>
        <v/>
      </c>
      <c r="W35" s="2102">
        <f>V35/NRA</f>
        <v/>
      </c>
      <c r="X35" s="2103" t="n"/>
    </row>
  </sheetData>
  <mergeCells count="1">
    <mergeCell ref="C2:X2"/>
  </mergeCells>
  <pageMargins left="0.7" right="0.7" top="0.75" bottom="0.75" header="0.3" footer="0.3"/>
  <pageSetup orientation="portrait"/>
</worksheet>
</file>

<file path=xl/worksheets/sheet20.xml><?xml version="1.0" encoding="utf-8"?>
<worksheet xmlns="http://schemas.openxmlformats.org/spreadsheetml/2006/main">
  <sheetPr>
    <outlinePr summaryBelow="1" summaryRight="1"/>
    <pageSetUpPr/>
  </sheetPr>
  <dimension ref="D2:AB45"/>
  <sheetViews>
    <sheetView showGridLines="0" workbookViewId="0">
      <selection activeCell="Q7" sqref="Q7"/>
    </sheetView>
  </sheetViews>
  <sheetFormatPr baseColWidth="8" defaultRowHeight="15"/>
  <cols>
    <col width="25.7109375" customWidth="1" style="1439" min="4" max="4"/>
    <col hidden="1" width="10.7109375" customWidth="1" style="1439" min="5" max="5"/>
    <col width="14.28515625" bestFit="1" customWidth="1" style="1439" min="6" max="6"/>
    <col hidden="1" width="7.7109375" customWidth="1" style="1439" min="7" max="7"/>
    <col hidden="1" width="10.7109375" customWidth="1" style="1439" min="8" max="8"/>
    <col width="15.85546875" customWidth="1" style="1439" min="9" max="9"/>
    <col hidden="1" width="7.7109375" customWidth="1" style="1439" min="10" max="10"/>
    <col hidden="1" width="2.140625" customWidth="1" style="1439" min="11" max="11"/>
    <col width="14.140625" customWidth="1" style="1439" min="12" max="12"/>
    <col hidden="1" width="7.7109375" customWidth="1" style="1439" min="13" max="13"/>
    <col hidden="1" width="10.7109375" customWidth="1" style="1439" min="14" max="14"/>
    <col hidden="1" width="7.7109375" customWidth="1" style="1439" min="15" max="16"/>
    <col width="10.140625" bestFit="1" customWidth="1" style="1439" min="17" max="17"/>
    <col width="7.28515625" customWidth="1" style="112" min="20" max="22"/>
    <col hidden="1" width="8.28515625" customWidth="1" style="112" min="23" max="23"/>
    <col width="7.28515625" customWidth="1" style="112" min="24" max="24"/>
    <col width="8.42578125" customWidth="1" style="112" min="25" max="25"/>
    <col width="1.7109375" customWidth="1" style="112" min="26" max="26"/>
    <col width="15.42578125" customWidth="1" style="112" min="27" max="27"/>
    <col width="8" customWidth="1" style="112" min="28" max="28"/>
  </cols>
  <sheetData>
    <row r="2" ht="15.75" customHeight="1" s="1439">
      <c r="D2" s="1552" t="inlineStr">
        <is>
          <t>COMPARABLE EXPENSES DATA</t>
        </is>
      </c>
    </row>
    <row r="3">
      <c r="D3" s="69" t="inlineStr">
        <is>
          <t>Comparable No.</t>
        </is>
      </c>
      <c r="E3" s="1640" t="n">
        <v>1</v>
      </c>
      <c r="H3" s="1640" t="n">
        <v>2</v>
      </c>
      <c r="K3" s="1640" t="n">
        <v>3</v>
      </c>
      <c r="N3" s="1640" t="n">
        <v>3</v>
      </c>
    </row>
    <row r="4" ht="12.75" customHeight="1" s="1439">
      <c r="D4" s="70" t="inlineStr">
        <is>
          <t>City</t>
        </is>
      </c>
      <c r="E4" s="80" t="inlineStr">
        <is>
          <t>Phoenix</t>
        </is>
      </c>
      <c r="F4" s="255" t="inlineStr">
        <is>
          <t>Highlands Ranch</t>
        </is>
      </c>
      <c r="G4" s="72" t="n"/>
      <c r="H4" s="80" t="inlineStr">
        <is>
          <t>Phoenix</t>
        </is>
      </c>
      <c r="I4" s="255" t="inlineStr">
        <is>
          <t>Denver</t>
        </is>
      </c>
      <c r="J4" s="71" t="n"/>
      <c r="K4" s="80" t="inlineStr">
        <is>
          <t>Phoenix</t>
        </is>
      </c>
      <c r="L4" s="255" t="inlineStr">
        <is>
          <t>Arvada</t>
        </is>
      </c>
      <c r="M4" s="71" t="n"/>
      <c r="N4" s="105" t="inlineStr">
        <is>
          <t>Denver</t>
        </is>
      </c>
      <c r="O4" s="71" t="n"/>
      <c r="P4" s="71" t="n"/>
    </row>
    <row r="5" ht="12.75" customHeight="1" s="1439" thickBot="1">
      <c r="D5" s="70" t="inlineStr">
        <is>
          <t>Year Built</t>
        </is>
      </c>
      <c r="E5" s="80" t="n">
        <v>2002</v>
      </c>
      <c r="F5" s="255" t="n">
        <v>2005</v>
      </c>
      <c r="G5" s="72" t="n"/>
      <c r="H5" s="80" t="n">
        <v>2005</v>
      </c>
      <c r="I5" s="255" t="inlineStr">
        <is>
          <t>1964, 1998</t>
        </is>
      </c>
      <c r="J5" s="71" t="n"/>
      <c r="K5" s="80" t="n">
        <v>2007</v>
      </c>
      <c r="L5" s="255" t="n">
        <v>2018</v>
      </c>
      <c r="M5" s="71" t="n"/>
      <c r="N5" s="105" t="n">
        <v>1999</v>
      </c>
      <c r="O5" s="71" t="n"/>
      <c r="P5" s="71" t="n"/>
      <c r="X5" s="113" t="n"/>
    </row>
    <row r="6" ht="12.75" customHeight="1" s="1439">
      <c r="D6" s="70" t="inlineStr">
        <is>
          <t>Rentable Area</t>
        </is>
      </c>
      <c r="E6" s="254" t="n">
        <v>78150</v>
      </c>
      <c r="F6" s="256" t="n">
        <v>10000</v>
      </c>
      <c r="G6" s="74" t="n"/>
      <c r="H6" s="254" t="n">
        <v>8181</v>
      </c>
      <c r="I6" s="256" t="n">
        <v>5627</v>
      </c>
      <c r="J6" s="73" t="n"/>
      <c r="K6" s="254" t="n">
        <v>15000</v>
      </c>
      <c r="L6" s="256" t="n">
        <v>10000</v>
      </c>
      <c r="M6" s="73" t="n"/>
      <c r="N6" s="106" t="n">
        <v>107760</v>
      </c>
      <c r="O6" s="73" t="n"/>
      <c r="P6" s="73" t="n"/>
      <c r="T6" s="114" t="inlineStr">
        <is>
          <t>Cmp1</t>
        </is>
      </c>
      <c r="U6" s="115" t="inlineStr">
        <is>
          <t>Cmp2</t>
        </is>
      </c>
      <c r="V6" s="115" t="inlineStr">
        <is>
          <t>Cmp3</t>
        </is>
      </c>
      <c r="W6" s="116" t="inlineStr">
        <is>
          <t>Cmp4</t>
        </is>
      </c>
      <c r="X6" s="115" t="inlineStr">
        <is>
          <t>Min</t>
        </is>
      </c>
      <c r="Y6" s="117" t="inlineStr">
        <is>
          <t>Max</t>
        </is>
      </c>
      <c r="AA6" s="118" t="inlineStr">
        <is>
          <t>Range</t>
        </is>
      </c>
      <c r="AB6" s="119" t="inlineStr">
        <is>
          <t>Avg</t>
        </is>
      </c>
    </row>
    <row r="7" ht="12.75" customHeight="1" s="1439">
      <c r="D7" s="70" t="inlineStr">
        <is>
          <t>Year Operations</t>
        </is>
      </c>
      <c r="E7" s="80" t="n">
        <v>2016</v>
      </c>
      <c r="F7" s="255" t="n">
        <v>2019</v>
      </c>
      <c r="G7" s="72" t="n"/>
      <c r="H7" s="80" t="n">
        <v>2016</v>
      </c>
      <c r="I7" s="255" t="n">
        <v>2020</v>
      </c>
      <c r="J7" s="71" t="n"/>
      <c r="K7" s="80" t="n">
        <v>2016</v>
      </c>
      <c r="L7" s="255" t="n">
        <v>2020</v>
      </c>
      <c r="M7" s="71" t="n"/>
      <c r="N7" s="105" t="n">
        <v>2016</v>
      </c>
      <c r="O7" s="71" t="n"/>
      <c r="P7" s="71" t="n"/>
      <c r="T7" s="2104" t="n"/>
      <c r="U7" s="2104" t="n"/>
      <c r="V7" s="2104" t="n"/>
      <c r="W7" s="2105" t="n"/>
      <c r="X7" s="2106" t="n"/>
      <c r="Y7" s="2107" t="n"/>
      <c r="AA7" s="124" t="n"/>
      <c r="AB7" s="2108" t="n"/>
    </row>
    <row r="8" ht="12.75" customHeight="1" s="1439">
      <c r="D8" s="81" t="inlineStr">
        <is>
          <t>Occupancy</t>
        </is>
      </c>
      <c r="E8" s="82" t="n">
        <v>1</v>
      </c>
      <c r="F8" s="257" t="n">
        <v>1</v>
      </c>
      <c r="G8" s="84" t="n"/>
      <c r="H8" s="82" t="n">
        <v>1</v>
      </c>
      <c r="I8" s="257" t="n">
        <v>1</v>
      </c>
      <c r="J8" s="83" t="n"/>
      <c r="K8" s="82" t="n">
        <v>1</v>
      </c>
      <c r="L8" s="257" t="n">
        <v>1</v>
      </c>
      <c r="M8" s="83" t="n"/>
      <c r="N8" s="107" t="n">
        <v>1</v>
      </c>
      <c r="O8" s="83" t="n"/>
      <c r="P8" s="83" t="n"/>
      <c r="T8" s="43" t="n"/>
      <c r="U8" s="43" t="n"/>
      <c r="V8" s="43" t="n"/>
      <c r="W8" s="126" t="n"/>
      <c r="X8" s="43" t="n"/>
      <c r="Y8" s="43" t="n"/>
      <c r="AA8" s="127" t="n"/>
      <c r="AB8" s="128" t="n"/>
    </row>
    <row r="9" ht="12.75" customHeight="1" s="1439">
      <c r="D9" s="261" t="inlineStr">
        <is>
          <t>Expenses</t>
        </is>
      </c>
      <c r="E9" s="251" t="n"/>
      <c r="F9" s="262" t="n"/>
      <c r="G9" s="75" t="n"/>
      <c r="H9" s="76" t="n"/>
      <c r="I9" s="2109" t="n"/>
      <c r="J9" s="250" t="n"/>
      <c r="K9" s="251" t="n"/>
      <c r="L9" s="262" t="n"/>
      <c r="M9" s="250" t="n"/>
      <c r="N9" s="77" t="n"/>
      <c r="O9" s="2068" t="n"/>
      <c r="P9" s="1553" t="n"/>
      <c r="T9" s="43" t="n"/>
      <c r="U9" s="43" t="n"/>
      <c r="V9" s="43" t="n"/>
      <c r="W9" s="126" t="n"/>
      <c r="X9" s="43" t="n"/>
      <c r="Y9" s="43" t="n"/>
      <c r="AA9" s="127" t="n"/>
      <c r="AB9" s="128" t="n"/>
    </row>
    <row r="10" ht="12.75" customHeight="1" s="1439">
      <c r="D10" s="166" t="inlineStr">
        <is>
          <t>Real Estate Taxes</t>
        </is>
      </c>
      <c r="E10" s="2110" t="n">
        <v>43077</v>
      </c>
      <c r="F10" s="2111" t="n">
        <v>4.5</v>
      </c>
      <c r="G10" s="75" t="n"/>
      <c r="H10" s="2112" t="n">
        <v>302806</v>
      </c>
      <c r="I10" s="2113" t="n">
        <v>6.78</v>
      </c>
      <c r="J10" s="253" t="n"/>
      <c r="K10" s="2110" t="n">
        <v>49012</v>
      </c>
      <c r="L10" s="2111" t="n">
        <v>2.75</v>
      </c>
      <c r="M10" s="250" t="n"/>
      <c r="N10" s="2114" t="n">
        <v>302806</v>
      </c>
      <c r="O10" s="2115">
        <f>N10/N6</f>
        <v/>
      </c>
      <c r="P10" s="93" t="n"/>
      <c r="Q10" s="1691">
        <f>AVERAGE(F10,I10,L10)</f>
        <v/>
      </c>
      <c r="T10" s="113">
        <f>F10</f>
        <v/>
      </c>
      <c r="U10" s="113">
        <f>I10</f>
        <v/>
      </c>
      <c r="V10" s="113">
        <f>L10</f>
        <v/>
      </c>
      <c r="W10" s="129">
        <f>IF(ISERROR(Q24),"",IF(Q24=0,"",Q24))</f>
        <v/>
      </c>
      <c r="X10" s="113">
        <f>MIN(T10:W10)</f>
        <v/>
      </c>
      <c r="Y10" s="113">
        <f>MAX(T10:W10)</f>
        <v/>
      </c>
      <c r="AA10" s="2116">
        <f>IF(X10=Y10,TEXT(X10,"$0.00;;-"),CONCATENATE(TEXT(X10,"$0.00;;-"),"–",TEXT(Y10,"$0.00;;-")))</f>
        <v/>
      </c>
      <c r="AB10" s="2117">
        <f>AVERAGE(T10:W10)</f>
        <v/>
      </c>
    </row>
    <row r="11" ht="12.75" customHeight="1" s="1439">
      <c r="D11" s="166" t="inlineStr">
        <is>
          <t>Insurance</t>
        </is>
      </c>
      <c r="E11" s="2110" t="n">
        <v>4426</v>
      </c>
      <c r="F11" s="2111" t="n">
        <v>0.72</v>
      </c>
      <c r="G11" s="75" t="n"/>
      <c r="H11" s="2112" t="n">
        <v>10776</v>
      </c>
      <c r="I11" s="2113" t="n">
        <v>1.5</v>
      </c>
      <c r="J11" s="253" t="n"/>
      <c r="K11" s="2110" t="n">
        <v>7129</v>
      </c>
      <c r="L11" s="2111" t="n">
        <v>1.35</v>
      </c>
      <c r="M11" s="250" t="n"/>
      <c r="N11" s="2114" t="n">
        <v>10776</v>
      </c>
      <c r="O11" s="2115">
        <f>N11/N6</f>
        <v/>
      </c>
      <c r="P11" s="93" t="n"/>
      <c r="Q11" s="1691">
        <f>AVERAGE(F11,I11,L11)</f>
        <v/>
      </c>
      <c r="T11" s="113">
        <f>F11</f>
        <v/>
      </c>
      <c r="U11" s="113">
        <f>I11</f>
        <v/>
      </c>
      <c r="V11" s="113">
        <f>L11</f>
        <v/>
      </c>
      <c r="W11" s="129">
        <f>IF(ISERROR(Q25),"",IF(Q25=0,"",Q25))</f>
        <v/>
      </c>
      <c r="X11" s="113">
        <f>MIN(T11:W11)</f>
        <v/>
      </c>
      <c r="Y11" s="113">
        <f>MAX(T11:W11)</f>
        <v/>
      </c>
      <c r="AA11" s="127">
        <f>IF(X11=Y11,TEXT(X11,"$0.00;;-"),CONCATENATE(TEXT(X11,"$0.00;;-"),"–",TEXT(Y11,"$0.00;;-")))</f>
        <v/>
      </c>
      <c r="AB11" s="2117">
        <f>AVERAGE(T11:W11)</f>
        <v/>
      </c>
    </row>
    <row r="12" ht="12.75" customHeight="1" s="1439">
      <c r="D12" s="166" t="inlineStr">
        <is>
          <t>Utilities</t>
        </is>
      </c>
      <c r="E12" s="2110" t="n">
        <v>0</v>
      </c>
      <c r="F12" s="2111" t="n">
        <v>1.5</v>
      </c>
      <c r="G12" s="75" t="n"/>
      <c r="H12" s="2112" t="n">
        <v>0</v>
      </c>
      <c r="I12" s="2113" t="n">
        <v>2.23</v>
      </c>
      <c r="J12" s="253" t="n"/>
      <c r="K12" s="2110" t="n">
        <v>2896</v>
      </c>
      <c r="L12" s="2111" t="n">
        <v>1.75</v>
      </c>
      <c r="M12" s="250" t="n"/>
      <c r="N12" s="2114" t="n">
        <v>0</v>
      </c>
      <c r="O12" s="2115">
        <f>N12/N6</f>
        <v/>
      </c>
      <c r="P12" s="93" t="n"/>
      <c r="T12" s="113">
        <f>F12</f>
        <v/>
      </c>
      <c r="U12" s="113">
        <f>I12</f>
        <v/>
      </c>
      <c r="V12" s="113">
        <f>L12</f>
        <v/>
      </c>
      <c r="W12" s="129">
        <f>IF(ISERROR(Q26),"",IF(Q26=0,"",Q26))</f>
        <v/>
      </c>
      <c r="X12" s="113">
        <f>MIN(T12:W12)</f>
        <v/>
      </c>
      <c r="Y12" s="113">
        <f>MAX(T12:W12)</f>
        <v/>
      </c>
      <c r="AA12" s="127">
        <f>IF(X12=Y12,TEXT(X12,"$0.00;;-"),CONCATENATE(TEXT(X12,"$0.00;;-"),"–",TEXT(Y12,"$0.00;;-")))</f>
        <v/>
      </c>
      <c r="AB12" s="2117">
        <f>AVERAGE(T12:W12)</f>
        <v/>
      </c>
    </row>
    <row r="13" ht="12.75" customHeight="1" s="1439">
      <c r="D13" s="166" t="inlineStr">
        <is>
          <t>CAM Repairs and Maintenace</t>
        </is>
      </c>
      <c r="E13" s="2110" t="n">
        <v>16761</v>
      </c>
      <c r="F13" s="2111" t="n">
        <v>2</v>
      </c>
      <c r="G13" s="75" t="n"/>
      <c r="H13" s="2112" t="n">
        <v>84053</v>
      </c>
      <c r="I13" s="2113" t="n">
        <v>1.5</v>
      </c>
      <c r="J13" s="253" t="n"/>
      <c r="K13" s="2110" t="n">
        <v>16040</v>
      </c>
      <c r="L13" s="2111" t="n">
        <v>1</v>
      </c>
      <c r="M13" s="250" t="n"/>
      <c r="N13" s="2114" t="n">
        <v>84053</v>
      </c>
      <c r="O13" s="2115">
        <f>N13/N6</f>
        <v/>
      </c>
      <c r="P13" s="93" t="n"/>
      <c r="T13" s="113">
        <f>F13</f>
        <v/>
      </c>
      <c r="U13" s="113">
        <f>I13</f>
        <v/>
      </c>
      <c r="V13" s="113">
        <f>L13</f>
        <v/>
      </c>
      <c r="W13" s="129">
        <f>IF(ISERROR(Q27),"",IF(Q27=0,"",Q27))</f>
        <v/>
      </c>
      <c r="X13" s="113">
        <f>MIN(T13:W13)</f>
        <v/>
      </c>
      <c r="Y13" s="113">
        <f>MAX(T13:W13)</f>
        <v/>
      </c>
      <c r="AA13" s="127">
        <f>IF(X13=Y13,TEXT(X13,"$0.00;;-"),CONCATENATE(TEXT(X13,"$0.00;;-"),"–",TEXT(Y13,"$0.00;;-")))</f>
        <v/>
      </c>
      <c r="AB13" s="2117">
        <f>AVERAGE(T13:W13)</f>
        <v/>
      </c>
    </row>
    <row r="14" hidden="1" ht="12.75" customHeight="1" s="1439">
      <c r="D14" s="166" t="inlineStr">
        <is>
          <t>Administrative and General</t>
        </is>
      </c>
      <c r="E14" s="2110" t="n">
        <v>0</v>
      </c>
      <c r="F14" s="2111">
        <f>E14/E6</f>
        <v/>
      </c>
      <c r="G14" s="75" t="n"/>
      <c r="H14" s="2112" t="n">
        <v>0</v>
      </c>
      <c r="I14" s="2113">
        <f>H14/H6</f>
        <v/>
      </c>
      <c r="J14" s="253" t="n"/>
      <c r="K14" s="2110" t="n">
        <v>0</v>
      </c>
      <c r="L14" s="2111">
        <f>K14/K6</f>
        <v/>
      </c>
      <c r="M14" s="250" t="n"/>
      <c r="N14" s="2114" t="n">
        <v>0</v>
      </c>
      <c r="O14" s="2115">
        <f>N14/N6</f>
        <v/>
      </c>
      <c r="P14" s="93" t="n"/>
      <c r="T14" s="113">
        <f>F14</f>
        <v/>
      </c>
      <c r="U14" s="113">
        <f>I14</f>
        <v/>
      </c>
      <c r="V14" s="113">
        <f>L14</f>
        <v/>
      </c>
      <c r="W14" s="129">
        <f>IF(ISERROR(Q28),"",IF(Q28=0,"",Q28))</f>
        <v/>
      </c>
      <c r="X14" s="113">
        <f>MIN(T14:W14)</f>
        <v/>
      </c>
      <c r="Y14" s="113">
        <f>MAX(T14:W14)</f>
        <v/>
      </c>
      <c r="AA14" s="127">
        <f>IF(X14=Y14,TEXT(X14,"$0.00;;-"),CONCATENATE(TEXT(X14,"$0.00;;-"),"–",TEXT(Y14,"$0.00;;-")))</f>
        <v/>
      </c>
      <c r="AB14" s="2117">
        <f>AVERAGE(T14:W14)</f>
        <v/>
      </c>
    </row>
    <row r="15" ht="12.75" customHeight="1" s="1439">
      <c r="D15" s="166" t="inlineStr">
        <is>
          <t>Management</t>
        </is>
      </c>
      <c r="E15" s="2110" t="n">
        <v>7103</v>
      </c>
      <c r="F15" s="2111" t="inlineStr">
        <is>
          <t>N/R</t>
        </is>
      </c>
      <c r="G15" s="75" t="n"/>
      <c r="H15" s="2112" t="n">
        <v>30173</v>
      </c>
      <c r="I15" s="2113" t="inlineStr">
        <is>
          <t>N/R</t>
        </is>
      </c>
      <c r="J15" s="253" t="n"/>
      <c r="K15" s="2110" t="n">
        <v>0</v>
      </c>
      <c r="L15" s="2111" t="inlineStr">
        <is>
          <t>N/R</t>
        </is>
      </c>
      <c r="M15" s="250" t="n"/>
      <c r="N15" s="2114" t="n">
        <v>30173</v>
      </c>
      <c r="O15" s="2115">
        <f>N15/N6</f>
        <v/>
      </c>
      <c r="P15" s="93" t="n"/>
      <c r="T15" s="113">
        <f>F15</f>
        <v/>
      </c>
      <c r="U15" s="113">
        <f>I15</f>
        <v/>
      </c>
      <c r="V15" s="113">
        <f>L15</f>
        <v/>
      </c>
      <c r="W15" s="129">
        <f>IF(ISERROR(Q29),"",IF(Q29=0,"",Q29))</f>
        <v/>
      </c>
      <c r="X15" s="113">
        <f>MIN(T15:W15)</f>
        <v/>
      </c>
      <c r="Y15" s="113">
        <f>MAX(T15:W15)</f>
        <v/>
      </c>
      <c r="AA15" s="127">
        <f>IF(X15=Y15,TEXT(X15,"$0.00;;-"),CONCATENATE(TEXT(X15,"$0.00;;-"),"–",TEXT(Y15,"$0.00;;-")))</f>
        <v/>
      </c>
      <c r="AB15" s="2117">
        <f>AVERAGE(T15:W15)</f>
        <v/>
      </c>
    </row>
    <row r="16" hidden="1" ht="12.75" customHeight="1" s="1439">
      <c r="D16" s="24" t="inlineStr">
        <is>
          <t>Replacement Reserves</t>
        </is>
      </c>
      <c r="E16" s="2112" t="n">
        <v>0</v>
      </c>
      <c r="F16" s="2068">
        <f>E16/E6</f>
        <v/>
      </c>
      <c r="G16" s="75" t="n"/>
      <c r="H16" s="2112" t="n">
        <v>0</v>
      </c>
      <c r="I16" s="2115">
        <f>H16/H6</f>
        <v/>
      </c>
      <c r="J16" s="93" t="n"/>
      <c r="K16" s="2112" t="n">
        <v>0</v>
      </c>
      <c r="L16" s="2068">
        <f>K16/K6</f>
        <v/>
      </c>
      <c r="M16" s="1553" t="n"/>
      <c r="N16" s="2114" t="n">
        <v>0</v>
      </c>
      <c r="O16" s="2115">
        <f>N16/N6</f>
        <v/>
      </c>
      <c r="P16" s="93" t="n"/>
      <c r="T16" s="113">
        <f>F16</f>
        <v/>
      </c>
      <c r="U16" s="113">
        <f>I16</f>
        <v/>
      </c>
      <c r="V16" s="113">
        <f>I16</f>
        <v/>
      </c>
      <c r="W16" s="129">
        <f>IF(ISERROR(Q30),"",IF(Q30=0,"",Q30))</f>
        <v/>
      </c>
      <c r="X16" s="113">
        <f>MIN(T16:W16)</f>
        <v/>
      </c>
      <c r="Y16" s="113">
        <f>MAX(T16:W16)</f>
        <v/>
      </c>
      <c r="AA16" s="127">
        <f>IF(X16=Y16,TEXT(X16,"$0.00;;-"),CONCATENATE(TEXT(X16,"$0.00;;-"),"–",TEXT(Y16,"$0.00;;-")))</f>
        <v/>
      </c>
      <c r="AB16" s="2117">
        <f>AVERAGE(T16:W16)</f>
        <v/>
      </c>
    </row>
    <row r="17" ht="12.75" customHeight="1" s="1439">
      <c r="D17" s="109" t="inlineStr">
        <is>
          <t>Total Expenses</t>
        </is>
      </c>
      <c r="E17" s="2118">
        <f>SUM(E10:E16)</f>
        <v/>
      </c>
      <c r="F17" s="2119">
        <f>SUM(F10:F15)</f>
        <v/>
      </c>
      <c r="G17" s="259" t="n"/>
      <c r="H17" s="2120">
        <f>SUM(H10:H16)</f>
        <v/>
      </c>
      <c r="I17" s="2119">
        <f>SUM(I10:I15)</f>
        <v/>
      </c>
      <c r="J17" s="111" t="n"/>
      <c r="K17" s="2118">
        <f>SUM(K10:K16)</f>
        <v/>
      </c>
      <c r="L17" s="2119">
        <f>SUM(L9:L15)</f>
        <v/>
      </c>
      <c r="M17" s="111" t="n"/>
      <c r="N17" s="2121">
        <f>SUM(N10:N16)</f>
        <v/>
      </c>
      <c r="O17" s="2102">
        <f>N17/N6</f>
        <v/>
      </c>
      <c r="P17" s="79" t="n"/>
      <c r="T17" s="113">
        <f>F17</f>
        <v/>
      </c>
      <c r="U17" s="113">
        <f>I17</f>
        <v/>
      </c>
      <c r="V17" s="113">
        <f>L17</f>
        <v/>
      </c>
      <c r="W17" s="129">
        <f>IF(ISERROR(Q31),"",IF(Q31=0,"",Q31))</f>
        <v/>
      </c>
      <c r="X17" s="113">
        <f>MIN(T17:W17)</f>
        <v/>
      </c>
      <c r="Y17" s="113">
        <f>MAX(T17:W17)</f>
        <v/>
      </c>
      <c r="AA17" s="127">
        <f>IF(X17=Y17,TEXT(X17,"$0.00;;-"),CONCATENATE(TEXT(X17,"$0.00;;-"),"–",TEXT(Y17,"$0.00;;-")))</f>
        <v/>
      </c>
      <c r="AB17" s="2117">
        <f>AVERAGE(T17:W17)</f>
        <v/>
      </c>
    </row>
    <row r="18">
      <c r="T18" s="113">
        <f>IF(H32=0,"",H32)</f>
        <v/>
      </c>
      <c r="U18" s="113">
        <f>IF(K32=0,"",K32)</f>
        <v/>
      </c>
      <c r="V18" s="113">
        <f>IF(N32=0,"",N32)</f>
        <v/>
      </c>
      <c r="W18" s="129">
        <f>IF(ISERROR(Q32),"",IF(Q32=0,"",Q32))</f>
        <v/>
      </c>
      <c r="X18" s="113">
        <f>MIN(T18:W18)</f>
        <v/>
      </c>
      <c r="Y18" s="113">
        <f>MAX(T18:W18)</f>
        <v/>
      </c>
      <c r="AA18" s="127">
        <f>IF(X18=Y18,TEXT(X18,"$0.00;;-"),CONCATENATE(TEXT(X18,"$0.00;;-"),"–",TEXT(Y18,"$0.00;;-")))</f>
        <v/>
      </c>
      <c r="AB18" s="2117">
        <f>AVERAGE(T18:W18)</f>
        <v/>
      </c>
    </row>
    <row r="19">
      <c r="T19" s="113">
        <f>IF(H33=0,"",H33)</f>
        <v/>
      </c>
      <c r="U19" s="113">
        <f>IF(K33=0,"",K33)</f>
        <v/>
      </c>
      <c r="V19" s="113">
        <f>IF(N33=0,"",N33)</f>
        <v/>
      </c>
      <c r="W19" s="129">
        <f>IF(ISERROR(Q33),"",IF(Q33=0,"",Q33))</f>
        <v/>
      </c>
      <c r="X19" s="113">
        <f>MIN(T19:W19)</f>
        <v/>
      </c>
      <c r="Y19" s="113">
        <f>MAX(T19:W19)</f>
        <v/>
      </c>
      <c r="AA19" s="127">
        <f>IF(X19=Y19,TEXT(X19,"$0.00;;-"),CONCATENATE(TEXT(X19,"$0.00;;-"),"–",TEXT(Y19,"$0.00;;-")))</f>
        <v/>
      </c>
      <c r="AB19" s="2117">
        <f>AVERAGE(T19:W19)</f>
        <v/>
      </c>
    </row>
    <row r="20">
      <c r="T20" s="113">
        <f>IF(H34=0,"",H34)</f>
        <v/>
      </c>
      <c r="U20" s="113">
        <f>IF(K34=0,"",K34)</f>
        <v/>
      </c>
      <c r="V20" s="113">
        <f>IF(N34=0,"",N34)</f>
        <v/>
      </c>
      <c r="W20" s="129">
        <f>IF(ISERROR(Q34),"",IF(Q34=0,"",Q34))</f>
        <v/>
      </c>
      <c r="X20" s="113">
        <f>MIN(T20:W20)</f>
        <v/>
      </c>
      <c r="Y20" s="113">
        <f>MAX(T20:W20)</f>
        <v/>
      </c>
      <c r="AA20" s="127">
        <f>IF(X20=Y20,TEXT(X20,"$0.00;;-"),CONCATENATE(TEXT(X20,"$0.00;;-"),"–",TEXT(Y20,"$0.00;;-")))</f>
        <v/>
      </c>
      <c r="AB20" s="2117">
        <f>AVERAGE(T20:W20)</f>
        <v/>
      </c>
    </row>
    <row r="21">
      <c r="T21" s="113">
        <f>IF(H35=0,"",H35)</f>
        <v/>
      </c>
      <c r="U21" s="113">
        <f>IF(K35=0,"",K35)</f>
        <v/>
      </c>
      <c r="V21" s="113">
        <f>IF(N35=0,"",N35)</f>
        <v/>
      </c>
      <c r="W21" s="129">
        <f>IF(ISERROR(Q35),"",IF(Q35=0,"",Q35))</f>
        <v/>
      </c>
      <c r="X21" s="113">
        <f>MIN(T21:W21)</f>
        <v/>
      </c>
      <c r="Y21" s="113">
        <f>MAX(T21:W21)</f>
        <v/>
      </c>
      <c r="AA21" s="127">
        <f>IF(X21=Y21,TEXT(X21,"$0.00;;-"),CONCATENATE(TEXT(X21,"$0.00;;-"),"–",TEXT(Y21,"$0.00;;-")))</f>
        <v/>
      </c>
      <c r="AB21" s="2117">
        <f>AVERAGE(T21:W21)</f>
        <v/>
      </c>
    </row>
    <row r="22">
      <c r="T22" s="113">
        <f>IF(H36=0,"",H36)</f>
        <v/>
      </c>
      <c r="U22" s="113">
        <f>IF(K36=0,"",K36)</f>
        <v/>
      </c>
      <c r="V22" s="113">
        <f>IF(N36=0,"",N36)</f>
        <v/>
      </c>
      <c r="W22" s="129">
        <f>IF(ISERROR(Q36),"",IF(Q36=0,"",Q36))</f>
        <v/>
      </c>
      <c r="X22" s="113">
        <f>MIN(T22:W22)</f>
        <v/>
      </c>
      <c r="Y22" s="113">
        <f>MAX(T22:W22)</f>
        <v/>
      </c>
      <c r="AA22" s="127">
        <f>IF(X22=Y22,TEXT(X22,"$0.00;;-"),CONCATENATE(TEXT(X22,"$0.00;;-"),"–",TEXT(Y22,"$0.00;;-")))</f>
        <v/>
      </c>
      <c r="AB22" s="2117">
        <f>AVERAGE(T22:W22)</f>
        <v/>
      </c>
    </row>
    <row r="23">
      <c r="T23" s="113">
        <f>IF(H37=0,"",H37)</f>
        <v/>
      </c>
      <c r="U23" s="113">
        <f>IF(K37=0,"",K37)</f>
        <v/>
      </c>
      <c r="V23" s="113">
        <f>IF(N37=0,"",N37)</f>
        <v/>
      </c>
      <c r="W23" s="129">
        <f>IF(ISERROR(Q37),"",IF(Q37=0,"",Q37))</f>
        <v/>
      </c>
      <c r="X23" s="113">
        <f>MIN(T23:W23)</f>
        <v/>
      </c>
      <c r="Y23" s="113">
        <f>MAX(T23:W23)</f>
        <v/>
      </c>
      <c r="AA23" s="127">
        <f>IF(X23=Y23,TEXT(X23,"$0.00;;-"),CONCATENATE(TEXT(X23,"$0.00;;-"),"–",TEXT(Y23,"$0.00;;-")))</f>
        <v/>
      </c>
      <c r="AB23" s="2117">
        <f>AVERAGE(T23:W23)</f>
        <v/>
      </c>
    </row>
    <row r="24">
      <c r="T24" s="113">
        <f>IF(H38=0,"",H38)</f>
        <v/>
      </c>
      <c r="U24" s="113">
        <f>IF(K38=0,"",K38)</f>
        <v/>
      </c>
      <c r="V24" s="113">
        <f>IF(N38=0,"",N38)</f>
        <v/>
      </c>
      <c r="W24" s="129">
        <f>IF(ISERROR(Q38),"",IF(Q38=0,"",Q38))</f>
        <v/>
      </c>
      <c r="X24" s="113">
        <f>MIN(T24:W24)</f>
        <v/>
      </c>
      <c r="Y24" s="113">
        <f>MAX(T24:W24)</f>
        <v/>
      </c>
      <c r="Z24" s="132" t="n"/>
      <c r="AA24" s="127">
        <f>IF(X24=Y24,TEXT(X24,"$0.00;;-"),CONCATENATE(TEXT(X24,"$0.00;;-"),"–",TEXT(Y24,"$0.00;;-")))</f>
        <v/>
      </c>
      <c r="AB24" s="2117">
        <f>AVERAGE(T24:W24)</f>
        <v/>
      </c>
    </row>
    <row r="25" ht="15.75" customHeight="1" s="1439" thickBot="1">
      <c r="T25" s="113">
        <f>IF(H39=0,"",H39)</f>
        <v/>
      </c>
      <c r="U25" s="113">
        <f>IF(K39=0,"",K39)</f>
        <v/>
      </c>
      <c r="V25" s="113">
        <f>IF(N39=0,"",N39)</f>
        <v/>
      </c>
      <c r="W25" s="129">
        <f>IF(Q39=0,"",Q39)</f>
        <v/>
      </c>
      <c r="X25" s="113">
        <f>MIN(T25:W25)</f>
        <v/>
      </c>
      <c r="Y25" s="113">
        <f>MAX(T25:W25)</f>
        <v/>
      </c>
      <c r="AA25" s="133">
        <f>IF(X25=Y25,TEXT(X25,"$0.00;;-"),CONCATENATE(TEXT(X25,"$0.00;;-"),"–",TEXT(Y25,"$0.00;;-")))</f>
        <v/>
      </c>
      <c r="AB25" s="2122">
        <f>AVERAGE(T25:W25)</f>
        <v/>
      </c>
    </row>
    <row r="26">
      <c r="T26" s="135">
        <f>IF(I38=0,"",I38)</f>
        <v/>
      </c>
      <c r="U26" s="135">
        <f>IF(L38=0,"",L38)</f>
        <v/>
      </c>
      <c r="V26" s="135">
        <f>IF(O38=0,"",O38)</f>
        <v/>
      </c>
      <c r="W26" s="135">
        <f>IF(R38=0,"",R38)</f>
        <v/>
      </c>
      <c r="X26" s="135">
        <f>MIN(T26:W26)</f>
        <v/>
      </c>
      <c r="Y26" s="135">
        <f>MAX(T26:W26)</f>
        <v/>
      </c>
      <c r="AA26" s="136">
        <f>IF(X26=Y26,TEXT(X26,"0%;-"),CONCATENATE(TEXT(X26,"0%;-"),"–",TEXT(Y26,"0%;-")))</f>
        <v/>
      </c>
    </row>
    <row r="27" ht="15.75" customHeight="1" s="1439" thickBot="1">
      <c r="AA27" s="137" t="n"/>
      <c r="AB27" s="137" t="n"/>
    </row>
    <row r="28">
      <c r="T28" s="43">
        <f>G42</f>
        <v/>
      </c>
      <c r="U28" s="43">
        <f>J42</f>
        <v/>
      </c>
      <c r="V28" s="43">
        <f>M42</f>
        <v/>
      </c>
      <c r="W28" s="43">
        <f>P42</f>
        <v/>
      </c>
      <c r="X28" s="43">
        <f>MIN(T28:W28)</f>
        <v/>
      </c>
      <c r="Y28" s="43">
        <f>MAX(T28:W28)</f>
        <v/>
      </c>
      <c r="AA28" s="138">
        <f>IF(X28=Y28,TEXT(X28,"$#,##0"),CONCATENATE(TEXT(X28,"$#,##0"),"–",TEXT(Y28,"$#,##0")))</f>
        <v/>
      </c>
      <c r="AB28" s="139">
        <f>IF(SUM(T28:W28)=0,0,ROUND(AVERAGE(T28:W28),0))</f>
        <v/>
      </c>
    </row>
    <row r="29">
      <c r="T29" s="113">
        <f>G43</f>
        <v/>
      </c>
      <c r="U29" s="113">
        <f>J43</f>
        <v/>
      </c>
      <c r="V29" s="113">
        <f>M43</f>
        <v/>
      </c>
      <c r="W29" s="113">
        <f>P43</f>
        <v/>
      </c>
      <c r="X29" s="113">
        <f>MIN(T29:W29)</f>
        <v/>
      </c>
      <c r="Y29" s="113">
        <f>MAX(T29:W29)</f>
        <v/>
      </c>
      <c r="AA29" s="2123">
        <f>IF(X29=Y29,TEXT(X29,"$0.00;;-"),CONCATENATE(TEXT(X29,"$0.00;;-"),"–",TEXT(Y29,"$0.00;;-")))</f>
        <v/>
      </c>
      <c r="AB29" s="141">
        <f>IF(SUM(T29:W29)=0,0,ROUND(AVERAGE(T29:W29),2))</f>
        <v/>
      </c>
    </row>
    <row r="30" ht="15.75" customHeight="1" s="1439" thickBot="1">
      <c r="T30" s="135">
        <f>G44</f>
        <v/>
      </c>
      <c r="U30" s="135">
        <f>J44</f>
        <v/>
      </c>
      <c r="V30" s="135">
        <f>M44</f>
        <v/>
      </c>
      <c r="W30" s="135">
        <f>P44</f>
        <v/>
      </c>
      <c r="X30" s="135">
        <f>MIN(T30:W30)</f>
        <v/>
      </c>
      <c r="Y30" s="135">
        <f>MAX(T30:W30)</f>
        <v/>
      </c>
      <c r="AA30" s="2124">
        <f>IF(X30=Y30,TEXT(X30,"0%;-"),CONCATENATE(TEXT(X30,"0%;-"),"–",TEXT(Y30,"0%;-")))</f>
        <v/>
      </c>
      <c r="AB30" s="143">
        <f>IF(SUM(T30:W30)=0,0,ROUND(AVERAGE(T30:W30),3))</f>
        <v/>
      </c>
    </row>
    <row r="45">
      <c r="T45" s="135" t="n"/>
      <c r="U45" s="135" t="n"/>
      <c r="V45" s="135" t="n"/>
      <c r="W45" s="135" t="n"/>
      <c r="X45" s="135" t="n"/>
      <c r="Y45" s="135" t="n"/>
      <c r="AA45" s="2125" t="n"/>
      <c r="AB45" s="2126" t="n"/>
    </row>
  </sheetData>
  <mergeCells count="5">
    <mergeCell ref="E3:G3"/>
    <mergeCell ref="K3:M3"/>
    <mergeCell ref="H3:J3"/>
    <mergeCell ref="N3:P3"/>
    <mergeCell ref="D2:P2"/>
  </mergeCells>
  <pageMargins left="0.7" right="0.7" top="0.75" bottom="0.75" header="0.3" footer="0.3"/>
  <pageSetup orientation="portrait"/>
</worksheet>
</file>

<file path=xl/worksheets/sheet21.xml><?xml version="1.0" encoding="utf-8"?>
<worksheet xmlns="http://schemas.openxmlformats.org/spreadsheetml/2006/main">
  <sheetPr>
    <outlinePr summaryBelow="1" summaryRight="1"/>
    <pageSetUpPr/>
  </sheetPr>
  <dimension ref="C2:O34"/>
  <sheetViews>
    <sheetView showGridLines="0" zoomScale="160" zoomScaleNormal="160" workbookViewId="0">
      <selection activeCell="N9" sqref="N9"/>
    </sheetView>
  </sheetViews>
  <sheetFormatPr baseColWidth="8" defaultRowHeight="15"/>
  <cols>
    <col width="28.5703125" customWidth="1" style="1439" min="5" max="5"/>
    <col width="10.7109375" customWidth="1" style="1439" min="6" max="7"/>
    <col hidden="1" width="10.140625" customWidth="1" style="1439" min="8" max="8"/>
    <col hidden="1" width="13" customWidth="1" style="1439" min="9" max="9"/>
    <col width="9.85546875" bestFit="1" customWidth="1" style="1439" min="10" max="10"/>
    <col hidden="1" width="40" customWidth="1" style="1439" min="11" max="11"/>
    <col hidden="1" width="13" customWidth="1" style="1439" min="15" max="15"/>
  </cols>
  <sheetData>
    <row r="2" ht="15.75" customHeight="1" s="1439">
      <c r="E2" s="1641" t="inlineStr">
        <is>
          <t>OPERATING EXPENSE COMPARISON AND CONCLUSION</t>
        </is>
      </c>
      <c r="O2" s="67">
        <f>LA!C5</f>
        <v/>
      </c>
    </row>
    <row r="3">
      <c r="C3" s="67">
        <f>LA!C5</f>
        <v/>
      </c>
      <c r="E3" s="94" t="n"/>
      <c r="F3" s="95" t="inlineStr">
        <is>
          <t>Expense Comps</t>
        </is>
      </c>
      <c r="G3" s="95" t="n"/>
      <c r="H3" s="94" t="n"/>
      <c r="I3" s="94" t="n"/>
      <c r="J3" s="94" t="n"/>
      <c r="K3" s="94" t="n"/>
    </row>
    <row r="4">
      <c r="E4" s="94" t="inlineStr">
        <is>
          <t>Expense Item</t>
        </is>
      </c>
      <c r="F4" s="94" t="inlineStr">
        <is>
          <t>Range</t>
        </is>
      </c>
      <c r="G4" s="94" t="inlineStr">
        <is>
          <t>Average</t>
        </is>
      </c>
      <c r="H4" s="94" t="n">
        <v>2016</v>
      </c>
      <c r="I4" s="94" t="n">
        <v>2017</v>
      </c>
      <c r="J4" s="94" t="inlineStr">
        <is>
          <t>Forecast</t>
        </is>
      </c>
      <c r="K4" s="94" t="inlineStr">
        <is>
          <t>Comments</t>
        </is>
      </c>
    </row>
    <row r="5">
      <c r="E5" s="96" t="inlineStr">
        <is>
          <t>Real Estate Taxes</t>
        </is>
      </c>
      <c r="F5" s="2127">
        <f>CED!AA10</f>
        <v/>
      </c>
      <c r="G5" s="2128">
        <f>CED!AB10</f>
        <v/>
      </c>
      <c r="H5" s="2129">
        <f>HOA!M24</f>
        <v/>
      </c>
      <c r="I5" s="2129">
        <f>HOA!P24</f>
        <v/>
      </c>
      <c r="J5" s="2130" t="n">
        <v>38203</v>
      </c>
      <c r="K5" s="2131" t="inlineStr">
        <is>
          <t>Taxes were previously concluded in the tax section of this report.</t>
        </is>
      </c>
    </row>
    <row r="6">
      <c r="E6" s="96" t="n"/>
      <c r="H6" s="2132">
        <f>H5/$O$2</f>
        <v/>
      </c>
      <c r="I6" s="2132">
        <f>I5/$O$2</f>
        <v/>
      </c>
      <c r="J6" s="2133">
        <f>J5/$O$2</f>
        <v/>
      </c>
    </row>
    <row r="7" ht="8.1" customHeight="1" s="1439">
      <c r="E7" s="96" t="n"/>
      <c r="F7" s="2134" t="n"/>
      <c r="G7" s="2129" t="n"/>
      <c r="H7" s="2129" t="n"/>
      <c r="I7" s="2129" t="n"/>
      <c r="J7" s="2135" t="n"/>
    </row>
    <row r="8">
      <c r="E8" s="96" t="inlineStr">
        <is>
          <t>Insurance</t>
        </is>
      </c>
      <c r="F8" s="2127">
        <f>CED!AA11</f>
        <v/>
      </c>
      <c r="G8" s="2128">
        <f>CED!AB11</f>
        <v/>
      </c>
      <c r="H8" s="2129">
        <f>HOA!M25</f>
        <v/>
      </c>
      <c r="I8" s="2129">
        <f>HOA!P25</f>
        <v/>
      </c>
      <c r="J8" s="2130">
        <f>J9*C3</f>
        <v/>
      </c>
      <c r="K8" s="2131" t="inlineStr">
        <is>
          <t xml:space="preserve">We apply an insurance expece for the subject near the middle of the comparables. </t>
        </is>
      </c>
    </row>
    <row r="9">
      <c r="E9" s="96" t="n"/>
      <c r="H9" s="2132">
        <f>H8/$O$2</f>
        <v/>
      </c>
      <c r="I9" s="2132">
        <f>I8/$O$2</f>
        <v/>
      </c>
      <c r="J9" s="2133" t="n">
        <v>1.25</v>
      </c>
    </row>
    <row r="10" ht="13.5" customHeight="1" s="1439">
      <c r="E10" s="96" t="n"/>
      <c r="F10" s="2136" t="n"/>
      <c r="G10" s="2129" t="n"/>
      <c r="H10" s="2129" t="n"/>
      <c r="I10" s="2129" t="n"/>
      <c r="J10" s="2135" t="n"/>
    </row>
    <row r="11">
      <c r="E11" s="103" t="inlineStr">
        <is>
          <t>Utilities</t>
        </is>
      </c>
      <c r="F11" s="2127">
        <f>CED!AA12</f>
        <v/>
      </c>
      <c r="G11" s="2128">
        <f>CED!AB12</f>
        <v/>
      </c>
      <c r="H11" s="2129">
        <f>HOA!M27</f>
        <v/>
      </c>
      <c r="I11" s="2129">
        <f>HOA!P27</f>
        <v/>
      </c>
      <c r="J11" s="2130">
        <f>J12*C3</f>
        <v/>
      </c>
      <c r="K11" s="2137" t="inlineStr">
        <is>
          <t xml:space="preserve">Comparables indicate a range of utility expenses between $1.50 and $2.23 per square foot. We apply a utilities expense for the subject near the middle of the range of comparables. </t>
        </is>
      </c>
    </row>
    <row r="12">
      <c r="E12" s="103" t="n"/>
      <c r="H12" s="2132">
        <f>H11/$O$2</f>
        <v/>
      </c>
      <c r="I12" s="2132">
        <f>I11/$O$2</f>
        <v/>
      </c>
      <c r="J12" s="2133" t="n">
        <v>1.5</v>
      </c>
    </row>
    <row r="13" ht="11.25" customHeight="1" s="1439">
      <c r="E13" s="103" t="n"/>
      <c r="F13" s="101" t="n"/>
      <c r="G13" s="2138" t="n"/>
      <c r="H13" s="2138" t="n"/>
      <c r="I13" s="2138" t="n"/>
      <c r="J13" s="2135" t="n"/>
    </row>
    <row r="14">
      <c r="E14" s="103" t="inlineStr">
        <is>
          <t>CAM Repairs and Maintenance</t>
        </is>
      </c>
      <c r="F14" s="2127">
        <f>CED!AA13</f>
        <v/>
      </c>
      <c r="G14" s="2128">
        <f>CED!AB13</f>
        <v/>
      </c>
      <c r="H14" s="2139">
        <f>HOA!M28</f>
        <v/>
      </c>
      <c r="I14" s="2139">
        <f>HOA!P28</f>
        <v/>
      </c>
      <c r="J14" s="2130">
        <f>J15*C3</f>
        <v/>
      </c>
      <c r="K14" s="2137" t="inlineStr">
        <is>
          <t>We conclude to an expense near the average of the comparables.</t>
        </is>
      </c>
    </row>
    <row r="15">
      <c r="E15" s="103" t="n"/>
      <c r="H15" s="2140">
        <f>H14/$O$2</f>
        <v/>
      </c>
      <c r="I15" s="2140">
        <f>I14/$O$2</f>
        <v/>
      </c>
      <c r="J15" s="2133" t="n">
        <v>1.5</v>
      </c>
    </row>
    <row r="16" ht="10.5" customHeight="1" s="1439">
      <c r="E16" s="103" t="n"/>
      <c r="F16" s="101" t="n"/>
      <c r="G16" s="2138" t="n"/>
      <c r="H16" s="2141" t="n"/>
      <c r="I16" s="2141" t="n"/>
      <c r="J16" s="2135" t="n"/>
    </row>
    <row r="17">
      <c r="E17" s="103" t="inlineStr">
        <is>
          <t>Management</t>
        </is>
      </c>
      <c r="F17" s="2138" t="inlineStr">
        <is>
          <t>N/R</t>
        </is>
      </c>
      <c r="G17" s="2134" t="inlineStr">
        <is>
          <t>N/R</t>
        </is>
      </c>
      <c r="H17" s="2139">
        <f>HOA!M30</f>
        <v/>
      </c>
      <c r="I17" s="2139">
        <f>HOA!P30</f>
        <v/>
      </c>
      <c r="J17" s="2130">
        <f>PF!G9*0.03</f>
        <v/>
      </c>
      <c r="K17" s="2137" t="inlineStr">
        <is>
          <t>Typical management expenses for similar properties range from 2% to 5% of EGI.  We conclude to an expense near 3% of EGI, which is within the range of the comparables on a PSF basis.</t>
        </is>
      </c>
    </row>
    <row r="18">
      <c r="E18" s="103" t="n"/>
      <c r="H18" s="2140">
        <f>H17/$O$2</f>
        <v/>
      </c>
      <c r="I18" s="2140">
        <f>I17/$O$2</f>
        <v/>
      </c>
      <c r="J18" s="2133">
        <f>J17/C3</f>
        <v/>
      </c>
    </row>
    <row r="19" ht="10.5" customHeight="1" s="1439">
      <c r="E19" s="103" t="n"/>
      <c r="F19" s="101" t="n"/>
      <c r="G19" s="2138" t="n"/>
      <c r="H19" s="2141" t="n"/>
      <c r="I19" s="2141" t="n"/>
      <c r="J19" s="2135" t="n"/>
    </row>
    <row r="20" hidden="1" s="1439">
      <c r="E20" s="103" t="inlineStr">
        <is>
          <t>Replacement Reserves</t>
        </is>
      </c>
      <c r="H20" s="2138">
        <f>H21/NRA</f>
        <v/>
      </c>
      <c r="I20" s="2138">
        <f>I21/NRA</f>
        <v/>
      </c>
      <c r="J20" s="2142" t="n">
        <v>0</v>
      </c>
      <c r="K20" s="2143" t="n"/>
    </row>
    <row r="21" hidden="1" s="1439">
      <c r="E21" s="103" t="n"/>
      <c r="F21" s="2138" t="n">
        <v>0</v>
      </c>
      <c r="G21" s="2138" t="n">
        <v>0</v>
      </c>
      <c r="H21" s="2138" t="n">
        <v>0</v>
      </c>
      <c r="I21" s="2138" t="n">
        <v>0</v>
      </c>
      <c r="J21" s="2144">
        <f>J20/$O$2</f>
        <v/>
      </c>
    </row>
    <row r="22" hidden="1" s="1439">
      <c r="E22" s="103" t="n"/>
      <c r="F22" s="101" t="n"/>
      <c r="G22" s="2138" t="n"/>
      <c r="H22" s="2138" t="n"/>
      <c r="I22" s="2138" t="n"/>
      <c r="J22" s="2145" t="n"/>
    </row>
    <row r="23" ht="12.75" customHeight="1" s="1439">
      <c r="E23" s="153" t="inlineStr">
        <is>
          <t>Total Operating Expenses</t>
        </is>
      </c>
      <c r="F23" s="163" t="n"/>
      <c r="G23" s="2146" t="n"/>
      <c r="H23" s="2147">
        <f>SUM(H5,H8,H11,H14,H17,H20)</f>
        <v/>
      </c>
      <c r="I23" s="2147">
        <f>SUM(I5,I8,I11,I14,I17,I20)</f>
        <v/>
      </c>
      <c r="J23" s="2148">
        <f>SUM(J5,J8,J11,J14,J17)</f>
        <v/>
      </c>
      <c r="K23" s="2149" t="n"/>
    </row>
    <row r="24" ht="12.75" customHeight="1" s="1439">
      <c r="E24" s="158" t="inlineStr">
        <is>
          <t>Total Operating Expenses Per SF</t>
        </is>
      </c>
      <c r="F24" s="2150" t="n"/>
      <c r="G24" s="2151" t="n"/>
      <c r="H24" s="2152">
        <f>SUM(H6,H9,H12,H15,H18,H21)</f>
        <v/>
      </c>
      <c r="I24" s="2152">
        <f>SUM(I6,I9,I12,I15,I18,I21)</f>
        <v/>
      </c>
      <c r="J24" s="2153">
        <f>J23/C3</f>
        <v/>
      </c>
      <c r="K24" s="162" t="n"/>
    </row>
    <row r="28">
      <c r="H28" s="2027">
        <f>H17/HOA!M22</f>
        <v/>
      </c>
      <c r="I28" s="2027">
        <f>I17/HOA!P22</f>
        <v/>
      </c>
    </row>
    <row r="29">
      <c r="H29" s="151">
        <f>J23</f>
        <v/>
      </c>
    </row>
    <row r="30">
      <c r="H30" t="n">
        <v>0</v>
      </c>
    </row>
    <row r="31">
      <c r="H31" s="151">
        <f>SUM(H29:H30)</f>
        <v/>
      </c>
    </row>
    <row r="32">
      <c r="H32" t="n">
        <v>0</v>
      </c>
    </row>
    <row r="34">
      <c r="H34" s="151">
        <f>SUM(H31:H32)</f>
        <v/>
      </c>
      <c r="I34">
        <f>J17</f>
        <v/>
      </c>
      <c r="J34" s="152">
        <f>I34/H34</f>
        <v/>
      </c>
    </row>
  </sheetData>
  <mergeCells count="17">
    <mergeCell ref="G5:G6"/>
    <mergeCell ref="G17:G18"/>
    <mergeCell ref="F5:F6"/>
    <mergeCell ref="G8:G9"/>
    <mergeCell ref="K17:K19"/>
    <mergeCell ref="F8:F9"/>
    <mergeCell ref="F17:F18"/>
    <mergeCell ref="K11:K13"/>
    <mergeCell ref="K20:K22"/>
    <mergeCell ref="K8:K10"/>
    <mergeCell ref="K5:K7"/>
    <mergeCell ref="K14:K16"/>
    <mergeCell ref="E2:K2"/>
    <mergeCell ref="F11:F12"/>
    <mergeCell ref="G11:G12"/>
    <mergeCell ref="G14:G15"/>
    <mergeCell ref="F14:F15"/>
  </mergeCell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E2:H18"/>
  <sheetViews>
    <sheetView showGridLines="0" workbookViewId="0">
      <selection activeCell="G16" sqref="G16"/>
    </sheetView>
  </sheetViews>
  <sheetFormatPr baseColWidth="8" defaultRowHeight="15"/>
  <cols>
    <col width="33.85546875" customWidth="1" style="1439" min="5" max="5"/>
    <col width="6.5703125" customWidth="1" style="1439" min="6" max="6"/>
    <col width="9.5703125" bestFit="1" customWidth="1" style="1439" min="7" max="7"/>
  </cols>
  <sheetData>
    <row r="2" ht="15.75" customHeight="1" s="1439">
      <c r="E2" s="1649" t="inlineStr">
        <is>
          <t>PRO FORMA OPERATIONS</t>
        </is>
      </c>
      <c r="F2" s="1650" t="n"/>
      <c r="G2" s="1650" t="n"/>
      <c r="H2" s="1650" t="n"/>
    </row>
    <row r="3" ht="15" customHeight="1" s="1439">
      <c r="E3" s="1" t="inlineStr">
        <is>
          <t>Income</t>
        </is>
      </c>
      <c r="F3" s="1" t="n"/>
      <c r="G3" s="167" t="inlineStr">
        <is>
          <t>$</t>
        </is>
      </c>
      <c r="H3" s="167" t="inlineStr">
        <is>
          <t>Per SF</t>
        </is>
      </c>
    </row>
    <row r="4" ht="12.75" customHeight="1" s="1439">
      <c r="E4" s="168" t="inlineStr">
        <is>
          <t>Gross Potential Rent</t>
        </is>
      </c>
      <c r="F4" s="169" t="n"/>
      <c r="G4" s="2154">
        <f>'Income Approach'!D37</f>
        <v/>
      </c>
      <c r="H4" s="2155">
        <f>G4/LA!C5</f>
        <v/>
      </c>
    </row>
    <row r="5" ht="12.75" customHeight="1" s="1439">
      <c r="E5" s="168" t="inlineStr">
        <is>
          <t>Expense Recoveries</t>
        </is>
      </c>
      <c r="F5" s="169" t="n"/>
      <c r="G5" s="2156" t="n">
        <v>0</v>
      </c>
      <c r="H5" s="2155">
        <f>G5/LA!C5</f>
        <v/>
      </c>
    </row>
    <row r="6" ht="12.75" customHeight="1" s="1439">
      <c r="E6" s="188" t="inlineStr">
        <is>
          <t>Total Potential Gross Income</t>
        </is>
      </c>
      <c r="F6" s="207" t="n"/>
      <c r="G6" s="2157">
        <f>SUM(G4:G5)</f>
        <v/>
      </c>
      <c r="H6" s="2158">
        <f>G6/LA!C5</f>
        <v/>
      </c>
    </row>
    <row r="7" ht="12.75" customHeight="1" s="1439">
      <c r="E7" s="168" t="inlineStr">
        <is>
          <t>Less Vacancy/Collection Loss</t>
        </is>
      </c>
      <c r="F7" s="171">
        <f>'Income Approach'!D22</f>
        <v/>
      </c>
      <c r="G7" s="2159">
        <f>-(F7*G6)</f>
        <v/>
      </c>
      <c r="H7" s="2155">
        <f>G7/LA!C5</f>
        <v/>
      </c>
    </row>
    <row r="8" hidden="1" ht="12.75" customHeight="1" s="1439">
      <c r="E8" s="168" t="inlineStr">
        <is>
          <t>Less Collection Loss</t>
        </is>
      </c>
      <c r="F8" s="171" t="n">
        <v>0</v>
      </c>
      <c r="G8" s="2159">
        <f>-(F8*G6)</f>
        <v/>
      </c>
      <c r="H8" s="2155">
        <f>G8/LA!C5</f>
        <v/>
      </c>
    </row>
    <row r="9" ht="12.75" customHeight="1" s="1439">
      <c r="E9" s="188" t="inlineStr">
        <is>
          <t>Effective Gross Income (EGI)</t>
        </is>
      </c>
      <c r="F9" s="207" t="n"/>
      <c r="G9" s="2157">
        <f>SUM(G6:G8)</f>
        <v/>
      </c>
      <c r="H9" s="2160">
        <f>G9/LA!C5</f>
        <v/>
      </c>
    </row>
    <row r="10" ht="15" customHeight="1" s="1439">
      <c r="E10" s="173" t="inlineStr">
        <is>
          <t xml:space="preserve">Expenses  </t>
        </is>
      </c>
      <c r="F10" s="174" t="n"/>
      <c r="G10" s="2161" t="n"/>
      <c r="H10" s="2162" t="n"/>
    </row>
    <row r="11" ht="12.75" customHeight="1" s="1439">
      <c r="E11" s="168" t="inlineStr">
        <is>
          <t>Real Estate Taxes</t>
        </is>
      </c>
      <c r="F11" s="177" t="n"/>
      <c r="G11" s="2159" t="n">
        <v>0</v>
      </c>
      <c r="H11" s="2163">
        <f>G11/LA!$C$5</f>
        <v/>
      </c>
    </row>
    <row r="12" ht="12.75" customHeight="1" s="1439">
      <c r="E12" s="168" t="inlineStr">
        <is>
          <t>Insurance</t>
        </is>
      </c>
      <c r="F12" s="177" t="n"/>
      <c r="G12" s="2159" t="n">
        <v>0</v>
      </c>
      <c r="H12" s="2163">
        <f>G12/LA!$C$5</f>
        <v/>
      </c>
    </row>
    <row r="13" ht="12.75" customHeight="1" s="1439">
      <c r="E13" s="168" t="inlineStr">
        <is>
          <t>Utilities</t>
        </is>
      </c>
      <c r="F13" s="177" t="n"/>
      <c r="G13" s="2159" t="n">
        <v>0</v>
      </c>
      <c r="H13" s="2163">
        <f>G13/LA!$C$5</f>
        <v/>
      </c>
    </row>
    <row r="14" ht="12.75" customHeight="1" s="1439">
      <c r="E14" s="168" t="inlineStr">
        <is>
          <t>CAM Repairs and Maintenance</t>
        </is>
      </c>
      <c r="F14" s="169" t="n"/>
      <c r="G14" s="2159" t="n">
        <v>0</v>
      </c>
      <c r="H14" s="2163">
        <f>G14/LA!$C$5</f>
        <v/>
      </c>
    </row>
    <row r="15" ht="12.75" customHeight="1" s="1439">
      <c r="E15" s="168" t="inlineStr">
        <is>
          <t>Management</t>
        </is>
      </c>
      <c r="F15" s="169" t="n"/>
      <c r="G15" s="2159" t="n">
        <v>0</v>
      </c>
      <c r="H15" s="2163">
        <f>G15/LA!$C$5</f>
        <v/>
      </c>
    </row>
    <row r="16" ht="12.75" customHeight="1" s="1439">
      <c r="E16" s="168" t="inlineStr">
        <is>
          <t>Replacement Reserves</t>
        </is>
      </c>
      <c r="F16" s="169" t="n"/>
      <c r="G16" s="2159">
        <f>H16*'Property Info'!B6</f>
        <v/>
      </c>
      <c r="H16" s="2163" t="n">
        <v>0.25</v>
      </c>
    </row>
    <row r="17" ht="12.75" customHeight="1" s="1439">
      <c r="E17" s="170" t="inlineStr">
        <is>
          <t>Total Expenses</t>
        </is>
      </c>
      <c r="F17" s="2164">
        <f>G17/G9</f>
        <v/>
      </c>
      <c r="G17" s="2165">
        <f>SUM(G11:G16)</f>
        <v/>
      </c>
      <c r="H17" s="2166">
        <f>G17/LA!C5</f>
        <v/>
      </c>
    </row>
    <row r="18" ht="12.75" customHeight="1" s="1439">
      <c r="E18" s="188" t="inlineStr">
        <is>
          <t>Net Operating Income (NOI)</t>
        </is>
      </c>
      <c r="F18" s="207" t="n"/>
      <c r="G18" s="2157">
        <f>G9-G17</f>
        <v/>
      </c>
      <c r="H18" s="2160">
        <f>G18/LA!C5</f>
        <v/>
      </c>
    </row>
  </sheetData>
  <mergeCells count="1">
    <mergeCell ref="E2:H2"/>
  </mergeCells>
  <dataValidations count="4">
    <dataValidation sqref="F8" showDropDown="0" showInputMessage="1" showErrorMessage="1" allowBlank="1" prompt="Autopopulates from Collection Loss entered in Cell D5._x000a_"/>
    <dataValidation sqref="F7" showDropDown="0" showInputMessage="1" showErrorMessage="1" allowBlank="1" prompt="Autopopulates from Physical Vacancy entered in Cell D4._x000a_"/>
    <dataValidation sqref="G5" showDropDown="0" showInputMessage="1" showErrorMessage="1" allowBlank="1" prompt="Enter recoverable expenses amount from the relevant Expense Recoveries table on the Recoveries tab (e.g. Multi-tenant or Single-tenant)._x000a_"/>
    <dataValidation sqref="G4" showDropDown="0" showInputMessage="1" showErrorMessage="1" allowBlank="1" prompt="Gross Potential Rent default autopopulates for Multi-Tenant Properties from the RentRoll tab (Cell C13).  If you have a Single-Tenant Property, change this to pull from the STMarketRentConclusions, Gross Potential Rent (Cell C20)."/>
  </dataValidations>
  <pageMargins left="0.7" right="0.7" top="0.75" bottom="0.75" header="0.3" footer="0.3"/>
  <pageSetup orientation="portrait"/>
</worksheet>
</file>

<file path=xl/worksheets/sheet23.xml><?xml version="1.0" encoding="utf-8"?>
<worksheet xmlns="http://schemas.openxmlformats.org/spreadsheetml/2006/main">
  <sheetPr>
    <outlinePr summaryBelow="1" summaryRight="1"/>
    <pageSetUpPr/>
  </sheetPr>
  <dimension ref="B2:U63"/>
  <sheetViews>
    <sheetView showGridLines="0" topLeftCell="N1" workbookViewId="0">
      <selection activeCell="T49" sqref="T49"/>
    </sheetView>
  </sheetViews>
  <sheetFormatPr baseColWidth="8" defaultRowHeight="15"/>
  <cols>
    <col width="6.28515625" customWidth="1" style="1439" min="2" max="2"/>
    <col width="23" bestFit="1" customWidth="1" style="1439" min="3" max="3"/>
    <col hidden="1" width="9.7109375" customWidth="1" style="1439" min="4" max="4"/>
    <col hidden="1" width="38.140625" customWidth="1" style="1439" min="5" max="5"/>
    <col hidden="1" width="9.7109375" customWidth="1" style="1439" min="6" max="6"/>
    <col hidden="1" width="13.85546875" customWidth="1" style="1439" min="7" max="7"/>
    <col hidden="1" width="7.140625" customWidth="1" style="1439" min="8" max="8"/>
    <col hidden="1" width="9" customWidth="1" style="1439" min="9" max="9"/>
    <col hidden="1" width="8.42578125" customWidth="1" style="1439" min="10" max="10"/>
    <col hidden="1" width="7.140625" customWidth="1" style="1439" min="11" max="11"/>
    <col hidden="1" width="9.140625" customWidth="1" style="1439" min="12" max="12"/>
    <col hidden="1" width="11.42578125" customWidth="1" style="1439" min="13" max="13"/>
    <col width="12" bestFit="1" customWidth="1" style="1439" min="15" max="15"/>
    <col width="25.5703125" customWidth="1" style="1439" min="16" max="18"/>
    <col width="32.85546875" bestFit="1" customWidth="1" style="1439" min="20" max="20"/>
    <col width="20.7109375" bestFit="1" customWidth="1" style="1439" min="21" max="21"/>
  </cols>
  <sheetData>
    <row r="2" ht="15.75" customHeight="1" s="1439">
      <c r="B2" s="1552" t="inlineStr">
        <is>
          <t xml:space="preserve"> MARKET DERIVED CAPITALIZATION RATE SUMMARY</t>
        </is>
      </c>
    </row>
    <row r="3" ht="26.25" customHeight="1" s="1439">
      <c r="B3" s="1640" t="n"/>
      <c r="C3" s="1640" t="n"/>
      <c r="D3" s="1640" t="n"/>
      <c r="E3" s="181" t="n"/>
      <c r="F3" s="182" t="n"/>
      <c r="G3" s="182" t="n"/>
      <c r="H3" s="182" t="n"/>
      <c r="I3" s="182" t="n"/>
      <c r="J3" s="182" t="n"/>
      <c r="K3" s="182" t="n"/>
      <c r="L3" s="182" t="n"/>
      <c r="M3" s="182" t="n"/>
      <c r="Q3" s="1691" t="n"/>
    </row>
    <row r="4" ht="12.75" customHeight="1" s="1439">
      <c r="B4" s="169" t="n"/>
      <c r="C4" s="169" t="n"/>
      <c r="D4" s="169" t="n"/>
      <c r="E4" s="13" t="n"/>
      <c r="F4" s="2167" t="n"/>
      <c r="G4" s="347" t="n"/>
      <c r="H4" s="348" t="n"/>
      <c r="I4" s="349" t="n"/>
      <c r="J4" s="2168" t="n"/>
      <c r="K4" s="2169" t="n"/>
      <c r="L4" s="349" t="n"/>
      <c r="M4" s="351" t="n"/>
      <c r="N4" s="1691" t="n"/>
      <c r="O4" s="2170" t="n"/>
      <c r="P4" s="676" t="n"/>
      <c r="Q4" s="2170" t="n"/>
      <c r="R4" s="1691" t="n"/>
      <c r="S4" s="152" t="n"/>
    </row>
    <row r="5" ht="12.75" customHeight="1" s="1439">
      <c r="B5" s="169" t="n"/>
      <c r="C5" s="169" t="n"/>
      <c r="D5" s="169" t="n"/>
      <c r="E5" s="13" t="n"/>
      <c r="F5" s="2167" t="n"/>
      <c r="G5" s="347" t="n"/>
      <c r="H5" s="348" t="n"/>
      <c r="I5" s="349" t="n"/>
      <c r="J5" s="2168" t="n"/>
      <c r="K5" s="2169" t="n"/>
      <c r="L5" s="349" t="n"/>
      <c r="M5" s="351" t="n"/>
      <c r="O5" s="2170" t="n"/>
      <c r="P5" s="676" t="n"/>
      <c r="Q5" s="2170" t="n"/>
      <c r="R5" s="1691" t="n"/>
      <c r="S5" s="152" t="n"/>
    </row>
    <row r="6" ht="12.75" customHeight="1" s="1439">
      <c r="B6" s="169" t="n"/>
      <c r="C6" s="169" t="n"/>
      <c r="D6" s="169" t="n"/>
      <c r="E6" s="345" t="n"/>
      <c r="F6" s="2167" t="n"/>
      <c r="G6" s="352" t="n"/>
      <c r="H6" s="348" t="n"/>
      <c r="I6" s="349" t="n"/>
      <c r="J6" s="2168" t="n"/>
      <c r="K6" s="2169" t="n"/>
      <c r="L6" s="349" t="n"/>
      <c r="M6" s="351" t="n"/>
      <c r="O6" s="2170" t="n"/>
      <c r="P6" s="676" t="n"/>
      <c r="Q6" s="2170" t="n"/>
      <c r="R6" s="1691" t="n"/>
      <c r="S6" s="152" t="n"/>
    </row>
    <row r="7" ht="12.75" customHeight="1" s="1439">
      <c r="B7" s="169" t="n"/>
      <c r="C7" s="169" t="n"/>
      <c r="D7" s="169" t="n"/>
      <c r="E7" s="13" t="n"/>
      <c r="F7" s="2167" t="n"/>
      <c r="G7" s="347" t="n"/>
      <c r="H7" s="348" t="n"/>
      <c r="I7" s="349" t="n"/>
      <c r="J7" s="2168" t="n"/>
      <c r="K7" s="2169" t="n"/>
      <c r="L7" s="349" t="n"/>
      <c r="M7" s="351" t="n"/>
      <c r="O7" s="2170" t="n"/>
      <c r="P7" s="676" t="n"/>
      <c r="Q7" s="2170" t="n"/>
      <c r="R7" s="1691" t="n"/>
      <c r="S7" s="152" t="n"/>
    </row>
    <row r="8" ht="12.75" customHeight="1" s="1439">
      <c r="B8" s="169" t="n"/>
      <c r="C8" s="169" t="n"/>
      <c r="D8" s="169" t="n"/>
      <c r="E8" s="345" t="n"/>
      <c r="F8" s="2167" t="n"/>
      <c r="G8" s="347" t="n"/>
      <c r="H8" s="348" t="n"/>
      <c r="I8" s="349" t="n"/>
      <c r="J8" s="2168" t="n"/>
      <c r="K8" s="2169" t="n"/>
      <c r="L8" s="349" t="n"/>
      <c r="M8" s="351" t="n"/>
      <c r="O8" s="2170" t="n"/>
      <c r="P8" s="676" t="n"/>
      <c r="Q8" s="2170" t="n"/>
      <c r="R8" s="1691" t="n"/>
      <c r="S8" s="152" t="n"/>
    </row>
    <row r="9" ht="12.75" customHeight="1" s="1439">
      <c r="B9" s="169" t="n"/>
      <c r="C9" s="169" t="n"/>
      <c r="D9" s="169" t="n"/>
      <c r="E9" s="13" t="n"/>
      <c r="F9" s="2167" t="n"/>
      <c r="G9" s="347" t="n"/>
      <c r="H9" s="348" t="n"/>
      <c r="I9" s="349" t="n"/>
      <c r="J9" s="2168" t="n"/>
      <c r="K9" s="2169" t="n"/>
      <c r="L9" s="349" t="n"/>
      <c r="M9" s="351" t="n"/>
      <c r="O9" s="2170" t="n"/>
      <c r="P9" s="676" t="n"/>
      <c r="Q9" s="2170" t="n"/>
      <c r="R9" s="1691" t="n"/>
      <c r="S9" s="152" t="n"/>
    </row>
    <row r="10" ht="12.75" customHeight="1" s="1439">
      <c r="B10" s="169" t="n"/>
      <c r="C10" s="169" t="n"/>
      <c r="D10" s="169" t="n"/>
      <c r="E10" s="345" t="n"/>
      <c r="F10" s="2167" t="n"/>
      <c r="G10" s="347" t="n"/>
      <c r="H10" s="348" t="n"/>
      <c r="I10" s="349" t="n"/>
      <c r="J10" s="2168" t="n"/>
      <c r="K10" s="2169" t="n"/>
      <c r="L10" s="349" t="n"/>
      <c r="M10" s="351" t="n"/>
      <c r="O10" s="2170" t="n"/>
      <c r="P10" s="676" t="n"/>
      <c r="Q10" s="2170" t="n"/>
      <c r="R10" s="1691" t="n"/>
      <c r="S10" s="152" t="n"/>
    </row>
    <row r="11" ht="12.75" customHeight="1" s="1439">
      <c r="B11" s="169" t="n"/>
      <c r="C11" s="169" t="n"/>
      <c r="D11" s="169" t="n"/>
      <c r="E11" s="345" t="n"/>
      <c r="F11" s="2167" t="n"/>
      <c r="G11" s="347" t="n"/>
      <c r="H11" s="348" t="n"/>
      <c r="I11" s="349" t="n"/>
      <c r="J11" s="2168" t="n"/>
      <c r="K11" s="2169" t="n"/>
      <c r="L11" s="349" t="n"/>
      <c r="M11" s="351" t="n"/>
      <c r="O11" s="2170" t="n"/>
      <c r="P11" s="676" t="n"/>
      <c r="Q11" s="2170" t="n"/>
      <c r="R11" s="1691" t="n"/>
      <c r="S11" s="152" t="n"/>
    </row>
    <row r="12" hidden="1" ht="12.75" customHeight="1" s="1439">
      <c r="B12" s="169" t="n"/>
      <c r="C12" s="169" t="n"/>
      <c r="D12" s="169" t="n"/>
      <c r="E12" s="13" t="n"/>
      <c r="F12" s="2171" t="n"/>
      <c r="G12" s="271" t="n"/>
      <c r="H12" s="272" t="n"/>
      <c r="I12" s="273" t="n"/>
      <c r="J12" s="2172" t="n"/>
      <c r="K12" s="2173" t="n"/>
      <c r="L12" s="273" t="n"/>
      <c r="M12" s="171" t="n"/>
    </row>
    <row r="13" hidden="1" ht="12.75" customHeight="1" s="1439">
      <c r="B13" s="169" t="n"/>
      <c r="C13" s="169" t="n"/>
      <c r="D13" s="169" t="n"/>
      <c r="E13" s="13" t="n"/>
      <c r="F13" s="2171" t="n"/>
      <c r="G13" s="271" t="n"/>
      <c r="H13" s="271" t="n"/>
      <c r="I13" s="271" t="n"/>
      <c r="J13" s="271" t="n"/>
      <c r="K13" s="271" t="n"/>
      <c r="L13" s="271" t="n"/>
      <c r="M13" s="171" t="n"/>
    </row>
    <row r="14" ht="12.75" customHeight="1" s="1439">
      <c r="B14" s="183" t="inlineStr">
        <is>
          <t xml:space="preserve"> Low</t>
        </is>
      </c>
      <c r="C14" s="183" t="n"/>
      <c r="D14" s="183" t="n"/>
      <c r="E14" s="184" t="n"/>
      <c r="F14" s="184" t="n"/>
      <c r="G14" s="184" t="n"/>
      <c r="H14" s="184" t="n"/>
      <c r="I14" s="184" t="n"/>
      <c r="J14" s="184" t="n"/>
      <c r="K14" s="184" t="n"/>
      <c r="L14" s="184" t="n"/>
      <c r="M14" s="185">
        <f>ROUND(MIN(M4:M13),4)</f>
        <v/>
      </c>
    </row>
    <row r="15" ht="12.75" customHeight="1" s="1439">
      <c r="B15" s="13" t="inlineStr">
        <is>
          <t xml:space="preserve"> High</t>
        </is>
      </c>
      <c r="C15" s="13" t="n"/>
      <c r="D15" s="13" t="n"/>
      <c r="E15" s="186" t="n"/>
      <c r="F15" s="186" t="n"/>
      <c r="G15" s="186" t="n"/>
      <c r="H15" s="186" t="n"/>
      <c r="I15" s="186" t="n"/>
      <c r="J15" s="186" t="n"/>
      <c r="K15" s="186" t="n"/>
      <c r="L15" s="186" t="n"/>
      <c r="M15" s="187">
        <f>ROUND(MAX(M4:M13),4)</f>
        <v/>
      </c>
    </row>
    <row r="16" ht="12.75" customHeight="1" s="1439">
      <c r="B16" s="13" t="inlineStr">
        <is>
          <t xml:space="preserve"> Median</t>
        </is>
      </c>
      <c r="C16" s="13" t="n"/>
      <c r="D16" s="13" t="n"/>
      <c r="E16" s="186" t="n"/>
      <c r="F16" s="186" t="n"/>
      <c r="G16" s="186" t="n"/>
      <c r="H16" s="186" t="n"/>
      <c r="I16" s="186" t="n"/>
      <c r="J16" s="186" t="n"/>
      <c r="K16" s="186" t="n"/>
      <c r="L16" s="186" t="n"/>
      <c r="M16" s="187">
        <f>ROUND(MEDIAN(M4:M13),4)</f>
        <v/>
      </c>
    </row>
    <row r="17" ht="12.75" customHeight="1" s="1439">
      <c r="B17" s="13" t="inlineStr">
        <is>
          <t xml:space="preserve"> Average</t>
        </is>
      </c>
      <c r="C17" s="13" t="n"/>
      <c r="D17" s="13" t="n"/>
      <c r="E17" s="186" t="n"/>
      <c r="F17" s="186" t="n"/>
      <c r="G17" s="186" t="n"/>
      <c r="H17" s="186" t="n"/>
      <c r="I17" s="186" t="n"/>
      <c r="J17" s="186" t="n"/>
      <c r="K17" s="186" t="n"/>
      <c r="L17" s="186" t="n"/>
      <c r="M17" s="187">
        <f>ROUND(AVERAGE(M4:M12),4)</f>
        <v/>
      </c>
    </row>
    <row r="18" ht="12.75" customHeight="1" s="1439">
      <c r="B18" s="188" t="inlineStr">
        <is>
          <t>Appraiser's Concluded Range</t>
        </is>
      </c>
      <c r="C18" s="188" t="n"/>
      <c r="D18" s="188" t="n"/>
      <c r="E18" s="188" t="n"/>
      <c r="F18" s="188" t="n"/>
      <c r="G18" s="188" t="n"/>
      <c r="H18" s="188" t="n"/>
      <c r="I18" s="188" t="n"/>
      <c r="J18" s="188" t="n"/>
      <c r="K18" s="188" t="n"/>
      <c r="L18" s="188" t="n"/>
      <c r="M18" s="189" t="inlineStr">
        <is>
          <t>6.00% - 6.50%</t>
        </is>
      </c>
    </row>
    <row r="20">
      <c r="O20" s="1552" t="inlineStr">
        <is>
          <t>Third Party Surveys - Capitalization Rates</t>
        </is>
      </c>
    </row>
    <row r="21">
      <c r="O21" s="69" t="inlineStr">
        <is>
          <t>Category</t>
        </is>
      </c>
      <c r="P21" s="1640" t="inlineStr">
        <is>
          <t>CoStar</t>
        </is>
      </c>
      <c r="Q21" s="1640" t="inlineStr">
        <is>
          <t>CoStar</t>
        </is>
      </c>
      <c r="R21" s="1640" t="inlineStr">
        <is>
          <t>CoStar</t>
        </is>
      </c>
    </row>
    <row r="22" ht="12.75" customHeight="1" s="1439">
      <c r="O22" s="672" t="inlineStr">
        <is>
          <t>Date of Survey</t>
        </is>
      </c>
      <c r="P22" s="734" t="inlineStr">
        <is>
          <t>1/1/2019-6/30/2020</t>
        </is>
      </c>
      <c r="Q22" s="734" t="inlineStr">
        <is>
          <t>1/1/2019-6/30/2020</t>
        </is>
      </c>
      <c r="R22" s="734" t="inlineStr">
        <is>
          <t>1/1/2019-6/30/2020</t>
        </is>
      </c>
    </row>
    <row r="23" ht="12.75" customHeight="1" s="1439">
      <c r="O23" s="672" t="inlineStr">
        <is>
          <t>Market</t>
        </is>
      </c>
      <c r="P23" s="735" t="inlineStr">
        <is>
          <t>Adams County</t>
        </is>
      </c>
      <c r="Q23" s="735" t="inlineStr">
        <is>
          <t>North Metro Denver</t>
        </is>
      </c>
      <c r="R23" s="734" t="inlineStr">
        <is>
          <t>Denver CBSA</t>
        </is>
      </c>
    </row>
    <row r="24" ht="12.75" customHeight="1" s="1439">
      <c r="O24" s="672" t="inlineStr">
        <is>
          <t>Property Type</t>
        </is>
      </c>
      <c r="P24" s="734" t="inlineStr">
        <is>
          <t>Industrial - 10,000 SF - 50,000 SF</t>
        </is>
      </c>
      <c r="Q24" s="734" t="inlineStr">
        <is>
          <t>Industrial - 10,000 SF - 50,000 SF</t>
        </is>
      </c>
      <c r="R24" s="734" t="inlineStr">
        <is>
          <t>Industrial - 10,000 SF - 50,000 SF</t>
        </is>
      </c>
    </row>
    <row r="25" ht="12.75" customHeight="1" s="1439">
      <c r="O25" s="673" t="inlineStr">
        <is>
          <t>Range Average</t>
        </is>
      </c>
      <c r="P25" s="736" t="inlineStr">
        <is>
          <t>4.0% -8.4%</t>
        </is>
      </c>
      <c r="Q25" s="737" t="inlineStr">
        <is>
          <t xml:space="preserve">4.0% - 10.0% </t>
        </is>
      </c>
      <c r="R25" s="736" t="inlineStr">
        <is>
          <t>4.0% - 11.5%</t>
        </is>
      </c>
    </row>
    <row r="26" ht="12.75" customHeight="1" s="1439">
      <c r="O26" s="674" t="inlineStr">
        <is>
          <t>Average</t>
        </is>
      </c>
      <c r="P26" s="738" t="n">
        <v>0.064</v>
      </c>
      <c r="Q26" s="739" t="n">
        <v>0.066</v>
      </c>
      <c r="R26" s="738" t="n">
        <v>0.06900000000000001</v>
      </c>
    </row>
    <row r="27" hidden="1" ht="12.75" customHeight="1" s="1439">
      <c r="O27" s="232" t="n"/>
      <c r="P27" s="230" t="n"/>
      <c r="Q27" s="231" t="n"/>
    </row>
    <row r="28" hidden="1" ht="12.75" customHeight="1" s="1439">
      <c r="O28" s="232" t="n"/>
      <c r="P28" s="230" t="n"/>
      <c r="Q28" s="231" t="n"/>
    </row>
    <row r="29" hidden="1" ht="12.75" customHeight="1" s="1439">
      <c r="O29" s="232" t="n"/>
      <c r="P29" s="230" t="n"/>
      <c r="Q29" s="231" t="n"/>
    </row>
    <row r="30" ht="12.75" customHeight="1" s="1439">
      <c r="O30" s="229" t="n"/>
      <c r="P30" s="230" t="n"/>
      <c r="Q30" s="231" t="n"/>
    </row>
    <row r="31" ht="12.75" customHeight="1" s="1439">
      <c r="O31" s="232" t="n"/>
      <c r="P31" s="230" t="n"/>
      <c r="Q31" s="231" t="n"/>
    </row>
    <row r="32" hidden="1" ht="12.75" customHeight="1" s="1439">
      <c r="O32" s="232" t="n"/>
      <c r="P32" s="230" t="n"/>
      <c r="Q32" s="231" t="n"/>
    </row>
    <row r="33" hidden="1" ht="12.75" customHeight="1" s="1439">
      <c r="O33" s="232" t="n"/>
      <c r="P33" s="230" t="n"/>
      <c r="Q33" s="231" t="n"/>
    </row>
    <row r="34" hidden="1" ht="12.75" customHeight="1" s="1439">
      <c r="O34" s="229" t="n"/>
      <c r="P34" s="353" t="n"/>
      <c r="Q34" s="354" t="n"/>
    </row>
    <row r="35" hidden="1" ht="12.75" customHeight="1" s="1439">
      <c r="O35" s="232" t="n"/>
      <c r="P35" s="230" t="n"/>
      <c r="Q35" s="231" t="n"/>
    </row>
    <row r="36" hidden="1" ht="12.75" customHeight="1" s="1439">
      <c r="O36" s="232" t="n"/>
      <c r="P36" s="230" t="n"/>
      <c r="Q36" s="231" t="n"/>
    </row>
    <row r="37" ht="12.75" customHeight="1" s="1439">
      <c r="O37" s="233" t="n"/>
      <c r="P37" s="234" t="n"/>
      <c r="Q37" s="189" t="n"/>
    </row>
    <row r="40" ht="15" customHeight="1" s="1439">
      <c r="T40" s="1651" t="inlineStr">
        <is>
          <t>SUMMARY CAPITALIZATION RATE AND CONCLUSION</t>
        </is>
      </c>
    </row>
    <row r="41">
      <c r="T41" s="1" t="inlineStr">
        <is>
          <t>Method</t>
        </is>
      </c>
      <c r="U41" s="235" t="inlineStr">
        <is>
          <t>Capitalization Rate</t>
        </is>
      </c>
    </row>
    <row r="42" hidden="1" s="1439">
      <c r="T42" s="1553" t="inlineStr">
        <is>
          <t>Market Extraction</t>
        </is>
      </c>
      <c r="U42" s="355">
        <f>M18</f>
        <v/>
      </c>
    </row>
    <row r="43" hidden="1" s="1439">
      <c r="T43" s="1553" t="inlineStr">
        <is>
          <t>Investor Surveys</t>
        </is>
      </c>
      <c r="U43" s="355" t="inlineStr">
        <is>
          <t>6.00% - 6.50%</t>
        </is>
      </c>
    </row>
    <row r="44" hidden="1" s="1439">
      <c r="T44" s="1553" t="inlineStr">
        <is>
          <t>Market Participants</t>
        </is>
      </c>
      <c r="U44" s="355">
        <f>iaOARBrokers</f>
        <v/>
      </c>
    </row>
    <row r="45" hidden="1" s="1439">
      <c r="T45" s="1553" t="inlineStr">
        <is>
          <t>Band of Investment</t>
        </is>
      </c>
      <c r="U45" s="355" t="n">
        <v>0.075</v>
      </c>
    </row>
    <row r="46" hidden="1" s="1439">
      <c r="T46" s="1553" t="inlineStr">
        <is>
          <t>DCR</t>
        </is>
      </c>
      <c r="U46" s="355">
        <f>iaOARDCR</f>
        <v/>
      </c>
    </row>
    <row r="47" hidden="1" s="1439">
      <c r="T47" s="3" t="inlineStr">
        <is>
          <t>Primary Weight</t>
        </is>
      </c>
      <c r="U47" s="237" t="inlineStr">
        <is>
          <t>Market Extraction</t>
        </is>
      </c>
    </row>
    <row r="48" hidden="1" s="1439">
      <c r="T48" s="3" t="inlineStr">
        <is>
          <t>Secondary Weight</t>
        </is>
      </c>
      <c r="U48" s="238" t="inlineStr">
        <is>
          <t>Investor Surveys</t>
        </is>
      </c>
    </row>
    <row r="49">
      <c r="T49" s="85" t="inlineStr">
        <is>
          <t>Capitalization Rate Conclusion</t>
        </is>
      </c>
      <c r="U49" s="239" t="n">
        <v>0.0675</v>
      </c>
    </row>
    <row r="52" hidden="1" s="1439"/>
    <row r="53" hidden="1" s="1439">
      <c r="T53" s="1651" t="inlineStr">
        <is>
          <t>LEASE-UP COSTS</t>
        </is>
      </c>
    </row>
    <row r="54" hidden="1" s="1439">
      <c r="T54" s="1" t="inlineStr">
        <is>
          <t>Method</t>
        </is>
      </c>
      <c r="U54" s="235" t="inlineStr">
        <is>
          <t>Capitalization Rate</t>
        </is>
      </c>
    </row>
    <row r="55" hidden="1" ht="12.75" customHeight="1" s="1439">
      <c r="T55" s="298" t="inlineStr">
        <is>
          <t>Preliminary Value</t>
        </is>
      </c>
      <c r="U55" s="2174">
        <f>'IA Values'!G13</f>
        <v/>
      </c>
    </row>
    <row r="56" hidden="1" ht="12.75" customHeight="1" s="1439">
      <c r="T56" s="301" t="inlineStr">
        <is>
          <t>Less: Lost Income</t>
        </is>
      </c>
      <c r="U56" s="2175" t="n">
        <v>166157</v>
      </c>
    </row>
    <row r="57" hidden="1" ht="12.75" customHeight="1" s="1439">
      <c r="T57" s="301" t="inlineStr">
        <is>
          <t>Less: Tenant Finish</t>
        </is>
      </c>
      <c r="U57" s="2175">
        <f>iaOARBrokers</f>
        <v/>
      </c>
    </row>
    <row r="58" hidden="1" ht="12.75" customHeight="1" s="1439">
      <c r="T58" s="301" t="inlineStr">
        <is>
          <t>Less: Leasing Commissions</t>
        </is>
      </c>
      <c r="U58" s="2175" t="n">
        <v>35890</v>
      </c>
    </row>
    <row r="59" hidden="1" ht="12.75" customHeight="1" s="1439">
      <c r="T59" s="298" t="inlineStr">
        <is>
          <t>Total</t>
        </is>
      </c>
      <c r="U59" s="2176">
        <f>SUM(U56:U58)</f>
        <v/>
      </c>
    </row>
    <row r="60" hidden="1" ht="12.75" customHeight="1" s="1439">
      <c r="T60" s="301" t="inlineStr">
        <is>
          <t>Entrepreneurial Profit</t>
        </is>
      </c>
      <c r="U60" s="2175">
        <f>U59*0.1</f>
        <v/>
      </c>
    </row>
    <row r="61" hidden="1" ht="12.75" customHeight="1" s="1439">
      <c r="T61" s="298" t="inlineStr">
        <is>
          <t>Total Deductions</t>
        </is>
      </c>
      <c r="U61" s="2177">
        <f>SUM(U59,U60)</f>
        <v/>
      </c>
    </row>
    <row r="62" hidden="1" ht="12.75" customHeight="1" s="1439">
      <c r="T62" s="304" t="inlineStr">
        <is>
          <t>"As Is" Value</t>
        </is>
      </c>
      <c r="U62" s="2178">
        <f>U55-U61</f>
        <v/>
      </c>
    </row>
    <row r="63" hidden="1" s="1439">
      <c r="T63" s="85" t="inlineStr">
        <is>
          <t>Rounded Value</t>
        </is>
      </c>
      <c r="U63" s="2179" t="n">
        <v>1350000</v>
      </c>
    </row>
    <row r="64" hidden="1" s="1439"/>
  </sheetData>
  <mergeCells count="4">
    <mergeCell ref="B2:M2"/>
    <mergeCell ref="T53:U53"/>
    <mergeCell ref="O20:R20"/>
    <mergeCell ref="T40:U40"/>
  </mergeCell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2:K24"/>
  <sheetViews>
    <sheetView showGridLines="0" workbookViewId="0">
      <selection activeCell="E12" sqref="E12:E13"/>
    </sheetView>
  </sheetViews>
  <sheetFormatPr baseColWidth="8" defaultRowHeight="15"/>
  <cols>
    <col width="45.85546875" customWidth="1" style="1439" min="1" max="1"/>
    <col width="22.85546875" customWidth="1" style="1439" min="2" max="2"/>
    <col width="40.7109375" customWidth="1" style="1439" min="5" max="5"/>
    <col width="13.5703125" bestFit="1" customWidth="1" style="1439" min="10" max="10"/>
  </cols>
  <sheetData>
    <row r="2">
      <c r="K2" s="356">
        <f>'Property Info'!B6</f>
        <v/>
      </c>
    </row>
    <row r="3" ht="15.75" customHeight="1" s="1439">
      <c r="E3" s="1552" t="inlineStr">
        <is>
          <t>DIRECT CAPITALIZATION METHOD VALUE CONCLUSION - AS IS</t>
        </is>
      </c>
    </row>
    <row r="4" ht="12.75" customHeight="1" s="1439">
      <c r="E4" s="221" t="inlineStr">
        <is>
          <t>Net Operating Income (NOI)</t>
        </is>
      </c>
      <c r="F4" s="221" t="n"/>
      <c r="G4" s="2180">
        <f>'Income Approach'!D47</f>
        <v/>
      </c>
      <c r="H4" s="2181">
        <f>G4/K2</f>
        <v/>
      </c>
    </row>
    <row r="5" ht="12.75" customHeight="1" s="1439">
      <c r="E5" s="2182" t="n">
        <v>0.0025</v>
      </c>
      <c r="F5" s="2182" t="n"/>
      <c r="G5" s="224" t="inlineStr">
        <is>
          <t>Value</t>
        </is>
      </c>
      <c r="H5" s="224" t="inlineStr">
        <is>
          <t>$/SF</t>
        </is>
      </c>
    </row>
    <row r="6" ht="12.75" customHeight="1" s="1439">
      <c r="E6" s="2183" t="inlineStr">
        <is>
          <t>Based on Low-Range of 7.25%</t>
        </is>
      </c>
      <c r="F6" s="2183" t="n"/>
      <c r="G6" s="2184">
        <f>G4/('Cap Rate Lease-Up'!U49-0.0025)</f>
        <v/>
      </c>
      <c r="H6" s="2185">
        <f>G6/K2</f>
        <v/>
      </c>
      <c r="J6" s="1692" t="n"/>
    </row>
    <row r="7" ht="12.75" customHeight="1" s="1439">
      <c r="E7" s="2186" t="inlineStr">
        <is>
          <t>Based on Most Probable Range of 7.50%</t>
        </is>
      </c>
      <c r="F7" s="2187" t="n"/>
      <c r="G7" s="2184">
        <f>G4/'Cap Rate Lease-Up'!U49</f>
        <v/>
      </c>
      <c r="H7" s="2185">
        <f>G7/K2</f>
        <v/>
      </c>
      <c r="J7" s="1692" t="n"/>
    </row>
    <row r="8" ht="12.75" customHeight="1" s="1439">
      <c r="E8" s="2188" t="inlineStr">
        <is>
          <t>Based on High-Range of 7.75%</t>
        </is>
      </c>
      <c r="F8" s="2188" t="n"/>
      <c r="G8" s="2184">
        <f>G4/('Cap Rate Lease-Up'!U49+0.0025)</f>
        <v/>
      </c>
      <c r="H8" s="2185">
        <f>G8/K2</f>
        <v/>
      </c>
      <c r="J8" s="1692" t="n"/>
    </row>
    <row r="9" hidden="1" ht="12.75" customHeight="1" s="1439">
      <c r="E9" s="215" t="n"/>
      <c r="F9" s="215" t="n"/>
      <c r="G9" s="2189" t="n"/>
      <c r="H9" s="215" t="n"/>
    </row>
    <row r="10" hidden="1" ht="12.75" customHeight="1" s="1439">
      <c r="E10" s="170">
        <f>IF(SUM(G11:G11)=0,"HIDE THIS ROW IF NO DEFERRED MAINTENANCE", "Indicated Value")</f>
        <v/>
      </c>
      <c r="F10" s="170" t="n"/>
      <c r="G10" s="2184">
        <f>G7</f>
        <v/>
      </c>
      <c r="H10" s="217" t="n"/>
    </row>
    <row r="11" hidden="1" ht="12.75" customHeight="1" s="1439">
      <c r="E11" s="218">
        <f>IF(G11=0,"HIDE THIS ROW IF NO DEFERRED MAINTENANCE","Less: Deferred Maintenance")</f>
        <v/>
      </c>
      <c r="F11" s="218" t="n"/>
      <c r="G11" s="2190">
        <f>-caDeferredMaint</f>
        <v/>
      </c>
      <c r="H11" s="217" t="n"/>
    </row>
    <row r="12" ht="12.75" customHeight="1" s="1439">
      <c r="E12" s="190">
        <f>IF(G11=0,"Reconciled Value","Reconciled Value - Adjusted")</f>
        <v/>
      </c>
      <c r="F12" s="190" t="n"/>
      <c r="G12" s="2191">
        <f>SUM(G10:G11)</f>
        <v/>
      </c>
      <c r="H12" s="2192">
        <f>G12/K2</f>
        <v/>
      </c>
    </row>
    <row r="13" ht="12.75" customHeight="1" s="1439">
      <c r="E13" s="2193" t="n">
        <v>5000</v>
      </c>
      <c r="F13" s="2194" t="n"/>
      <c r="G13" s="2195">
        <f>ROUND((G12/E13),0)*E13</f>
        <v/>
      </c>
      <c r="H13" s="2196">
        <f>G13/K2</f>
        <v/>
      </c>
    </row>
    <row r="15">
      <c r="H15" s="1692" t="n"/>
    </row>
    <row r="16">
      <c r="A16" s="1552" t="inlineStr">
        <is>
          <t>DEDUCTIONS TO REACH AN AS IS VALUE</t>
        </is>
      </c>
    </row>
    <row r="17">
      <c r="A17" s="1553" t="inlineStr">
        <is>
          <t>Indicated Value UPON COMPLETION</t>
        </is>
      </c>
      <c r="B17" s="2197">
        <f>G13</f>
        <v/>
      </c>
      <c r="H17" s="358" t="n"/>
    </row>
    <row r="18">
      <c r="A18" s="1553" t="inlineStr">
        <is>
          <t>Remaining Capital Improvements</t>
        </is>
      </c>
      <c r="B18" s="2197" t="n">
        <v>-354600</v>
      </c>
    </row>
    <row r="19">
      <c r="A19" s="1553" t="inlineStr">
        <is>
          <t>Entrepreneurial Incentive (15% of Total Construction Costs)</t>
        </is>
      </c>
      <c r="B19" s="2197" t="n">
        <v>-59100</v>
      </c>
    </row>
    <row r="20" hidden="1" s="1439">
      <c r="A20" s="190">
        <f>IF(B21=0,"HIDE THIS ROW IF NO DEFERRED MAINTENANCE", "Indicated Value")</f>
        <v/>
      </c>
      <c r="B20" s="2189" t="n">
        <v>0</v>
      </c>
    </row>
    <row r="21" hidden="1" s="1439">
      <c r="A21" s="14">
        <f>IF(B21=0,"HIDE THIS ROW IF NO DEFERRED MAINTENANCE","Less: Deferred Maintenance")</f>
        <v/>
      </c>
      <c r="B21" s="200" t="n">
        <v>0</v>
      </c>
    </row>
    <row r="22">
      <c r="A22" s="202" t="inlineStr">
        <is>
          <t>Indicated Value AS IS</t>
        </is>
      </c>
      <c r="B22" s="2191">
        <f>SUM(B17:B19)</f>
        <v/>
      </c>
    </row>
    <row r="23">
      <c r="A23" s="2198" t="inlineStr">
        <is>
          <t>Indicated Value AS IS</t>
        </is>
      </c>
      <c r="B23" s="2199">
        <f>MROUND(B22,5000)</f>
        <v/>
      </c>
    </row>
    <row r="24">
      <c r="A24" s="205" t="inlineStr">
        <is>
          <t>Per SF</t>
        </is>
      </c>
      <c r="B24" s="2200">
        <f>B23/3112</f>
        <v/>
      </c>
    </row>
  </sheetData>
  <mergeCells count="2">
    <mergeCell ref="E3:H3"/>
    <mergeCell ref="A16:B16"/>
  </mergeCells>
  <conditionalFormatting sqref="A20">
    <cfRule type="expression" priority="2" dxfId="0" stopIfTrue="1">
      <formula>SUM(B21:B21)=0</formula>
    </cfRule>
  </conditionalFormatting>
  <conditionalFormatting sqref="A21">
    <cfRule type="expression" priority="1" dxfId="2">
      <formula>B21=0</formula>
    </cfRule>
  </conditionalFormatting>
  <conditionalFormatting sqref="E10:F10">
    <cfRule type="expression" priority="4" dxfId="0" stopIfTrue="1">
      <formula>SUM(G11:G11)=0</formula>
    </cfRule>
  </conditionalFormatting>
  <conditionalFormatting sqref="E11:F11">
    <cfRule type="expression" priority="3" dxfId="0" stopIfTrue="1">
      <formula>$D$48=0</formula>
    </cfRule>
  </conditionalFormatting>
  <dataValidations count="5">
    <dataValidation sqref="B21" showDropDown="0" showInputMessage="1" showErrorMessage="1" allowBlank="1" promptTitle="Adjustment #2" prompt="Input adjustment to calculated value—default link to Deferred Maintenance entered in Cost Approach."/>
    <dataValidation sqref="G11" showDropDown="0" showInputMessage="1" showErrorMessage="1" allowBlank="1" promptTitle="Adjustment #2" prompt="Input adjustment to calculated value—default link to Deferred Maintenance entered in Cost Approach (Cell F44)."/>
    <dataValidation sqref="E5" showDropDown="0" showInputMessage="1" showErrorMessage="1" allowBlank="1" prompt="Enter capitalization rate spread.  Example 0.25.  Only value is needed.  Text will autopopulate.  Will also autopopulate cell B44 and B46."/>
    <dataValidation sqref="E7" showDropDown="0" showInputMessage="1" showErrorMessage="1" allowBlank="1" prompt="Autopopulates with the concluded capitalization rate from the CapRates tab Cell C13."/>
    <dataValidation sqref="E13" showDropDown="0" showInputMessage="1" showErrorMessage="1" allowBlank="1" prompt="Enter how you want value to round.  Example:  100,000, or 50,000.  Only number is needed.  Text will autopopulate."/>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2:V80"/>
  <sheetViews>
    <sheetView showGridLines="0" topLeftCell="A7" zoomScale="136" zoomScaleNormal="136" workbookViewId="0">
      <selection activeCell="H14" sqref="H14"/>
    </sheetView>
  </sheetViews>
  <sheetFormatPr baseColWidth="8" defaultColWidth="9.140625" defaultRowHeight="15"/>
  <cols>
    <col width="37.140625" bestFit="1" customWidth="1" style="1550" min="1" max="1"/>
    <col width="7.7109375" bestFit="1" customWidth="1" style="2201" min="2" max="2"/>
    <col width="14.42578125" customWidth="1" style="2201" min="3" max="3"/>
    <col width="14.140625" customWidth="1" style="2201" min="4" max="4"/>
    <col width="9.42578125" bestFit="1" customWidth="1" style="2201" min="5" max="5"/>
    <col width="4.7109375" bestFit="1" customWidth="1" style="2201" min="6" max="6"/>
    <col width="28" bestFit="1" customWidth="1" style="2201" min="7" max="7"/>
    <col width="9.28515625" bestFit="1" customWidth="1" style="2201" min="8" max="8"/>
    <col width="2.5703125" customWidth="1" style="2201" min="9" max="9"/>
    <col width="7" customWidth="1" style="2201" min="10" max="10"/>
    <col width="10.28515625" bestFit="1" customWidth="1" style="2201" min="11" max="11"/>
    <col width="2.42578125" customWidth="1" style="2201" min="12" max="12"/>
    <col width="6.28515625" bestFit="1" customWidth="1" style="2201" min="13" max="13"/>
    <col width="10.28515625" bestFit="1" customWidth="1" style="2201" min="14" max="14"/>
    <col width="1.140625" customWidth="1" style="2201" min="15" max="15"/>
    <col width="15.5703125" customWidth="1" style="1550" min="16" max="16"/>
    <col width="9.140625" customWidth="1" style="1550" min="17" max="17"/>
    <col width="8.85546875" customWidth="1" style="1550" min="18" max="18"/>
    <col hidden="1" width="25.5703125" customWidth="1" style="1550" min="19" max="19"/>
    <col hidden="1" width="18.42578125" customWidth="1" style="1550" min="20" max="20"/>
    <col hidden="1" width="19.140625" customWidth="1" style="1550" min="21" max="21"/>
    <col hidden="1" width="16.28515625" customWidth="1" style="1550" min="22" max="22"/>
    <col width="9.140625" customWidth="1" style="1550" min="23" max="23"/>
    <col width="25.5703125" customWidth="1" style="1550" min="24" max="24"/>
    <col width="5.42578125" customWidth="1" style="1550" min="25" max="25"/>
    <col width="11.28515625" customWidth="1" style="1550" min="26" max="26"/>
    <col width="9.7109375" customWidth="1" style="1550" min="27" max="27"/>
    <col width="9.140625" customWidth="1" style="1550" min="28" max="28"/>
    <col width="9.140625" customWidth="1" style="1550" min="29" max="16384"/>
  </cols>
  <sheetData>
    <row r="1" ht="7.5" customHeight="1" s="1439"/>
    <row r="2">
      <c r="A2" s="1550" t="inlineStr">
        <is>
          <t>Subject's Total SF Area</t>
        </is>
      </c>
      <c r="B2" s="913">
        <f>FE!C14</f>
        <v/>
      </c>
      <c r="C2" s="914" t="inlineStr">
        <is>
          <t>←</t>
        </is>
      </c>
    </row>
    <row r="3">
      <c r="G3" s="1661" t="inlineStr">
        <is>
          <t>POTENTIAL GROSS RENTAL INCOME</t>
        </is>
      </c>
    </row>
    <row r="4">
      <c r="A4" s="1145" t="inlineStr">
        <is>
          <t>Use only if comparing contract to market rent. Hide for owner-user buildings→</t>
        </is>
      </c>
      <c r="B4" s="1140" t="n"/>
      <c r="C4" s="1140" t="n"/>
      <c r="D4" s="1140" t="n"/>
      <c r="E4" s="1140" t="n"/>
      <c r="F4" s="1140" t="n"/>
      <c r="G4" s="1038" t="n"/>
      <c r="H4" s="829" t="inlineStr">
        <is>
          <t>Area</t>
        </is>
      </c>
      <c r="I4" s="829" t="n"/>
      <c r="J4" s="1666" t="inlineStr">
        <is>
          <t>Contract Rent</t>
        </is>
      </c>
      <c r="K4" s="1458" t="n"/>
      <c r="L4" s="829" t="n"/>
      <c r="M4" s="1666" t="inlineStr">
        <is>
          <t>Market Rent</t>
        </is>
      </c>
      <c r="N4" s="1458" t="n"/>
      <c r="O4" s="829" t="n"/>
    </row>
    <row r="5">
      <c r="G5" s="1370" t="inlineStr">
        <is>
          <t>Tenant</t>
        </is>
      </c>
      <c r="H5" s="1369" t="inlineStr">
        <is>
          <t>Total (SF)</t>
        </is>
      </c>
      <c r="I5" s="1369" t="n"/>
      <c r="J5" s="1369" t="inlineStr">
        <is>
          <t>$/SF</t>
        </is>
      </c>
      <c r="K5" s="1369" t="inlineStr">
        <is>
          <t>Annl. Rent</t>
        </is>
      </c>
      <c r="L5" s="1369" t="n"/>
      <c r="M5" s="1369" t="inlineStr">
        <is>
          <t>$/SF</t>
        </is>
      </c>
      <c r="N5" s="1369" t="inlineStr">
        <is>
          <t>Annl. Rent</t>
        </is>
      </c>
      <c r="O5" s="1369" t="n"/>
    </row>
    <row r="6" ht="15" customHeight="1" s="1439">
      <c r="G6" s="2202">
        <f>LA!C3</f>
        <v/>
      </c>
      <c r="H6" s="1040">
        <f>FE!C14</f>
        <v/>
      </c>
      <c r="I6" s="1040" t="n"/>
      <c r="J6" s="2203">
        <f>LA!C11</f>
        <v/>
      </c>
      <c r="K6" s="2204">
        <f>LA!C10</f>
        <v/>
      </c>
      <c r="L6" s="2205" t="n"/>
      <c r="M6" s="2203">
        <f>C11</f>
        <v/>
      </c>
      <c r="N6" s="2204">
        <f>H6*M6</f>
        <v/>
      </c>
      <c r="O6" s="2203" t="n"/>
    </row>
    <row r="7">
      <c r="B7" s="913" t="n"/>
      <c r="G7" s="1550" t="n"/>
      <c r="H7" s="1550" t="n"/>
      <c r="I7" s="1550" t="n"/>
      <c r="J7" s="1550" t="n"/>
      <c r="K7" s="1550" t="n"/>
      <c r="L7" s="1550" t="n"/>
      <c r="M7" s="1550" t="n"/>
      <c r="N7" s="1550" t="n"/>
      <c r="O7" s="1550" t="n"/>
    </row>
    <row r="8">
      <c r="A8" s="1654" t="inlineStr">
        <is>
          <t>PGRI – MARKET RENTS</t>
        </is>
      </c>
      <c r="E8" s="1656" t="n"/>
      <c r="F8" s="916" t="n"/>
      <c r="G8" s="1550" t="n"/>
      <c r="H8" s="1550" t="n"/>
      <c r="I8" s="1550" t="n"/>
      <c r="J8" s="1550" t="n"/>
      <c r="K8" s="1550" t="n"/>
      <c r="L8" s="1550" t="n"/>
      <c r="M8" s="1550" t="n"/>
      <c r="N8" s="1550" t="n"/>
      <c r="O8" s="1550" t="n"/>
    </row>
    <row r="9">
      <c r="A9" s="917" t="inlineStr">
        <is>
          <t>Space Type</t>
        </is>
      </c>
      <c r="B9" s="1618" t="inlineStr">
        <is>
          <t>SF</t>
        </is>
      </c>
      <c r="C9" s="1618" t="inlineStr">
        <is>
          <t>Rent PSF</t>
        </is>
      </c>
      <c r="D9" s="1618" t="inlineStr">
        <is>
          <t>PGRI</t>
        </is>
      </c>
      <c r="F9" s="916" t="n"/>
      <c r="G9" s="916" t="n"/>
      <c r="H9" s="916" t="n"/>
      <c r="I9" s="916" t="n"/>
      <c r="J9" s="916" t="n"/>
      <c r="K9" s="916" t="n"/>
      <c r="L9" s="916" t="n"/>
      <c r="M9" s="916" t="n"/>
    </row>
    <row r="10">
      <c r="A10" s="918" t="n"/>
      <c r="B10" s="916" t="n"/>
      <c r="C10" s="916" t="n"/>
      <c r="D10" s="916" t="n"/>
      <c r="E10" s="916" t="n"/>
      <c r="F10" s="916" t="n"/>
      <c r="G10" s="916" t="n"/>
      <c r="H10" s="916" t="n"/>
      <c r="I10" s="916" t="n"/>
      <c r="J10" s="916" t="n"/>
      <c r="K10" s="916" t="n"/>
      <c r="L10" s="916" t="n"/>
      <c r="M10" s="916" t="n"/>
    </row>
    <row r="11">
      <c r="A11" s="919">
        <f>'Property Info'!B15</f>
        <v/>
      </c>
      <c r="B11" s="920" t="n">
        <v>3320</v>
      </c>
      <c r="C11" s="2206" t="n">
        <v>121.5</v>
      </c>
      <c r="D11" s="2207">
        <f>C11*B11</f>
        <v/>
      </c>
      <c r="E11" s="1599" t="n"/>
      <c r="F11" s="2208" t="n"/>
      <c r="G11" s="2208" t="n"/>
      <c r="H11" s="2208" t="n"/>
      <c r="I11" s="2208" t="n"/>
      <c r="J11" s="2208" t="n"/>
      <c r="K11" s="2208" t="n"/>
      <c r="L11" s="2208" t="n"/>
      <c r="M11" s="2208" t="n"/>
    </row>
    <row r="12" ht="6.75" customHeight="1" s="1439">
      <c r="A12" s="922" t="n"/>
      <c r="B12" s="923" t="n"/>
      <c r="C12" s="2209" t="n"/>
      <c r="D12" s="2208" t="n"/>
      <c r="E12" s="2208" t="n"/>
      <c r="F12" s="2208" t="n"/>
      <c r="G12" s="2208" t="n"/>
      <c r="H12" s="2208" t="n"/>
      <c r="I12" s="2208" t="n"/>
      <c r="J12" s="2208" t="n"/>
      <c r="K12" s="2208" t="n"/>
      <c r="L12" s="2208" t="n"/>
      <c r="M12" s="2208" t="n"/>
    </row>
    <row r="13">
      <c r="A13" s="1688" t="inlineStr">
        <is>
          <t>VACANCY AND COLLECTION LOSS</t>
        </is>
      </c>
      <c r="G13" s="1550" t="n"/>
      <c r="H13" s="1550" t="n"/>
      <c r="I13" s="1550" t="n"/>
      <c r="J13" s="1550" t="n"/>
      <c r="K13" s="1550" t="n"/>
      <c r="L13" s="1550" t="n"/>
      <c r="M13" s="1550" t="n"/>
      <c r="N13" s="1550" t="n"/>
      <c r="O13" s="1550" t="n"/>
    </row>
    <row r="14">
      <c r="A14" s="1683" t="inlineStr">
        <is>
          <t>Source</t>
        </is>
      </c>
      <c r="D14" s="1689" t="inlineStr">
        <is>
          <t>Rate</t>
        </is>
      </c>
      <c r="G14" s="1550" t="n"/>
      <c r="H14" s="1550" t="n"/>
      <c r="I14" s="1550" t="n"/>
      <c r="J14" s="1550" t="n"/>
      <c r="K14" s="1550" t="n"/>
      <c r="L14" s="1550" t="n"/>
      <c r="M14" s="1550" t="n"/>
      <c r="N14" s="1550" t="n"/>
      <c r="O14" s="1550" t="n"/>
    </row>
    <row r="15" ht="15" customHeight="1" s="1439">
      <c r="A15" s="1657" t="inlineStr">
        <is>
          <t>CoStar - Denver CBSA - Industrial 20,000 SF - 50,000 SF- Q1 2019-Q2 2020</t>
        </is>
      </c>
      <c r="D15" s="1672" t="n">
        <v>0.043</v>
      </c>
      <c r="G15" s="914" t="n"/>
      <c r="H15" s="1550" t="n"/>
      <c r="I15" s="1550" t="n"/>
      <c r="J15" s="1550" t="n"/>
      <c r="K15" s="1550" t="n"/>
      <c r="L15" s="1550" t="n"/>
      <c r="M15" s="1550" t="n"/>
    </row>
    <row r="16" ht="15" customHeight="1" s="1439">
      <c r="A16" s="1657" t="inlineStr">
        <is>
          <t>CoStar - Adams County - Industrial - Q1 2019-Q2 2020</t>
        </is>
      </c>
      <c r="D16" s="1686" t="n">
        <v>0.07000000000000001</v>
      </c>
      <c r="E16" s="1458" t="n"/>
      <c r="G16" s="914" t="n"/>
      <c r="H16" s="1550" t="n"/>
      <c r="I16" s="1550" t="n"/>
      <c r="J16" s="1550" t="n"/>
      <c r="K16" s="1550" t="n"/>
      <c r="L16" s="1550" t="n"/>
      <c r="M16" s="1550" t="n"/>
    </row>
    <row r="17" hidden="1" ht="15" customHeight="1" s="1439">
      <c r="A17" s="925" t="n"/>
      <c r="B17" s="2210" t="n"/>
      <c r="C17" s="927" t="n"/>
      <c r="D17" s="928" t="n"/>
      <c r="E17" s="611" t="n"/>
      <c r="G17" s="914" t="n"/>
      <c r="H17" s="1550" t="n"/>
      <c r="I17" s="1550" t="n"/>
      <c r="J17" s="1550" t="n"/>
      <c r="K17" s="1550" t="n"/>
      <c r="L17" s="1550" t="n"/>
      <c r="M17" s="1550" t="n"/>
    </row>
    <row r="18" hidden="1" ht="15" customHeight="1" s="1439">
      <c r="A18" s="925" t="n"/>
      <c r="B18" s="2210" t="n"/>
      <c r="C18" s="927" t="n"/>
      <c r="D18" s="929" t="n"/>
      <c r="E18" s="611" t="n"/>
      <c r="G18" s="914" t="n"/>
      <c r="H18" s="1550" t="n"/>
      <c r="I18" s="1550" t="n"/>
      <c r="J18" s="1550" t="n"/>
      <c r="K18" s="1550" t="n"/>
      <c r="L18" s="1550" t="n"/>
      <c r="M18" s="1550" t="n"/>
    </row>
    <row r="19" hidden="1" ht="15" customHeight="1" s="1439">
      <c r="A19" s="925" t="n"/>
      <c r="B19" s="2210" t="n"/>
      <c r="C19" s="927" t="n"/>
      <c r="D19" s="929" t="n"/>
      <c r="E19" s="611" t="n"/>
      <c r="G19" s="914" t="n"/>
      <c r="H19" s="1550" t="n"/>
      <c r="I19" s="1550" t="n"/>
      <c r="J19" s="1550" t="n"/>
      <c r="K19" s="1550" t="n"/>
      <c r="L19" s="1550" t="n"/>
      <c r="M19" s="1550" t="n"/>
    </row>
    <row r="20" hidden="1" ht="15" customHeight="1" s="1439">
      <c r="A20" s="930" t="n"/>
      <c r="B20" s="2210" t="n"/>
      <c r="C20" s="927" t="n"/>
      <c r="D20" s="931" t="n"/>
      <c r="E20" s="611" t="n"/>
      <c r="G20" s="914" t="n"/>
      <c r="H20" s="1550" t="n"/>
      <c r="I20" s="1550" t="n"/>
      <c r="J20" s="1550" t="n"/>
      <c r="K20" s="1550" t="n"/>
      <c r="L20" s="1550" t="n"/>
      <c r="M20" s="1550" t="n"/>
    </row>
    <row r="21">
      <c r="A21" s="1662" t="inlineStr">
        <is>
          <t>Range</t>
        </is>
      </c>
      <c r="B21" s="1468" t="n"/>
      <c r="C21" s="1468" t="n"/>
      <c r="D21" s="1678">
        <f>TEXT(MIN(D15:D20),"0.00%")&amp;" to "&amp;TEXT(MAX(D15:D20),"0.00%")</f>
        <v/>
      </c>
      <c r="F21" s="2211" t="n"/>
      <c r="G21" s="362" t="n"/>
      <c r="H21" s="1550" t="n"/>
      <c r="I21" s="1550" t="n"/>
      <c r="J21" s="1550" t="n"/>
      <c r="K21" s="1550" t="n"/>
      <c r="L21" s="1550" t="n"/>
      <c r="M21" s="1550" t="n"/>
    </row>
    <row r="22">
      <c r="A22" s="1684" t="inlineStr">
        <is>
          <t>Concluded Overall Vacancy Rate</t>
        </is>
      </c>
      <c r="B22" s="1458" t="n"/>
      <c r="C22" s="1458" t="n"/>
      <c r="D22" s="1687" t="n">
        <v>0.06</v>
      </c>
      <c r="E22" s="1458" t="n"/>
      <c r="F22" s="2212" t="inlineStr">
        <is>
          <t>←Change</t>
        </is>
      </c>
      <c r="G22" s="1373" t="n"/>
      <c r="H22" s="1550" t="n"/>
      <c r="I22" s="1550" t="n"/>
      <c r="J22" s="1550" t="n"/>
      <c r="K22" s="1550" t="n"/>
      <c r="L22" s="1550" t="n"/>
      <c r="M22" s="1550" t="n"/>
    </row>
    <row r="23" ht="5.25" customHeight="1" s="1439">
      <c r="B23" s="1550" t="n"/>
      <c r="C23" s="1550" t="n"/>
      <c r="D23" s="1550" t="n"/>
      <c r="E23" s="1550" t="n"/>
      <c r="F23" s="1550" t="n"/>
      <c r="G23" s="1550" t="n"/>
      <c r="H23" s="1550" t="n"/>
      <c r="I23" s="1550" t="n"/>
      <c r="J23" s="1550" t="n"/>
      <c r="K23" s="1550" t="n"/>
      <c r="L23" s="1550" t="n"/>
      <c r="M23" s="1550" t="n"/>
    </row>
    <row r="24">
      <c r="A24" s="1545" t="inlineStr">
        <is>
          <t>EXPENSES IN TIME OF VACANCY</t>
        </is>
      </c>
      <c r="F24" s="1550" t="n"/>
      <c r="G24" s="1550" t="n"/>
      <c r="H24" s="1550" t="n"/>
      <c r="I24" s="1550" t="n"/>
      <c r="J24" s="1550" t="n"/>
      <c r="K24" s="1550" t="n"/>
      <c r="L24" s="1550" t="n"/>
      <c r="M24" s="1550" t="n"/>
    </row>
    <row r="25">
      <c r="A25" s="932" t="inlineStr">
        <is>
          <t>Expense</t>
        </is>
      </c>
      <c r="B25" s="932" t="n"/>
      <c r="C25" s="933" t="inlineStr">
        <is>
          <t>PSF</t>
        </is>
      </c>
      <c r="D25" s="1658" t="inlineStr">
        <is>
          <t>Total</t>
        </is>
      </c>
      <c r="E25" s="1458" t="n"/>
      <c r="F25" s="1550" t="n"/>
      <c r="G25" s="1550" t="n"/>
      <c r="M25" s="1550" t="n"/>
    </row>
    <row r="26">
      <c r="A26" s="1550" t="inlineStr">
        <is>
          <t>Real Estate Taxes</t>
        </is>
      </c>
      <c r="B26" s="1550" t="n"/>
      <c r="C26" s="2213">
        <f>D26/$B$11</f>
        <v/>
      </c>
      <c r="D26" s="2214" t="n">
        <v>112047.03</v>
      </c>
      <c r="E26" s="1468" t="n"/>
      <c r="F26" s="2215" t="inlineStr">
        <is>
          <t>←</t>
        </is>
      </c>
      <c r="G26" s="1550" t="inlineStr">
        <is>
          <t xml:space="preserve">Actual </t>
        </is>
      </c>
      <c r="M26" s="1550" t="n"/>
      <c r="N26" s="1550" t="n"/>
      <c r="O26" s="1550" t="n"/>
    </row>
    <row r="27">
      <c r="A27" s="1550" t="inlineStr">
        <is>
          <t>Insurance</t>
        </is>
      </c>
      <c r="B27" s="1550" t="n"/>
      <c r="C27" s="2216" t="n">
        <v>1.5</v>
      </c>
      <c r="D27" s="2217">
        <f>C27*$B$2</f>
        <v/>
      </c>
      <c r="F27" s="936" t="inlineStr">
        <is>
          <t>←</t>
        </is>
      </c>
      <c r="G27" s="1550" t="inlineStr">
        <is>
          <t>Estimated</t>
        </is>
      </c>
      <c r="H27" s="1550" t="n"/>
      <c r="I27" s="1550" t="n"/>
      <c r="J27" s="1550" t="n"/>
      <c r="K27" s="1550" t="n"/>
      <c r="L27" s="1550" t="n"/>
      <c r="M27" s="1550" t="n"/>
      <c r="N27" s="1550" t="n"/>
      <c r="O27" s="1550" t="n"/>
    </row>
    <row r="28">
      <c r="A28" s="937" t="inlineStr">
        <is>
          <t>Utilities</t>
        </is>
      </c>
      <c r="B28" s="1550" t="n"/>
      <c r="C28" s="2216" t="n">
        <v>1.75</v>
      </c>
      <c r="D28" s="2217">
        <f>C28*$B$2</f>
        <v/>
      </c>
      <c r="F28" s="936" t="inlineStr">
        <is>
          <t>←</t>
        </is>
      </c>
      <c r="G28" s="1550" t="inlineStr">
        <is>
          <t>Estimated</t>
        </is>
      </c>
      <c r="H28" s="1550" t="n"/>
      <c r="I28" s="1550" t="n"/>
      <c r="J28" s="1550" t="n"/>
      <c r="K28" s="1550" t="n"/>
      <c r="L28" s="1550" t="n"/>
      <c r="M28" s="1550" t="n"/>
      <c r="N28" s="1550" t="n"/>
      <c r="O28" s="1550" t="n"/>
    </row>
    <row r="29">
      <c r="A29" s="937" t="inlineStr">
        <is>
          <t>CAM Repairs and Maintenance</t>
        </is>
      </c>
      <c r="B29" s="1550" t="n"/>
      <c r="C29" s="2216" t="n">
        <v>2.5</v>
      </c>
      <c r="D29" s="2217">
        <f>C29*$B$2</f>
        <v/>
      </c>
      <c r="F29" s="936" t="inlineStr">
        <is>
          <t>←</t>
        </is>
      </c>
      <c r="G29" s="1550" t="inlineStr">
        <is>
          <t>Estimated</t>
        </is>
      </c>
      <c r="H29" s="1550" t="n"/>
      <c r="I29" s="1550" t="n"/>
      <c r="J29" s="1550" t="n"/>
      <c r="K29" s="1550" t="n"/>
      <c r="L29" s="1550" t="n"/>
      <c r="M29" s="1550" t="n"/>
      <c r="N29" s="1550" t="n"/>
      <c r="O29" s="1550" t="n"/>
    </row>
    <row r="30">
      <c r="A30" s="937" t="inlineStr">
        <is>
          <t>Management</t>
        </is>
      </c>
      <c r="B30" s="1550" t="n"/>
      <c r="C30" s="2213">
        <f>D30/$B$11</f>
        <v/>
      </c>
      <c r="D30" s="2218">
        <f>D42*0.03</f>
        <v/>
      </c>
      <c r="E30" s="1458" t="n"/>
      <c r="F30" s="936" t="inlineStr">
        <is>
          <t>←</t>
        </is>
      </c>
      <c r="G30" s="1550" t="inlineStr">
        <is>
          <t>3% EGI</t>
        </is>
      </c>
      <c r="H30" s="1550" t="n"/>
      <c r="I30" s="1550" t="n"/>
      <c r="J30" s="1550" t="n"/>
      <c r="K30" s="1550" t="n"/>
      <c r="L30" s="1550" t="n"/>
      <c r="M30" s="1550" t="n"/>
      <c r="N30" s="1550" t="n"/>
      <c r="O30" s="1550" t="n"/>
    </row>
    <row r="31">
      <c r="A31" s="938" t="inlineStr">
        <is>
          <t>Total</t>
        </is>
      </c>
      <c r="B31" s="938" t="n"/>
      <c r="C31" s="2219">
        <f>D31/B2</f>
        <v/>
      </c>
      <c r="D31" s="2220">
        <f>SUM(D26:E30)</f>
        <v/>
      </c>
      <c r="E31" s="1599" t="n"/>
      <c r="F31" s="1550" t="n"/>
      <c r="G31" s="1550" t="n"/>
      <c r="H31" s="2221" t="n"/>
      <c r="I31" s="1550" t="n"/>
      <c r="J31" s="1550" t="n"/>
      <c r="K31" s="1550" t="n"/>
      <c r="L31" s="1550" t="n"/>
      <c r="M31" s="1550" t="n"/>
      <c r="N31" s="1550" t="n"/>
      <c r="O31" s="1550" t="n"/>
    </row>
    <row r="32">
      <c r="A32" s="1550" t="inlineStr">
        <is>
          <t>Multiplied by Vacancy Factor of</t>
        </is>
      </c>
      <c r="B32" s="941">
        <f>D22</f>
        <v/>
      </c>
      <c r="C32" s="2222">
        <f>$B$41*C31</f>
        <v/>
      </c>
      <c r="D32" s="2223">
        <f>$B$41*D31</f>
        <v/>
      </c>
      <c r="E32" s="1599" t="n"/>
      <c r="F32" s="1550" t="n"/>
      <c r="G32" s="1550" t="n"/>
      <c r="H32" s="1550" t="n"/>
      <c r="I32" s="1550" t="n"/>
      <c r="J32" s="1550" t="n"/>
      <c r="K32" s="1550" t="n"/>
      <c r="L32" s="1550" t="n"/>
      <c r="M32" s="1550" t="n"/>
      <c r="N32" s="1550" t="n"/>
      <c r="O32" s="1550" t="n"/>
    </row>
    <row r="33">
      <c r="A33" s="943" t="inlineStr">
        <is>
          <t>Divided by EGI</t>
        </is>
      </c>
      <c r="B33" s="943" t="n"/>
      <c r="C33" s="944" t="n"/>
      <c r="D33" s="1673">
        <f>D32/D42</f>
        <v/>
      </c>
      <c r="E33" s="1599" t="n"/>
      <c r="F33" s="1550" t="n"/>
      <c r="G33" s="1550" t="n"/>
      <c r="H33" s="1550" t="n"/>
      <c r="I33" s="1550" t="n"/>
      <c r="J33" s="1550" t="n"/>
      <c r="K33" s="1550" t="n"/>
      <c r="L33" s="1550" t="n"/>
      <c r="M33" s="1550" t="n"/>
      <c r="N33" s="1550" t="n"/>
      <c r="O33" s="1550" t="n"/>
    </row>
    <row r="34" ht="7.5" customHeight="1" s="1439">
      <c r="B34" s="1550" t="n"/>
      <c r="C34" s="1550" t="n"/>
      <c r="D34" s="1550" t="n"/>
      <c r="E34" s="1550" t="n"/>
      <c r="F34" s="1550" t="n"/>
      <c r="G34" s="1550" t="n"/>
      <c r="H34" s="1550" t="n"/>
      <c r="I34" s="1550" t="n"/>
      <c r="J34" s="1550" t="n"/>
      <c r="K34" s="1550" t="n"/>
      <c r="L34" s="1550" t="n"/>
      <c r="M34" s="1550" t="n"/>
      <c r="N34" s="1550" t="n"/>
      <c r="O34" s="1550" t="n"/>
    </row>
    <row r="35">
      <c r="A35" s="1659" t="inlineStr">
        <is>
          <t>PRO FORMA OPERATING STATEMENT</t>
        </is>
      </c>
      <c r="F35" s="1550" t="n"/>
      <c r="G35" s="1550" t="n"/>
      <c r="H35" s="1550" t="n"/>
      <c r="I35" s="1550" t="n"/>
      <c r="J35" s="1550" t="n"/>
      <c r="K35" s="1550" t="n"/>
      <c r="L35" s="1550" t="n"/>
      <c r="M35" s="1550" t="n"/>
      <c r="N35" s="1550" t="n"/>
      <c r="O35" s="1550" t="n"/>
    </row>
    <row r="36" ht="30" customHeight="1" s="1439">
      <c r="A36" s="917" t="inlineStr">
        <is>
          <t>Category</t>
        </is>
      </c>
      <c r="B36" s="917" t="n"/>
      <c r="C36" s="1618" t="inlineStr">
        <is>
          <t>Projected Expenses</t>
        </is>
      </c>
      <c r="D36" s="945" t="inlineStr">
        <is>
          <t>Projected Income</t>
        </is>
      </c>
      <c r="E36" s="1618" t="inlineStr">
        <is>
          <t>PSF</t>
        </is>
      </c>
      <c r="F36" s="1550" t="n"/>
      <c r="G36" s="1550" t="n"/>
      <c r="H36" s="1550" t="n"/>
      <c r="I36" s="1550" t="n"/>
      <c r="J36" s="1550" t="n"/>
      <c r="K36" s="1550" t="n"/>
      <c r="L36" s="1550" t="n"/>
      <c r="M36" s="1550" t="n"/>
      <c r="N36" s="1550" t="n"/>
      <c r="O36" s="1550" t="n"/>
    </row>
    <row r="37">
      <c r="A37" s="946" t="inlineStr">
        <is>
          <t>Potential Gross Rental Income (PGRI)</t>
        </is>
      </c>
      <c r="B37" s="947" t="n"/>
      <c r="C37" s="948" t="n"/>
      <c r="D37" s="2224">
        <f>+D11</f>
        <v/>
      </c>
      <c r="E37" s="2225">
        <f>+D37/$B$2</f>
        <v/>
      </c>
      <c r="F37" s="1550" t="n"/>
      <c r="G37" s="1550" t="n"/>
      <c r="H37" s="1550" t="n"/>
      <c r="I37" s="1550" t="n"/>
      <c r="J37" s="2226" t="n"/>
      <c r="K37" s="1550" t="n"/>
      <c r="L37" s="1550" t="n"/>
      <c r="M37" s="1550" t="n"/>
      <c r="N37" s="1550" t="n"/>
      <c r="O37" s="1550" t="n"/>
    </row>
    <row r="38">
      <c r="A38" s="946" t="inlineStr">
        <is>
          <t>Plus:  Other Income</t>
        </is>
      </c>
      <c r="B38" s="952" t="n"/>
      <c r="C38" s="953" t="n"/>
      <c r="D38" s="2227" t="n">
        <v>0</v>
      </c>
      <c r="E38" s="2228">
        <f>+D38/$B$2</f>
        <v/>
      </c>
      <c r="F38" s="1550" t="n"/>
      <c r="G38" s="1550" t="n"/>
      <c r="H38" s="1550" t="n"/>
      <c r="I38" s="1550" t="n"/>
      <c r="J38" s="1550" t="n"/>
      <c r="K38" s="1550" t="n"/>
      <c r="L38" s="1550" t="n"/>
      <c r="M38" s="1550" t="n"/>
      <c r="N38" s="1550" t="n"/>
      <c r="O38" s="1550" t="n"/>
    </row>
    <row r="39">
      <c r="A39" s="956" t="inlineStr">
        <is>
          <t>Plus:  Pass-Through Income</t>
        </is>
      </c>
      <c r="B39" s="957" t="n"/>
      <c r="C39" s="958" t="n"/>
      <c r="D39" s="2229" t="n">
        <v>0</v>
      </c>
      <c r="E39" s="2230">
        <f>+D39/$B$2</f>
        <v/>
      </c>
      <c r="F39" s="1550" t="n"/>
      <c r="G39" s="1550" t="n"/>
      <c r="H39" s="1550" t="n"/>
      <c r="I39" s="1550" t="n"/>
      <c r="J39" s="1550" t="n"/>
      <c r="K39" s="1550" t="n"/>
      <c r="L39" s="1550" t="n"/>
      <c r="M39" s="1550" t="n"/>
      <c r="N39" s="1550" t="n"/>
      <c r="O39" s="1550" t="n"/>
    </row>
    <row r="40">
      <c r="A40" s="961" t="inlineStr">
        <is>
          <t>Total Potential Gross Rental Income</t>
        </is>
      </c>
      <c r="B40" s="962" t="n"/>
      <c r="C40" s="963" t="n"/>
      <c r="D40" s="2231">
        <f>SUM(D37:D39)</f>
        <v/>
      </c>
      <c r="E40" s="2232">
        <f>+D40/$B$2</f>
        <v/>
      </c>
      <c r="F40" s="1550" t="n"/>
      <c r="G40" s="1550" t="n"/>
      <c r="H40" s="1550" t="n"/>
      <c r="I40" s="1550" t="n"/>
      <c r="J40" s="1550" t="n"/>
      <c r="K40" s="1550" t="n"/>
      <c r="L40" s="1550" t="n"/>
      <c r="M40" s="1550" t="n"/>
      <c r="N40" s="1550" t="n"/>
      <c r="O40" s="1550" t="n"/>
    </row>
    <row r="41">
      <c r="A41" s="946" t="inlineStr">
        <is>
          <t>Less: Market Vacancy</t>
        </is>
      </c>
      <c r="B41" s="966">
        <f>D22</f>
        <v/>
      </c>
      <c r="C41" s="2233">
        <f>+B41*D40*-1</f>
        <v/>
      </c>
      <c r="D41" s="968" t="n"/>
      <c r="E41" s="2234">
        <f>+C41/$B$2</f>
        <v/>
      </c>
      <c r="F41" s="1550" t="n"/>
      <c r="G41" s="1550" t="n"/>
      <c r="H41" s="1550" t="n"/>
      <c r="I41" s="1550" t="n"/>
      <c r="J41" s="1550" t="n"/>
      <c r="K41" s="1550" t="n"/>
      <c r="L41" s="1550" t="n"/>
      <c r="M41" s="1550" t="n"/>
      <c r="N41" s="1550" t="n"/>
      <c r="O41" s="1550" t="n"/>
    </row>
    <row r="42">
      <c r="A42" s="961" t="inlineStr">
        <is>
          <t>Effective Gross Income (EGI)</t>
        </is>
      </c>
      <c r="B42" s="962" t="n"/>
      <c r="C42" s="963" t="n"/>
      <c r="D42" s="2231">
        <f>+D40+C41</f>
        <v/>
      </c>
      <c r="E42" s="2232">
        <f>+D42/$B$2</f>
        <v/>
      </c>
      <c r="F42" s="1550" t="n"/>
      <c r="G42" s="1550" t="n"/>
      <c r="H42" s="1550" t="n"/>
      <c r="I42" s="1550" t="n"/>
      <c r="J42" s="1550" t="n"/>
      <c r="K42" s="1550" t="n"/>
      <c r="L42" s="1550" t="n"/>
      <c r="M42" s="1550" t="n"/>
      <c r="N42" s="1550" t="n"/>
      <c r="O42" s="1550" t="n"/>
    </row>
    <row r="43">
      <c r="A43" s="970" t="inlineStr">
        <is>
          <t>Fixed Expenses</t>
        </is>
      </c>
      <c r="B43" s="971" t="n"/>
      <c r="C43" s="972" t="n"/>
      <c r="D43" s="972" t="n"/>
      <c r="E43" s="972" t="n"/>
      <c r="F43" s="1550" t="n"/>
      <c r="G43" s="1550" t="n"/>
      <c r="H43" s="1550" t="n"/>
      <c r="I43" s="1550" t="n"/>
      <c r="J43" s="1550" t="n"/>
      <c r="K43" s="1550" t="n"/>
      <c r="L43" s="1550" t="n"/>
      <c r="M43" s="1550" t="n"/>
      <c r="N43" s="1550" t="n"/>
      <c r="O43" s="1550" t="n"/>
    </row>
    <row r="44">
      <c r="A44" s="973" t="inlineStr">
        <is>
          <t>Owner's Expenses</t>
        </is>
      </c>
      <c r="B44" s="974" t="n">
        <v>0.01</v>
      </c>
      <c r="C44" s="2235">
        <f>+B44*D42*-1</f>
        <v/>
      </c>
      <c r="D44" s="976" t="inlineStr">
        <is>
          <t> </t>
        </is>
      </c>
      <c r="E44" s="2235">
        <f>+C44/$B$2</f>
        <v/>
      </c>
      <c r="F44" s="1550" t="n"/>
      <c r="G44" s="1550" t="n"/>
      <c r="H44" s="1550" t="n"/>
      <c r="I44" s="1550" t="n"/>
      <c r="J44" s="1550" t="n"/>
      <c r="K44" s="1550" t="n"/>
      <c r="L44" s="1550" t="n"/>
      <c r="M44" s="1550" t="n"/>
      <c r="N44" s="1550" t="n"/>
      <c r="O44" s="1550" t="n"/>
    </row>
    <row r="45" ht="30" customHeight="1" s="1439">
      <c r="A45" s="956" t="inlineStr">
        <is>
          <t xml:space="preserve">Operating Expense Recovery Loss During Vacancy </t>
        </is>
      </c>
      <c r="B45" s="977">
        <f>D33</f>
        <v/>
      </c>
      <c r="C45" s="2229">
        <f>-D32</f>
        <v/>
      </c>
      <c r="D45" s="978" t="n"/>
      <c r="E45" s="2236">
        <f>+C45/$B$2</f>
        <v/>
      </c>
      <c r="F45" s="1550" t="n"/>
      <c r="G45" s="1550" t="n"/>
      <c r="H45" s="1550" t="n"/>
      <c r="I45" s="1550" t="n"/>
      <c r="J45" s="1550" t="n"/>
      <c r="K45" s="1550" t="n"/>
      <c r="L45" s="1550" t="n"/>
      <c r="M45" s="1550" t="n"/>
      <c r="N45" s="1550" t="n"/>
      <c r="O45" s="1550" t="n"/>
    </row>
    <row r="46">
      <c r="A46" s="980" t="inlineStr">
        <is>
          <t xml:space="preserve">Total Expenses </t>
        </is>
      </c>
      <c r="B46" s="980" t="n"/>
      <c r="C46" s="2237">
        <f>SUM(C44:C45)</f>
        <v/>
      </c>
      <c r="D46" s="982" t="n"/>
      <c r="E46" s="2238">
        <f>+C46/$B$2</f>
        <v/>
      </c>
      <c r="F46" s="1550" t="n"/>
      <c r="G46" s="1550" t="n"/>
      <c r="H46" s="1550" t="n"/>
      <c r="I46" s="1550" t="n"/>
      <c r="J46" s="1550" t="n"/>
      <c r="K46" s="1550" t="n"/>
      <c r="L46" s="1550" t="n"/>
      <c r="M46" s="1550" t="n"/>
      <c r="N46" s="1550" t="n"/>
      <c r="O46" s="1550" t="n"/>
    </row>
    <row r="47">
      <c r="A47" s="984" t="inlineStr">
        <is>
          <t>Net Operating Income</t>
        </is>
      </c>
      <c r="B47" s="984" t="n"/>
      <c r="C47" s="2239" t="n"/>
      <c r="D47" s="2240">
        <f>+D42+C46</f>
        <v/>
      </c>
      <c r="E47" s="2241">
        <f>+D47/$B$2</f>
        <v/>
      </c>
      <c r="F47" s="1550" t="n"/>
      <c r="G47" s="1550" t="n"/>
      <c r="H47" s="1550" t="n"/>
      <c r="I47" s="1550" t="n"/>
      <c r="J47" s="1550" t="n"/>
      <c r="K47" s="1550" t="n"/>
      <c r="L47" s="1550" t="n"/>
      <c r="M47" s="1550" t="n"/>
      <c r="N47" s="1550" t="n"/>
      <c r="O47" s="1550" t="n"/>
      <c r="S47" s="1550" t="inlineStr">
        <is>
          <t>Reconciled OAR</t>
        </is>
      </c>
      <c r="T47" s="988" t="n">
        <v>0.11</v>
      </c>
      <c r="U47" s="914" t="inlineStr">
        <is>
          <t>←</t>
        </is>
      </c>
    </row>
    <row r="48" ht="8.25" customHeight="1" s="1439">
      <c r="B48" s="1550" t="n"/>
      <c r="C48" s="1550" t="n"/>
      <c r="D48" s="1550" t="n"/>
      <c r="E48" s="1550" t="n"/>
      <c r="F48" s="1550" t="n"/>
      <c r="G48" s="1550" t="n"/>
      <c r="H48" s="1550" t="n"/>
      <c r="I48" s="1550" t="n"/>
      <c r="J48" s="1550" t="n"/>
      <c r="K48" s="1550" t="n"/>
      <c r="L48" s="1550" t="n"/>
      <c r="M48" s="1550" t="n"/>
      <c r="N48" s="1550" t="n"/>
      <c r="O48" s="1550" t="n"/>
      <c r="S48" s="1550" t="inlineStr">
        <is>
          <t>Sensitivity</t>
        </is>
      </c>
      <c r="T48" s="988" t="n">
        <v>0.0025</v>
      </c>
      <c r="U48" s="914" t="inlineStr">
        <is>
          <t>←</t>
        </is>
      </c>
    </row>
    <row r="49">
      <c r="A49" s="1545" t="inlineStr">
        <is>
          <t>Third Party Surveys - Capitalization Rates</t>
        </is>
      </c>
      <c r="F49" s="1550" t="n"/>
      <c r="G49" s="1550" t="n"/>
      <c r="H49" s="1550" t="n"/>
      <c r="I49" s="1550" t="n"/>
      <c r="J49" s="1550" t="n"/>
      <c r="K49" s="1550" t="n"/>
      <c r="L49" s="1550" t="n"/>
      <c r="M49" s="1550" t="n"/>
      <c r="N49" s="1550" t="n"/>
      <c r="O49" s="1550" t="n"/>
    </row>
    <row r="50">
      <c r="A50" s="989" t="inlineStr">
        <is>
          <t>Category</t>
        </is>
      </c>
      <c r="B50" s="1683" t="n"/>
      <c r="C50" s="1683" t="inlineStr">
        <is>
          <t>CoStar</t>
        </is>
      </c>
      <c r="D50" s="1683" t="inlineStr">
        <is>
          <t>CoStar</t>
        </is>
      </c>
      <c r="E50" s="1683" t="n"/>
      <c r="F50" s="1550" t="n"/>
      <c r="G50" s="1550" t="n"/>
      <c r="H50" s="1550" t="n"/>
      <c r="I50" s="1550" t="n"/>
      <c r="J50" s="1550" t="n"/>
      <c r="K50" s="1550" t="n"/>
      <c r="L50" s="1550" t="n"/>
      <c r="M50" s="1550" t="n"/>
      <c r="N50" s="1550" t="n"/>
      <c r="O50" s="1550" t="n"/>
      <c r="S50" s="1679" t="inlineStr">
        <is>
          <t>Value Indications</t>
        </is>
      </c>
      <c r="T50" s="1680" t="n"/>
      <c r="U50" s="1680" t="n"/>
      <c r="V50" s="1681" t="n"/>
    </row>
    <row r="51" ht="30" customHeight="1" s="1439">
      <c r="A51" s="991" t="inlineStr">
        <is>
          <t>Date of Survey</t>
        </is>
      </c>
      <c r="B51" s="992" t="n"/>
      <c r="C51" s="1374" t="inlineStr">
        <is>
          <t>01/01/2019-06/30/2020</t>
        </is>
      </c>
      <c r="D51" s="1374" t="inlineStr">
        <is>
          <t>01/01/2019-06/30/2020</t>
        </is>
      </c>
      <c r="E51" s="993" t="n"/>
      <c r="F51" s="1550" t="n"/>
      <c r="G51" s="1550" t="n"/>
      <c r="H51" s="1550" t="n"/>
      <c r="I51" s="1550" t="n"/>
      <c r="J51" s="1550" t="n"/>
      <c r="K51" s="1550" t="n"/>
      <c r="L51" s="1550" t="n"/>
      <c r="M51" s="1550" t="n"/>
      <c r="N51" s="1550" t="n"/>
      <c r="O51" s="1550" t="n"/>
      <c r="S51" s="994" t="inlineStr">
        <is>
          <t>Category</t>
        </is>
      </c>
      <c r="T51" s="1675" t="inlineStr">
        <is>
          <t>Value Range</t>
        </is>
      </c>
      <c r="U51" s="1676" t="n"/>
      <c r="V51" s="1677" t="n"/>
    </row>
    <row r="52" ht="30" customHeight="1" s="1439">
      <c r="A52" s="991" t="inlineStr">
        <is>
          <t>Market</t>
        </is>
      </c>
      <c r="B52" s="995" t="n"/>
      <c r="C52" s="1375" t="inlineStr">
        <is>
          <t>Denver CBSA</t>
        </is>
      </c>
      <c r="D52" s="1375" t="inlineStr">
        <is>
          <t>Adams County</t>
        </is>
      </c>
      <c r="E52" s="993" t="n"/>
      <c r="F52" s="1550" t="n"/>
      <c r="G52" s="1550" t="n"/>
      <c r="H52" s="1550" t="n"/>
      <c r="I52" s="1550" t="n"/>
      <c r="J52" s="1550" t="n"/>
      <c r="K52" s="1550" t="n"/>
      <c r="L52" s="1550" t="n"/>
      <c r="M52" s="1550" t="n"/>
      <c r="N52" s="1550" t="n"/>
      <c r="O52" s="1550" t="n"/>
      <c r="S52" s="996" t="inlineStr">
        <is>
          <t>Net Operating Income</t>
        </is>
      </c>
      <c r="T52" s="2242">
        <f>+$D$47</f>
        <v/>
      </c>
      <c r="U52" s="2242">
        <f>+$D$47</f>
        <v/>
      </c>
      <c r="V52" s="2243">
        <f>+$D$47</f>
        <v/>
      </c>
    </row>
    <row r="53" ht="30" customHeight="1" s="1439">
      <c r="A53" s="991" t="inlineStr">
        <is>
          <t>Property Type</t>
        </is>
      </c>
      <c r="B53" s="999" t="n"/>
      <c r="C53" s="1374" t="inlineStr">
        <is>
          <t>Industrial/Flex</t>
        </is>
      </c>
      <c r="D53" s="1376" t="inlineStr">
        <is>
          <t>Industrial/Flex</t>
        </is>
      </c>
      <c r="E53" s="993" t="n"/>
      <c r="F53" s="1550" t="n"/>
      <c r="G53" s="1550" t="n"/>
      <c r="H53" s="1550" t="n"/>
      <c r="I53" s="1550" t="n"/>
      <c r="J53" s="1550" t="n"/>
      <c r="K53" s="1550" t="n"/>
      <c r="L53" s="1550" t="n"/>
      <c r="M53" s="1550" t="n"/>
      <c r="N53" s="1550" t="n"/>
      <c r="O53" s="1550" t="n"/>
      <c r="S53" s="1000" t="inlineStr">
        <is>
          <t>Capitalization Rate</t>
        </is>
      </c>
      <c r="T53" s="1001">
        <f>U53-T48</f>
        <v/>
      </c>
      <c r="U53" s="1001">
        <f>T47</f>
        <v/>
      </c>
      <c r="V53" s="1002">
        <f>U53+T48</f>
        <v/>
      </c>
    </row>
    <row r="54">
      <c r="A54" s="1003" t="inlineStr">
        <is>
          <t>Range Average</t>
        </is>
      </c>
      <c r="B54" s="1004" t="n"/>
      <c r="C54" s="1005" t="inlineStr">
        <is>
          <t>4.0% - 12.0%</t>
        </is>
      </c>
      <c r="D54" s="1004" t="inlineStr">
        <is>
          <t>4.0% - 11.0%</t>
        </is>
      </c>
      <c r="E54" s="1003" t="n"/>
      <c r="F54" s="2212" t="inlineStr">
        <is>
          <t>←Change</t>
        </is>
      </c>
      <c r="G54" s="1296" t="n"/>
      <c r="H54" s="1550" t="n"/>
      <c r="I54" s="1550" t="n"/>
      <c r="J54" s="1550" t="n"/>
      <c r="K54" s="1550" t="n"/>
      <c r="L54" s="1550" t="n"/>
      <c r="M54" s="1550" t="n"/>
      <c r="N54" s="1550" t="n"/>
      <c r="O54" s="1550" t="n"/>
      <c r="S54" s="1006" t="inlineStr">
        <is>
          <t>Value Indication</t>
        </is>
      </c>
      <c r="T54" s="2244">
        <f>+T52/T53</f>
        <v/>
      </c>
      <c r="U54" s="2244">
        <f>+U52/U53</f>
        <v/>
      </c>
      <c r="V54" s="2245">
        <f>+V52/V53</f>
        <v/>
      </c>
    </row>
    <row r="55">
      <c r="A55" s="1009" t="inlineStr">
        <is>
          <t>Average</t>
        </is>
      </c>
      <c r="B55" s="1010" t="n"/>
      <c r="C55" s="1011" t="n">
        <v>0.07000000000000001</v>
      </c>
      <c r="D55" s="1010" t="n">
        <v>0.068</v>
      </c>
      <c r="E55" s="1012" t="n"/>
      <c r="F55" s="2212" t="inlineStr">
        <is>
          <t>←Change</t>
        </is>
      </c>
      <c r="G55" s="1296" t="n"/>
      <c r="H55" s="1550" t="n"/>
      <c r="I55" s="1550" t="n"/>
      <c r="J55" s="1550" t="n"/>
      <c r="K55" s="1550" t="n"/>
      <c r="L55" s="1550" t="n"/>
      <c r="M55" s="1550" t="n"/>
      <c r="N55" s="1550" t="n"/>
      <c r="O55" s="1550" t="n"/>
      <c r="S55" s="1013" t="inlineStr">
        <is>
          <t>Rounded</t>
        </is>
      </c>
      <c r="T55" s="2246">
        <f>MROUND(T54,5000)</f>
        <v/>
      </c>
      <c r="U55" s="2246">
        <f>MROUND(U54,5000)</f>
        <v/>
      </c>
      <c r="V55" s="2247">
        <f>MROUND(V54,5000)</f>
        <v/>
      </c>
    </row>
    <row r="56">
      <c r="A56" s="1016" t="inlineStr">
        <is>
          <t>Capitalization Rate Conclusion</t>
        </is>
      </c>
      <c r="B56" s="1017" t="n"/>
      <c r="C56" s="1018" t="n"/>
      <c r="D56" s="1377" t="n">
        <v>0.065</v>
      </c>
      <c r="E56" s="1019" t="n"/>
      <c r="F56" s="1020">
        <f>D56*100</f>
        <v/>
      </c>
      <c r="G56" s="1550" t="n"/>
      <c r="H56" s="1550" t="n"/>
      <c r="I56" s="1550" t="n"/>
      <c r="J56" s="1550" t="n"/>
      <c r="K56" s="1550" t="n"/>
      <c r="L56" s="1550" t="n"/>
      <c r="M56" s="1550" t="n"/>
      <c r="N56" s="1550" t="n"/>
      <c r="O56" s="1550" t="n"/>
      <c r="S56" s="1021" t="n"/>
      <c r="T56" s="2248" t="n"/>
      <c r="U56" s="2248" t="n"/>
      <c r="V56" s="2248" t="n"/>
    </row>
    <row r="57" ht="6.75" customHeight="1" s="1439">
      <c r="A57" s="1023" t="n"/>
      <c r="B57" s="1024" t="n"/>
      <c r="C57" s="1025" t="n"/>
      <c r="D57" s="1024" t="n"/>
      <c r="E57" s="1026" t="n"/>
      <c r="F57" s="362" t="n"/>
      <c r="G57" s="1550" t="n"/>
      <c r="H57" s="1550" t="n"/>
      <c r="I57" s="1550" t="n"/>
      <c r="J57" s="1550" t="n"/>
      <c r="K57" s="1550" t="n"/>
      <c r="L57" s="1550" t="n"/>
      <c r="M57" s="1550" t="n"/>
      <c r="N57" s="1550" t="n"/>
      <c r="O57" s="1550" t="n"/>
      <c r="S57" s="1021" t="n"/>
      <c r="T57" s="2248" t="n"/>
      <c r="U57" s="2248" t="n"/>
      <c r="V57" s="2248" t="n"/>
    </row>
    <row r="58">
      <c r="A58" s="1652" t="inlineStr">
        <is>
          <t>DIRECT CAPITALIZATION METHOD VALUE CONCLUSION</t>
        </is>
      </c>
      <c r="B58" s="1458" t="n"/>
      <c r="C58" s="1458" t="n"/>
      <c r="D58" s="1458" t="n"/>
      <c r="E58" s="1458" t="n"/>
      <c r="F58" s="1550" t="n"/>
      <c r="G58" s="1550" t="n"/>
      <c r="H58" s="1550" t="n"/>
      <c r="I58" s="1550" t="n"/>
      <c r="J58" s="1550" t="n"/>
      <c r="K58" s="1550" t="n"/>
      <c r="L58" s="1550" t="n"/>
      <c r="M58" s="1550" t="n"/>
      <c r="N58" s="1550" t="n"/>
      <c r="O58" s="1550" t="n"/>
      <c r="T58" s="1550" t="inlineStr">
        <is>
          <t>psf</t>
        </is>
      </c>
      <c r="U58" s="2221">
        <f>U55/B2</f>
        <v/>
      </c>
    </row>
    <row r="59">
      <c r="A59" s="1027" t="inlineStr">
        <is>
          <t>Net Operating Income (NOI)</t>
        </is>
      </c>
      <c r="B59" s="1027" t="n"/>
      <c r="C59" s="2249">
        <f>D47</f>
        <v/>
      </c>
      <c r="D59" s="2250">
        <f>C59/B2</f>
        <v/>
      </c>
      <c r="E59" s="1599" t="n"/>
      <c r="F59" s="1550" t="n"/>
      <c r="G59" s="1550" t="n"/>
      <c r="H59" s="1550" t="n"/>
      <c r="I59" s="1550" t="n"/>
      <c r="J59" s="1550" t="n"/>
      <c r="K59" s="1550" t="n"/>
      <c r="L59" s="1550" t="n"/>
      <c r="M59" s="1550" t="n"/>
      <c r="N59" s="1550" t="n"/>
      <c r="O59" s="1550" t="n"/>
    </row>
    <row r="60">
      <c r="A60" s="2251" t="n">
        <v>0.0025</v>
      </c>
      <c r="B60" s="2251" t="n"/>
      <c r="C60" s="1667" t="inlineStr">
        <is>
          <t>Value</t>
        </is>
      </c>
      <c r="D60" s="1667" t="inlineStr">
        <is>
          <t>$/SF</t>
        </is>
      </c>
      <c r="E60" s="1599" t="n"/>
      <c r="F60" s="1550" t="n"/>
      <c r="G60" s="1550" t="n"/>
      <c r="H60" s="1550" t="n"/>
      <c r="I60" s="1550" t="n"/>
      <c r="J60" s="1550" t="n"/>
      <c r="K60" s="1550" t="n"/>
      <c r="L60" s="1550" t="n"/>
      <c r="M60" s="1550" t="n"/>
      <c r="N60" s="1550" t="n"/>
      <c r="O60" s="1550" t="n"/>
    </row>
    <row r="61">
      <c r="A61" s="2252">
        <f>A72</f>
        <v/>
      </c>
      <c r="B61" s="2252" t="n"/>
      <c r="C61" s="1967">
        <f>C59/(D56-0.0025)</f>
        <v/>
      </c>
      <c r="D61" s="2253">
        <f>C61/B2</f>
        <v/>
      </c>
      <c r="E61" s="1468" t="n"/>
      <c r="F61" s="1550" t="n"/>
      <c r="G61" s="1550" t="n"/>
      <c r="H61" s="1550" t="n"/>
      <c r="I61" s="1550" t="n"/>
      <c r="J61" s="1550" t="n"/>
      <c r="K61" s="1550" t="n"/>
      <c r="L61" s="1550" t="n"/>
      <c r="M61" s="1550" t="n"/>
      <c r="N61" s="1550" t="n"/>
      <c r="O61" s="1550" t="n"/>
    </row>
    <row r="62">
      <c r="A62" s="2254">
        <f>A70</f>
        <v/>
      </c>
      <c r="B62" s="2255" t="n"/>
      <c r="C62" s="1967">
        <f>C59/D56</f>
        <v/>
      </c>
      <c r="D62" s="2256">
        <f>C62/B2</f>
        <v/>
      </c>
      <c r="F62" s="1550" t="n"/>
      <c r="G62" s="1550" t="n"/>
      <c r="H62" s="1550" t="n"/>
      <c r="I62" s="1550" t="n"/>
      <c r="J62" s="1550" t="n"/>
      <c r="K62" s="1550" t="n"/>
      <c r="L62" s="1550" t="n"/>
      <c r="M62" s="1550" t="n"/>
      <c r="N62" s="1550" t="n"/>
      <c r="O62" s="1550" t="n"/>
    </row>
    <row r="63">
      <c r="A63" s="2257">
        <f>A71</f>
        <v/>
      </c>
      <c r="B63" s="2257" t="n"/>
      <c r="C63" s="1967">
        <f>C59/(D56+0.0025)</f>
        <v/>
      </c>
      <c r="D63" s="2258">
        <f>C63/B2</f>
        <v/>
      </c>
      <c r="E63" s="1458" t="n"/>
      <c r="F63" s="1550" t="n"/>
      <c r="G63" s="1550" t="n"/>
      <c r="H63" s="1550" t="n"/>
      <c r="I63" s="1550" t="n"/>
      <c r="J63" s="1550" t="n"/>
      <c r="K63" s="1550" t="n"/>
      <c r="L63" s="1550" t="n"/>
      <c r="M63" s="1550" t="n"/>
      <c r="N63" s="1550" t="n"/>
      <c r="O63" s="1550" t="n"/>
    </row>
    <row r="64">
      <c r="A64" s="899" t="inlineStr">
        <is>
          <t>Reconciled Value</t>
        </is>
      </c>
      <c r="B64" s="899" t="n"/>
      <c r="C64" s="1970">
        <f>C62</f>
        <v/>
      </c>
      <c r="D64" s="2259">
        <f>C64/B2</f>
        <v/>
      </c>
      <c r="E64" s="1599" t="n"/>
      <c r="F64" s="1550" t="n"/>
      <c r="G64" s="1550" t="n"/>
      <c r="H64" s="1550" t="n"/>
      <c r="I64" s="1550" t="n"/>
      <c r="J64" s="1550" t="n"/>
      <c r="K64" s="1550" t="n"/>
      <c r="L64" s="1550" t="n"/>
      <c r="M64" s="1550" t="n"/>
      <c r="N64" s="1550" t="n"/>
      <c r="O64" s="1550" t="n"/>
    </row>
    <row r="65">
      <c r="A65" s="2260" t="n">
        <v>5000</v>
      </c>
      <c r="B65" s="2261" t="n"/>
      <c r="C65" s="2262">
        <f>ROUND((C64/A65),0)*A65</f>
        <v/>
      </c>
      <c r="D65" s="2263">
        <f>C65/B2</f>
        <v/>
      </c>
      <c r="E65" s="1599" t="n"/>
      <c r="F65" s="1550" t="n"/>
      <c r="G65" s="1550" t="n"/>
      <c r="H65" s="1550" t="n"/>
      <c r="I65" s="1550" t="n"/>
      <c r="J65" s="1550" t="n"/>
      <c r="K65" s="1550" t="n"/>
      <c r="L65" s="1550" t="n"/>
      <c r="M65" s="1550" t="n"/>
      <c r="N65" s="1550" t="n"/>
      <c r="O65" s="1550" t="n"/>
    </row>
    <row r="66">
      <c r="B66" s="1550" t="n"/>
      <c r="C66" s="1550" t="n"/>
      <c r="D66" s="1550" t="n"/>
      <c r="E66" s="1550" t="n"/>
      <c r="F66" s="1550" t="n"/>
      <c r="G66" s="1550" t="n"/>
      <c r="H66" s="1550" t="n"/>
      <c r="I66" s="1550" t="n"/>
      <c r="J66" s="1550" t="n"/>
      <c r="K66" s="1550" t="n"/>
      <c r="L66" s="1550" t="n"/>
      <c r="M66" s="1550" t="n"/>
      <c r="N66" s="1550" t="n"/>
      <c r="O66" s="1550" t="n"/>
    </row>
    <row r="67">
      <c r="B67" s="1550" t="n"/>
      <c r="C67" s="1550" t="n"/>
      <c r="D67" s="1550" t="n"/>
      <c r="E67" s="1550" t="n"/>
      <c r="F67" s="1550" t="n"/>
      <c r="G67" s="1550" t="n"/>
      <c r="H67" s="1550" t="n"/>
      <c r="I67" s="1550" t="n"/>
      <c r="J67" s="1550" t="n"/>
      <c r="K67" s="1550" t="n"/>
      <c r="L67" s="1550" t="n"/>
      <c r="M67" s="1550" t="n"/>
      <c r="N67" s="1550" t="n"/>
      <c r="O67" s="1550" t="n"/>
    </row>
    <row r="68">
      <c r="B68" s="1550" t="n"/>
      <c r="C68" s="1550" t="n"/>
      <c r="D68" s="1550" t="n"/>
      <c r="E68" s="1550" t="n"/>
      <c r="F68" s="1550" t="n"/>
      <c r="G68" s="1550" t="n"/>
      <c r="H68" s="1550" t="n"/>
      <c r="I68" s="1550" t="n"/>
      <c r="J68" s="1550" t="n"/>
      <c r="K68" s="1550" t="n"/>
      <c r="L68" s="1550" t="n"/>
      <c r="M68" s="1550" t="n"/>
      <c r="N68" s="1550" t="n"/>
      <c r="O68" s="1550" t="n"/>
    </row>
    <row r="69" ht="15.75" customHeight="1" s="1439" thickBot="1">
      <c r="A69" s="1550" t="inlineStr">
        <is>
          <t>Do not overwright</t>
        </is>
      </c>
      <c r="B69" s="1550" t="n"/>
      <c r="C69" s="1550" t="n"/>
      <c r="D69" s="1550" t="n"/>
      <c r="E69" s="1550" t="n"/>
      <c r="F69" s="1550" t="n"/>
      <c r="G69" s="1550" t="n"/>
      <c r="H69" s="1550" t="n"/>
      <c r="I69" s="1550" t="n"/>
      <c r="J69" s="1550" t="n"/>
      <c r="K69" s="1550" t="n"/>
      <c r="L69" s="1550" t="n"/>
      <c r="M69" s="1550" t="n"/>
      <c r="N69" s="1550" t="n"/>
      <c r="O69" s="1550" t="n"/>
    </row>
    <row r="70">
      <c r="A70" s="1378">
        <f>CONCATENATE("Based on Most Probable Range of ", FIXED(F56, 2), "%")</f>
        <v/>
      </c>
      <c r="B70" s="1550" t="n"/>
      <c r="C70" s="1550" t="n"/>
      <c r="D70" s="1550" t="n"/>
      <c r="E70" s="1550" t="n"/>
      <c r="F70" s="1550" t="n"/>
      <c r="G70" s="1550" t="n"/>
      <c r="H70" s="1550" t="n"/>
      <c r="I70" s="1550" t="n"/>
      <c r="J70" s="1550" t="n"/>
      <c r="K70" s="1550" t="n"/>
      <c r="L70" s="1550" t="n"/>
      <c r="M70" s="1550" t="n"/>
      <c r="N70" s="1550" t="n"/>
      <c r="O70" s="1550" t="n"/>
    </row>
    <row r="71">
      <c r="A71" s="1379">
        <f>CONCATENATE("Based on High-Range of ", FIXED(F56+0.25, 2), "%")</f>
        <v/>
      </c>
      <c r="B71" s="1550" t="n"/>
      <c r="C71" s="1550" t="n"/>
      <c r="D71" s="1550" t="n"/>
      <c r="E71" s="1550" t="n"/>
      <c r="F71" s="1550" t="n"/>
      <c r="G71" s="1550" t="n"/>
      <c r="H71" s="1550" t="n"/>
      <c r="I71" s="1550" t="n"/>
      <c r="J71" s="1550" t="n"/>
      <c r="K71" s="1550" t="n"/>
      <c r="L71" s="1550" t="n"/>
      <c r="M71" s="1550" t="n"/>
      <c r="N71" s="1550" t="n"/>
      <c r="O71" s="1550" t="n"/>
    </row>
    <row r="72" ht="15.75" customHeight="1" s="1439" thickBot="1">
      <c r="A72" s="1380">
        <f>CONCATENATE("Based on Low-Range of ", FIXED(F56-0.25, 2), "%")</f>
        <v/>
      </c>
      <c r="B72" s="1550" t="n"/>
      <c r="C72" s="1550" t="n"/>
      <c r="D72" s="1550" t="n"/>
      <c r="E72" s="1550" t="n"/>
      <c r="F72" s="1550" t="n"/>
      <c r="G72" s="1550" t="n"/>
      <c r="H72" s="1550" t="n"/>
      <c r="I72" s="1550" t="n"/>
      <c r="J72" s="1550" t="n"/>
      <c r="K72" s="1550" t="n"/>
      <c r="L72" s="1550" t="n"/>
      <c r="M72" s="1550" t="n"/>
      <c r="N72" s="1550" t="n"/>
      <c r="O72" s="1550" t="n"/>
    </row>
    <row r="73">
      <c r="B73" s="1550" t="n"/>
      <c r="C73" s="1550" t="n"/>
      <c r="D73" s="1550" t="n"/>
      <c r="E73" s="1550" t="n"/>
      <c r="F73" s="1550" t="n"/>
      <c r="G73" s="1550" t="n"/>
      <c r="H73" s="1550" t="n"/>
      <c r="I73" s="1550" t="n"/>
      <c r="J73" s="1550" t="n"/>
      <c r="K73" s="1550" t="n"/>
      <c r="L73" s="1550" t="n"/>
      <c r="M73" s="1550" t="n"/>
      <c r="N73" s="1550" t="n"/>
      <c r="O73" s="1550" t="n"/>
    </row>
    <row r="74">
      <c r="B74" s="1550" t="n"/>
      <c r="C74" s="1550" t="n"/>
      <c r="D74" s="1550" t="n"/>
      <c r="E74" s="1550" t="n"/>
      <c r="F74" s="1550" t="n"/>
      <c r="G74" s="1550" t="n"/>
      <c r="H74" s="1550" t="n"/>
      <c r="I74" s="1550" t="n"/>
      <c r="J74" s="1550" t="n"/>
      <c r="K74" s="1550" t="n"/>
      <c r="L74" s="1550" t="n"/>
      <c r="M74" s="1550" t="n"/>
      <c r="N74" s="1550" t="n"/>
      <c r="O74" s="1550" t="n"/>
    </row>
    <row r="75">
      <c r="B75" s="1550" t="n"/>
      <c r="C75" s="1550" t="n"/>
      <c r="D75" s="1550" t="n"/>
      <c r="E75" s="1550" t="n"/>
      <c r="F75" s="1550" t="n"/>
      <c r="G75" s="1550" t="n"/>
      <c r="H75" s="1550" t="n"/>
      <c r="I75" s="1550" t="n"/>
      <c r="J75" s="1550" t="n"/>
      <c r="K75" s="1550" t="n"/>
      <c r="L75" s="1550" t="n"/>
      <c r="M75" s="1550" t="n"/>
      <c r="N75" s="1550" t="n"/>
      <c r="O75" s="1550" t="n"/>
    </row>
    <row r="76">
      <c r="B76" s="1550" t="n"/>
      <c r="C76" s="1550" t="n"/>
      <c r="D76" s="1550" t="n"/>
      <c r="E76" s="1550" t="n"/>
      <c r="F76" s="1550" t="n"/>
      <c r="G76" s="1550" t="n"/>
      <c r="H76" s="1550" t="n"/>
      <c r="I76" s="1550" t="n"/>
      <c r="J76" s="1550" t="n"/>
      <c r="K76" s="1550" t="n"/>
      <c r="L76" s="1550" t="n"/>
      <c r="M76" s="1550" t="n"/>
      <c r="N76" s="1550" t="n"/>
      <c r="O76" s="1550" t="n"/>
    </row>
    <row r="77">
      <c r="B77" s="1550" t="n"/>
      <c r="C77" s="1550" t="n"/>
      <c r="D77" s="1550" t="n"/>
      <c r="E77" s="1550" t="n"/>
      <c r="F77" s="1550" t="n"/>
      <c r="G77" s="1550" t="n"/>
      <c r="H77" s="1550" t="n"/>
      <c r="I77" s="1550" t="n"/>
      <c r="J77" s="1550" t="n"/>
      <c r="K77" s="1550" t="n"/>
      <c r="L77" s="1550" t="n"/>
      <c r="M77" s="1550" t="n"/>
      <c r="N77" s="1550" t="n"/>
      <c r="O77" s="1550" t="n"/>
    </row>
    <row r="78">
      <c r="B78" s="1550" t="n"/>
      <c r="C78" s="1550" t="n"/>
      <c r="D78" s="1550" t="n"/>
      <c r="E78" s="1550" t="n"/>
      <c r="F78" s="1550" t="n"/>
      <c r="G78" s="1550" t="n"/>
      <c r="H78" s="1550" t="n"/>
      <c r="I78" s="1550" t="n"/>
      <c r="J78" s="1550" t="n"/>
      <c r="K78" s="1550" t="n"/>
      <c r="L78" s="1550" t="n"/>
      <c r="M78" s="1550" t="n"/>
      <c r="N78" s="1550" t="n"/>
      <c r="O78" s="1550" t="n"/>
    </row>
    <row r="79">
      <c r="B79" s="1550" t="n"/>
      <c r="C79" s="1550" t="n"/>
      <c r="D79" s="1550" t="n"/>
      <c r="E79" s="1550" t="n"/>
      <c r="F79" s="1550" t="n"/>
      <c r="G79" s="1550" t="n"/>
      <c r="H79" s="1550" t="n"/>
      <c r="I79" s="1550" t="n"/>
      <c r="J79" s="1550" t="n"/>
      <c r="K79" s="1550" t="n"/>
      <c r="L79" s="1550" t="n"/>
      <c r="M79" s="1550" t="n"/>
      <c r="N79" s="1550" t="n"/>
      <c r="O79" s="1550" t="n"/>
    </row>
    <row r="80">
      <c r="B80" s="1550" t="n"/>
      <c r="C80" s="1550" t="n"/>
      <c r="D80" s="1550" t="n"/>
      <c r="E80" s="1550" t="n"/>
      <c r="F80" s="1550" t="n"/>
      <c r="G80" s="1550" t="n"/>
      <c r="H80" s="1550" t="n"/>
      <c r="I80" s="1550" t="n"/>
      <c r="J80" s="1550" t="n"/>
      <c r="K80" s="1550" t="n"/>
      <c r="L80" s="1550" t="n"/>
      <c r="M80" s="1550" t="n"/>
      <c r="N80" s="1550" t="n"/>
      <c r="O80" s="1550" t="n"/>
    </row>
    <row r="81" customFormat="1" s="1550"/>
    <row r="82" customFormat="1" s="1550"/>
    <row r="83" customFormat="1" s="1550"/>
    <row r="84" customFormat="1" s="1550"/>
    <row r="85" customFormat="1" s="1550"/>
    <row r="86" customFormat="1" s="1550"/>
    <row r="87" customFormat="1" s="1550"/>
    <row r="88" customFormat="1" s="1550"/>
    <row r="89" customFormat="1" s="1550"/>
    <row r="90" customFormat="1" s="1550"/>
    <row r="91" customFormat="1" s="1550"/>
    <row r="92" customFormat="1" s="1550"/>
    <row r="93" customFormat="1" s="1550"/>
    <row r="94" customFormat="1" s="1550"/>
    <row r="95" customFormat="1" s="1550"/>
    <row r="96" customFormat="1" s="1550"/>
    <row r="97" customFormat="1" s="1550"/>
    <row r="98" customFormat="1" s="1550"/>
    <row r="99" customFormat="1" s="1550"/>
    <row r="100" customFormat="1" s="1550"/>
    <row r="101" customFormat="1" s="1550"/>
    <row r="102" customFormat="1" s="1550"/>
  </sheetData>
  <mergeCells count="39">
    <mergeCell ref="D60:E60"/>
    <mergeCell ref="A24:E24"/>
    <mergeCell ref="D63:E63"/>
    <mergeCell ref="A49:E49"/>
    <mergeCell ref="D22:E22"/>
    <mergeCell ref="G3:O3"/>
    <mergeCell ref="A21:C21"/>
    <mergeCell ref="D31:E31"/>
    <mergeCell ref="D65:E65"/>
    <mergeCell ref="T51:V51"/>
    <mergeCell ref="D21:E21"/>
    <mergeCell ref="S50:V50"/>
    <mergeCell ref="D11:E11"/>
    <mergeCell ref="A14:C14"/>
    <mergeCell ref="D27:E27"/>
    <mergeCell ref="A22:C22"/>
    <mergeCell ref="D32:E32"/>
    <mergeCell ref="D61:E61"/>
    <mergeCell ref="D16:E16"/>
    <mergeCell ref="J4:K4"/>
    <mergeCell ref="D28:E28"/>
    <mergeCell ref="D62:E62"/>
    <mergeCell ref="A8:E8"/>
    <mergeCell ref="A15:C15"/>
    <mergeCell ref="D9:E9"/>
    <mergeCell ref="D25:E25"/>
    <mergeCell ref="A35:E35"/>
    <mergeCell ref="D30:E30"/>
    <mergeCell ref="D64:E64"/>
    <mergeCell ref="D15:E15"/>
    <mergeCell ref="D33:E33"/>
    <mergeCell ref="D29:E29"/>
    <mergeCell ref="D14:E14"/>
    <mergeCell ref="A13:E13"/>
    <mergeCell ref="A58:E58"/>
    <mergeCell ref="D26:E26"/>
    <mergeCell ref="M4:N4"/>
    <mergeCell ref="D59:E59"/>
    <mergeCell ref="A16:C16"/>
  </mergeCells>
  <dataValidations disablePrompts="1" count="3">
    <dataValidation sqref="A65" showDropDown="0" showInputMessage="1" showErrorMessage="1" allowBlank="1" prompt="Enter how you want value to round.  Example:  100,000, or 50,000.  Only number is needed.  Text will autopopulate."/>
    <dataValidation sqref="A62" showDropDown="0" showInputMessage="1" showErrorMessage="1" allowBlank="1" prompt="Autopopulates with the concluded capitalization rate from the CapRates tab Cell C13."/>
    <dataValidation sqref="A60" showDropDown="0" showInputMessage="1" showErrorMessage="1" allowBlank="1" prompt="Enter capitalization rate spread.  Example 0.25.  Only value is needed.  Text will autopopulate.  Will also autopopulate cell B44 and B46."/>
  </dataValidations>
  <pageMargins left="0.7" right="0.7" top="0.75" bottom="0.75" header="0.3" footer="0.3"/>
  <pageSetup orientation="portrait"/>
</worksheet>
</file>

<file path=xl/worksheets/sheet26.xml><?xml version="1.0" encoding="utf-8"?>
<worksheet xmlns="http://schemas.openxmlformats.org/spreadsheetml/2006/main">
  <sheetPr>
    <outlinePr summaryBelow="1" summaryRight="1"/>
    <pageSetUpPr/>
  </sheetPr>
  <dimension ref="A1:G561"/>
  <sheetViews>
    <sheetView workbookViewId="0">
      <pane ySplit="5" topLeftCell="A6" activePane="bottomLeft" state="frozen"/>
      <selection pane="bottomLeft" activeCell="A1" sqref="A1"/>
    </sheetView>
  </sheetViews>
  <sheetFormatPr baseColWidth="8" defaultRowHeight="15"/>
  <cols>
    <col width="12" customWidth="1" style="1439" min="1" max="1"/>
    <col width="18" customWidth="1" style="1439" min="2" max="2"/>
    <col width="28" customWidth="1" style="1439" min="3" max="3"/>
    <col width="22" customWidth="1" style="1439" min="4" max="4"/>
    <col width="38" customWidth="1" style="1439" min="5" max="5"/>
    <col width="52" customWidth="1" style="1439" min="6" max="6"/>
    <col width="55" customWidth="1" style="1439" min="7" max="7"/>
  </cols>
  <sheetData>
    <row r="1" ht="30" customHeight="1" s="1439">
      <c r="A1" s="2264" t="inlineStr">
        <is>
          <t>APPRAISAL RESOURCE DIRECTORY</t>
        </is>
      </c>
    </row>
    <row r="2" ht="20" customHeight="1" s="1439">
      <c r="A2" s="2265">
        <f>"Active Property:  "&amp;'Property Info'!B16&amp;"   |   City / Area:  "&amp;'Property Info'!B17&amp;"   |   County:  "&amp;'Property Info'!B18</f>
        <v/>
      </c>
    </row>
    <row r="3" ht="28" customHeight="1" s="1439">
      <c r="A3" s="2273" t="inlineStr">
        <is>
          <t xml:space="preserve">  Select County to View:</t>
        </is>
      </c>
      <c r="D3" s="2274" t="inlineStr">
        <is>
          <t>Adams County</t>
        </is>
      </c>
      <c r="E3" s="2306" t="n"/>
      <c r="F3" s="2275" t="inlineStr">
        <is>
          <t>↑ Change county above to highlight relevant rows.  Filter/sort Priority column to group them.</t>
        </is>
      </c>
    </row>
    <row r="4" ht="6" customHeight="1" s="1439"/>
    <row r="5" ht="22" customHeight="1" s="1439">
      <c r="A5" s="2267" t="inlineStr">
        <is>
          <t>Priority</t>
        </is>
      </c>
      <c r="B5" s="2267" t="inlineStr">
        <is>
          <t>County</t>
        </is>
      </c>
      <c r="C5" s="2267" t="inlineStr">
        <is>
          <t>Municipality / Area</t>
        </is>
      </c>
      <c r="D5" s="2267" t="inlineStr">
        <is>
          <t>Category</t>
        </is>
      </c>
      <c r="E5" s="2267" t="inlineStr">
        <is>
          <t>Resource Name</t>
        </is>
      </c>
      <c r="F5" s="2267" t="inlineStr">
        <is>
          <t>URL</t>
        </is>
      </c>
      <c r="G5" s="2267" t="inlineStr">
        <is>
          <t>Description</t>
        </is>
      </c>
    </row>
    <row r="6" ht="14" customHeight="1" s="1439">
      <c r="A6" s="2276">
        <f>IF(B6&lt;&gt;$D$3,"◌ Other",IF(C6="REGIONAL / ALL MUNICIPALITIES","Regional",IF(OR(ISNUMBER(SEARCH(LEFT('Property Info'!$B$17,MAX(1,FIND(",",'Property Info'!$B$17&amp;",")-1)),C6)),ISNUMBER(SEARCH('Property Info'!$B$18,C6))),"★ Active","–")))</f>
        <v/>
      </c>
      <c r="B6" s="2276" t="inlineStr">
        <is>
          <t>Adams County</t>
        </is>
      </c>
      <c r="C6" s="2276" t="inlineStr">
        <is>
          <t>Adams County (Unincorporated)</t>
        </is>
      </c>
      <c r="D6" s="2276" t="inlineStr">
        <is>
          <t>Property Assessment</t>
        </is>
      </c>
      <c r="E6" s="2276" t="inlineStr">
        <is>
          <t>Assessor Property Lookup</t>
        </is>
      </c>
      <c r="F6" s="2277" t="inlineStr">
        <is>
          <t>https://adcogov.org/property-look</t>
        </is>
      </c>
      <c r="G6" s="2270" t="inlineStr">
        <is>
          <t>Primary parcel/property search tool for all of Adams County</t>
        </is>
      </c>
    </row>
    <row r="7" ht="14" customHeight="1" s="1439">
      <c r="A7" s="2278">
        <f>IF(B7&lt;&gt;$D$3,"◌ Other",IF(C7="REGIONAL / ALL MUNICIPALITIES","Regional",IF(OR(ISNUMBER(SEARCH(LEFT('Property Info'!$B$17,MAX(1,FIND(",",'Property Info'!$B$17&amp;",")-1)),C7)),ISNUMBER(SEARCH('Property Info'!$B$18,C7))),"★ Active","–")))</f>
        <v/>
      </c>
      <c r="B7" s="2278" t="inlineStr">
        <is>
          <t>Adams County</t>
        </is>
      </c>
      <c r="C7" s="2278" t="inlineStr">
        <is>
          <t>Adams County (Unincorporated)</t>
        </is>
      </c>
      <c r="D7" s="2278" t="inlineStr">
        <is>
          <t>Property Assessment</t>
        </is>
      </c>
      <c r="E7" s="2278" t="inlineStr">
        <is>
          <t>Assessor GIS QuickSearch</t>
        </is>
      </c>
      <c r="F7" s="2277" t="inlineStr">
        <is>
          <t>https://gisapp.adcogov.org/quicksearch/</t>
        </is>
      </c>
      <c r="G7" s="2272" t="inlineStr">
        <is>
          <t>Address or parcel-based search with map</t>
        </is>
      </c>
    </row>
    <row r="8" ht="14" customHeight="1" s="1439">
      <c r="A8" s="2276">
        <f>IF(B8&lt;&gt;$D$3,"◌ Other",IF(C8="REGIONAL / ALL MUNICIPALITIES","Regional",IF(OR(ISNUMBER(SEARCH(LEFT('Property Info'!$B$17,MAX(1,FIND(",",'Property Info'!$B$17&amp;",")-1)),C8)),ISNUMBER(SEARCH('Property Info'!$B$18,C8))),"★ Active","–")))</f>
        <v/>
      </c>
      <c r="B8" s="2276" t="inlineStr">
        <is>
          <t>Adams County</t>
        </is>
      </c>
      <c r="C8" s="2276" t="inlineStr">
        <is>
          <t>Adams County (Unincorporated)</t>
        </is>
      </c>
      <c r="D8" s="2276" t="inlineStr">
        <is>
          <t>Property Assessment</t>
        </is>
      </c>
      <c r="E8" s="2276" t="inlineStr">
        <is>
          <t>Assessor Main Page</t>
        </is>
      </c>
      <c r="F8" s="2277" t="inlineStr">
        <is>
          <t>https://adcogov.org/assessor</t>
        </is>
      </c>
      <c r="G8" s="2270" t="inlineStr">
        <is>
          <t>Assessor office info and resources</t>
        </is>
      </c>
    </row>
    <row r="9" ht="14" customHeight="1" s="1439">
      <c r="A9" s="2278">
        <f>IF(B9&lt;&gt;$D$3,"◌ Other",IF(C9="REGIONAL / ALL MUNICIPALITIES","Regional",IF(OR(ISNUMBER(SEARCH(LEFT('Property Info'!$B$17,MAX(1,FIND(",",'Property Info'!$B$17&amp;",")-1)),C9)),ISNUMBER(SEARCH('Property Info'!$B$18,C9))),"★ Active","–")))</f>
        <v/>
      </c>
      <c r="B9" s="2278" t="inlineStr">
        <is>
          <t>Adams County</t>
        </is>
      </c>
      <c r="C9" s="2278" t="inlineStr">
        <is>
          <t>Adams County (Unincorporated)</t>
        </is>
      </c>
      <c r="D9" s="2278" t="inlineStr">
        <is>
          <t>Property Assessment</t>
        </is>
      </c>
      <c r="E9" s="2278" t="inlineStr">
        <is>
          <t>NOV / Online Appeals Portal</t>
        </is>
      </c>
      <c r="F9" s="2277" t="inlineStr">
        <is>
          <t>https://assessor.adcogov.org/</t>
        </is>
      </c>
      <c r="G9" s="2272" t="inlineStr">
        <is>
          <t>Notice of Valuation and assessment appeals</t>
        </is>
      </c>
    </row>
    <row r="10" ht="14" customHeight="1" s="1439">
      <c r="A10" s="2276">
        <f>IF(B10&lt;&gt;$D$3,"◌ Other",IF(C10="REGIONAL / ALL MUNICIPALITIES","Regional",IF(OR(ISNUMBER(SEARCH(LEFT('Property Info'!$B$17,MAX(1,FIND(",",'Property Info'!$B$17&amp;",")-1)),C10)),ISNUMBER(SEARCH('Property Info'!$B$18,C10))),"★ Active","–")))</f>
        <v/>
      </c>
      <c r="B10" s="2276" t="inlineStr">
        <is>
          <t>Adams County</t>
        </is>
      </c>
      <c r="C10" s="2276" t="inlineStr">
        <is>
          <t>Adams County (Unincorporated)</t>
        </is>
      </c>
      <c r="D10" s="2276" t="inlineStr">
        <is>
          <t>Property Assessment</t>
        </is>
      </c>
      <c r="E10" s="2276" t="inlineStr">
        <is>
          <t>Public Data Download</t>
        </is>
      </c>
      <c r="F10" s="2277" t="inlineStr">
        <is>
          <t>https://assessornovs.adcogov.org/adamscountynovs</t>
        </is>
      </c>
      <c r="G10" s="2270" t="inlineStr">
        <is>
          <t>Weekly-updated bulk assessor data download</t>
        </is>
      </c>
    </row>
    <row r="11" ht="14" customHeight="1" s="1439">
      <c r="A11" s="2278">
        <f>IF(B11&lt;&gt;$D$3,"◌ Other",IF(C11="REGIONAL / ALL MUNICIPALITIES","Regional",IF(OR(ISNUMBER(SEARCH(LEFT('Property Info'!$B$17,MAX(1,FIND(",",'Property Info'!$B$17&amp;",")-1)),C11)),ISNUMBER(SEARCH('Property Info'!$B$18,C11))),"★ Active","–")))</f>
        <v/>
      </c>
      <c r="B11" s="2278" t="inlineStr">
        <is>
          <t>Adams County</t>
        </is>
      </c>
      <c r="C11" s="2278" t="inlineStr">
        <is>
          <t>Adams County (Unincorporated)</t>
        </is>
      </c>
      <c r="D11" s="2278" t="inlineStr">
        <is>
          <t>Property Tax / Treasurer</t>
        </is>
      </c>
      <c r="E11" s="2278" t="inlineStr">
        <is>
          <t>Treasurer Division</t>
        </is>
      </c>
      <c r="F11" s="2277" t="inlineStr">
        <is>
          <t>https://adamscountyco.gov/our-county/elected-officials/treasurer-public-trustee/treasurer-division/</t>
        </is>
      </c>
      <c r="G11" s="2272" t="inlineStr">
        <is>
          <t>Main treasurer page</t>
        </is>
      </c>
    </row>
    <row r="12" ht="14" customHeight="1" s="1439">
      <c r="A12" s="2276">
        <f>IF(B12&lt;&gt;$D$3,"◌ Other",IF(C12="REGIONAL / ALL MUNICIPALITIES","Regional",IF(OR(ISNUMBER(SEARCH(LEFT('Property Info'!$B$17,MAX(1,FIND(",",'Property Info'!$B$17&amp;",")-1)),C12)),ISNUMBER(SEARCH('Property Info'!$B$18,C12))),"★ Active","–")))</f>
        <v/>
      </c>
      <c r="B12" s="2276" t="inlineStr">
        <is>
          <t>Adams County</t>
        </is>
      </c>
      <c r="C12" s="2276" t="inlineStr">
        <is>
          <t>Adams County (Unincorporated)</t>
        </is>
      </c>
      <c r="D12" s="2276" t="inlineStr">
        <is>
          <t>Property Tax / Treasurer</t>
        </is>
      </c>
      <c r="E12" s="2276" t="inlineStr">
        <is>
          <t>Online Tax Payment</t>
        </is>
      </c>
      <c r="F12" s="2277" t="inlineStr">
        <is>
          <t>https://adcotax.com/treasurer/web/login.jsp</t>
        </is>
      </c>
      <c r="G12" s="2270" t="inlineStr">
        <is>
          <t>Pay property taxes online</t>
        </is>
      </c>
    </row>
    <row r="13" ht="14" customHeight="1" s="1439">
      <c r="A13" s="2278">
        <f>IF(B13&lt;&gt;$D$3,"◌ Other",IF(C13="REGIONAL / ALL MUNICIPALITIES","Regional",IF(OR(ISNUMBER(SEARCH(LEFT('Property Info'!$B$17,MAX(1,FIND(",",'Property Info'!$B$17&amp;",")-1)),C13)),ISNUMBER(SEARCH('Property Info'!$B$18,C13))),"★ Active","–")))</f>
        <v/>
      </c>
      <c r="B13" s="2278" t="inlineStr">
        <is>
          <t>Adams County</t>
        </is>
      </c>
      <c r="C13" s="2278" t="inlineStr">
        <is>
          <t>Adams County (Unincorporated)</t>
        </is>
      </c>
      <c r="D13" s="2278" t="inlineStr">
        <is>
          <t>Property Tax / Treasurer</t>
        </is>
      </c>
      <c r="E13" s="2278" t="inlineStr">
        <is>
          <t>Property Tax Inquiry</t>
        </is>
      </c>
      <c r="F13" s="2277" t="inlineStr">
        <is>
          <t>https://adcotax.com/treasurer/web/loginPOST.jsp?guest=true</t>
        </is>
      </c>
      <c r="G13" s="2272" t="inlineStr">
        <is>
          <t>Tax account search — look up balances and payment history (guest access, no login required)</t>
        </is>
      </c>
    </row>
    <row r="14" ht="14" customHeight="1" s="1439">
      <c r="A14" s="2276">
        <f>IF(B14&lt;&gt;$D$3,"◌ Other",IF(C14="REGIONAL / ALL MUNICIPALITIES","Regional",IF(OR(ISNUMBER(SEARCH(LEFT('Property Info'!$B$17,MAX(1,FIND(",",'Property Info'!$B$17&amp;",")-1)),C14)),ISNUMBER(SEARCH('Property Info'!$B$18,C14))),"★ Active","–")))</f>
        <v/>
      </c>
      <c r="B14" s="2276" t="inlineStr">
        <is>
          <t>Adams County</t>
        </is>
      </c>
      <c r="C14" s="2276" t="inlineStr">
        <is>
          <t>Adams County (Unincorporated)</t>
        </is>
      </c>
      <c r="D14" s="2276" t="inlineStr">
        <is>
          <t>Property Tax / Treasurer</t>
        </is>
      </c>
      <c r="E14" s="2276" t="inlineStr">
        <is>
          <t>Taxing Authorities / Mill Levy</t>
        </is>
      </c>
      <c r="F14" s="2277" t="inlineStr">
        <is>
          <t>https://adamscountyco.gov/our-county/elected-officials/treasurer-public-trustee/treasurer-division/property-tax-information/taxing-authorities/</t>
        </is>
      </c>
      <c r="G14" s="2270" t="inlineStr">
        <is>
          <t>Mill levy lookup by taxing district</t>
        </is>
      </c>
    </row>
    <row r="15" ht="14" customHeight="1" s="1439">
      <c r="A15" s="2278">
        <f>IF(B15&lt;&gt;$D$3,"◌ Other",IF(C15="REGIONAL / ALL MUNICIPALITIES","Regional",IF(OR(ISNUMBER(SEARCH(LEFT('Property Info'!$B$17,MAX(1,FIND(",",'Property Info'!$B$17&amp;",")-1)),C15)),ISNUMBER(SEARCH('Property Info'!$B$18,C15))),"★ Active","–")))</f>
        <v/>
      </c>
      <c r="B15" s="2278" t="inlineStr">
        <is>
          <t>Adams County</t>
        </is>
      </c>
      <c r="C15" s="2278" t="inlineStr">
        <is>
          <t>Adams County (Unincorporated)</t>
        </is>
      </c>
      <c r="D15" s="2278" t="inlineStr">
        <is>
          <t>Property Tax / Treasurer</t>
        </is>
      </c>
      <c r="E15" s="2278" t="inlineStr">
        <is>
          <t>DOLA Division of Property Taxation</t>
        </is>
      </c>
      <c r="F15" s="2277" t="inlineStr">
        <is>
          <t>https://dpt.colorado.gov/locality/adams-county-treasurer</t>
        </is>
      </c>
      <c r="G15" s="2272" t="inlineStr">
        <is>
          <t>Colorado state-level property tax data for Adams County</t>
        </is>
      </c>
    </row>
    <row r="16" ht="14" customHeight="1" s="1439">
      <c r="A16" s="2276">
        <f>IF(B16&lt;&gt;$D$3,"◌ Other",IF(C16="REGIONAL / ALL MUNICIPALITIES","Regional",IF(OR(ISNUMBER(SEARCH(LEFT('Property Info'!$B$17,MAX(1,FIND(",",'Property Info'!$B$17&amp;",")-1)),C16)),ISNUMBER(SEARCH('Property Info'!$B$18,C16))),"★ Active","–")))</f>
        <v/>
      </c>
      <c r="B16" s="2276" t="inlineStr">
        <is>
          <t>Adams County</t>
        </is>
      </c>
      <c r="C16" s="2276" t="inlineStr">
        <is>
          <t>Adams County (Unincorporated)</t>
        </is>
      </c>
      <c r="D16" s="2276" t="inlineStr">
        <is>
          <t>Property Tax / Treasurer</t>
        </is>
      </c>
      <c r="E16" s="2276" t="inlineStr">
        <is>
          <t>DOLA Mill Levy Public Info (HB24-1302)</t>
        </is>
      </c>
      <c r="F16" s="2277" t="inlineStr">
        <is>
          <t>https://dlg.colorado.gov/hb24-1302-mill-levy-public-information</t>
        </is>
      </c>
      <c r="G16" s="2270" t="inlineStr">
        <is>
          <t>Statewide mill levy transparency portal</t>
        </is>
      </c>
    </row>
    <row r="17" ht="14" customHeight="1" s="1439">
      <c r="A17" s="2278">
        <f>IF(B17&lt;&gt;$D$3,"◌ Other",IF(C17="REGIONAL / ALL MUNICIPALITIES","Regional",IF(OR(ISNUMBER(SEARCH(LEFT('Property Info'!$B$17,MAX(1,FIND(",",'Property Info'!$B$17&amp;",")-1)),C17)),ISNUMBER(SEARCH('Property Info'!$B$18,C17))),"★ Active","–")))</f>
        <v/>
      </c>
      <c r="B17" s="2278" t="inlineStr">
        <is>
          <t>Adams County</t>
        </is>
      </c>
      <c r="C17" s="2278" t="inlineStr">
        <is>
          <t>Adams County (Unincorporated)</t>
        </is>
      </c>
      <c r="D17" s="2278" t="inlineStr">
        <is>
          <t>Deed / Title Records</t>
        </is>
      </c>
      <c r="E17" s="2278" t="inlineStr">
        <is>
          <t>Clerk &amp; Recorder Recording Page</t>
        </is>
      </c>
      <c r="F17" s="2277" t="inlineStr">
        <is>
          <t>https://adcogov.org/recording</t>
        </is>
      </c>
      <c r="G17" s="2272" t="inlineStr">
        <is>
          <t>Official recording office</t>
        </is>
      </c>
    </row>
    <row r="18" ht="14" customHeight="1" s="1439">
      <c r="A18" s="2276">
        <f>IF(B18&lt;&gt;$D$3,"◌ Other",IF(C18="REGIONAL / ALL MUNICIPALITIES","Regional",IF(OR(ISNUMBER(SEARCH(LEFT('Property Info'!$B$17,MAX(1,FIND(",",'Property Info'!$B$17&amp;",")-1)),C18)),ISNUMBER(SEARCH('Property Info'!$B$18,C18))),"★ Active","–")))</f>
        <v/>
      </c>
      <c r="B18" s="2276" t="inlineStr">
        <is>
          <t>Adams County</t>
        </is>
      </c>
      <c r="C18" s="2276" t="inlineStr">
        <is>
          <t>Adams County (Unincorporated)</t>
        </is>
      </c>
      <c r="D18" s="2276" t="inlineStr">
        <is>
          <t>Deed / Title Records</t>
        </is>
      </c>
      <c r="E18" s="2276" t="inlineStr">
        <is>
          <t>Landmark Web Document Search</t>
        </is>
      </c>
      <c r="F18" s="2277" t="inlineStr">
        <is>
          <t>https://recording.adcogov.org/landmarkweb</t>
        </is>
      </c>
      <c r="G18" s="2270" t="inlineStr">
        <is>
          <t>Grantor/Grantee deed search</t>
        </is>
      </c>
    </row>
    <row r="19" ht="14" customHeight="1" s="1439">
      <c r="A19" s="2278">
        <f>IF(B19&lt;&gt;$D$3,"◌ Other",IF(C19="REGIONAL / ALL MUNICIPALITIES","Regional",IF(OR(ISNUMBER(SEARCH(LEFT('Property Info'!$B$17,MAX(1,FIND(",",'Property Info'!$B$17&amp;",")-1)),C19)),ISNUMBER(SEARCH('Property Info'!$B$18,C19))),"★ Active","–")))</f>
        <v/>
      </c>
      <c r="B19" s="2278" t="inlineStr">
        <is>
          <t>Adams County</t>
        </is>
      </c>
      <c r="C19" s="2278" t="inlineStr">
        <is>
          <t>Adams County (Unincorporated)</t>
        </is>
      </c>
      <c r="D19" s="2278" t="inlineStr">
        <is>
          <t>Deed / Title Records</t>
        </is>
      </c>
      <c r="E19" s="2278" t="inlineStr">
        <is>
          <t>Public Records / Recorded Documents</t>
        </is>
      </c>
      <c r="F19" s="2277" t="inlineStr">
        <is>
          <t>https://adamscountyco.gov/service/find-public-records-recorded-documents/</t>
        </is>
      </c>
      <c r="G19" s="2272" t="inlineStr">
        <is>
          <t>How to find recorded docs</t>
        </is>
      </c>
    </row>
    <row r="20" ht="14" customHeight="1" s="1439">
      <c r="A20" s="2276">
        <f>IF(B20&lt;&gt;$D$3,"◌ Other",IF(C20="REGIONAL / ALL MUNICIPALITIES","Regional",IF(OR(ISNUMBER(SEARCH(LEFT('Property Info'!$B$17,MAX(1,FIND(",",'Property Info'!$B$17&amp;",")-1)),C20)),ISNUMBER(SEARCH('Property Info'!$B$18,C20))),"★ Active","–")))</f>
        <v/>
      </c>
      <c r="B20" s="2276" t="inlineStr">
        <is>
          <t>Adams County</t>
        </is>
      </c>
      <c r="C20" s="2276" t="inlineStr">
        <is>
          <t>Adams County (Unincorporated)</t>
        </is>
      </c>
      <c r="D20" s="2276" t="inlineStr">
        <is>
          <t>Deed / Title Records</t>
        </is>
      </c>
      <c r="E20" s="2276" t="inlineStr">
        <is>
          <t>E-Recording</t>
        </is>
      </c>
      <c r="F20" s="2277" t="inlineStr">
        <is>
          <t>https://www.adcogov.org/e-recording</t>
        </is>
      </c>
      <c r="G20" s="2270" t="inlineStr">
        <is>
          <t>Electronic document recording</t>
        </is>
      </c>
    </row>
    <row r="21" ht="14" customHeight="1" s="1439">
      <c r="A21" s="2278">
        <f>IF(B21&lt;&gt;$D$3,"◌ Other",IF(C21="REGIONAL / ALL MUNICIPALITIES","Regional",IF(OR(ISNUMBER(SEARCH(LEFT('Property Info'!$B$17,MAX(1,FIND(",",'Property Info'!$B$17&amp;",")-1)),C21)),ISNUMBER(SEARCH('Property Info'!$B$18,C21))),"★ Active","–")))</f>
        <v/>
      </c>
      <c r="B21" s="2278" t="inlineStr">
        <is>
          <t>Adams County</t>
        </is>
      </c>
      <c r="C21" s="2278" t="inlineStr">
        <is>
          <t>Adams County (Unincorporated)</t>
        </is>
      </c>
      <c r="D21" s="2278" t="inlineStr">
        <is>
          <t>GIS / Mapping</t>
        </is>
      </c>
      <c r="E21" s="2278" t="inlineStr">
        <is>
          <t>Advanced GIS Map Viewer</t>
        </is>
      </c>
      <c r="F21" s="2277" t="inlineStr">
        <is>
          <t>https://gisapp.adcogov.org/Html5Viewer/index.html?viewer=AdvancedExt.Advanced_HTML</t>
        </is>
      </c>
      <c r="G21" s="2272" t="inlineStr">
        <is>
          <t>Full-featured interactive map</t>
        </is>
      </c>
    </row>
    <row r="22" ht="14" customHeight="1" s="1439">
      <c r="A22" s="2276">
        <f>IF(B22&lt;&gt;$D$3,"◌ Other",IF(C22="REGIONAL / ALL MUNICIPALITIES","Regional",IF(OR(ISNUMBER(SEARCH(LEFT('Property Info'!$B$17,MAX(1,FIND(",",'Property Info'!$B$17&amp;",")-1)),C22)),ISNUMBER(SEARCH('Property Info'!$B$18,C22))),"★ Active","–")))</f>
        <v/>
      </c>
      <c r="B22" s="2276" t="inlineStr">
        <is>
          <t>Adams County</t>
        </is>
      </c>
      <c r="C22" s="2276" t="inlineStr">
        <is>
          <t>Adams County (Unincorporated)</t>
        </is>
      </c>
      <c r="D22" s="2276" t="inlineStr">
        <is>
          <t>GIS / Mapping</t>
        </is>
      </c>
      <c r="E22" s="2276" t="inlineStr">
        <is>
          <t>Open Data Hub (ArcGIS)</t>
        </is>
      </c>
      <c r="F22" s="2277" t="inlineStr">
        <is>
          <t>https://data-adcogov.opendata.arcgis.com/</t>
        </is>
      </c>
      <c r="G22" s="2270" t="inlineStr">
        <is>
          <t>Downloadable datasets including zoning,  parcels,  flood zones</t>
        </is>
      </c>
    </row>
    <row r="23" ht="14" customHeight="1" s="1439">
      <c r="A23" s="2278">
        <f>IF(B23&lt;&gt;$D$3,"◌ Other",IF(C23="REGIONAL / ALL MUNICIPALITIES","Regional",IF(OR(ISNUMBER(SEARCH(LEFT('Property Info'!$B$17,MAX(1,FIND(",",'Property Info'!$B$17&amp;",")-1)),C23)),ISNUMBER(SEARCH('Property Info'!$B$18,C23))),"★ Active","–")))</f>
        <v/>
      </c>
      <c r="B23" s="2278" t="inlineStr">
        <is>
          <t>Adams County</t>
        </is>
      </c>
      <c r="C23" s="2278" t="inlineStr">
        <is>
          <t>Adams County (Unincorporated)</t>
        </is>
      </c>
      <c r="D23" s="2278" t="inlineStr">
        <is>
          <t>GIS / Mapping</t>
        </is>
      </c>
      <c r="E23" s="2278" t="inlineStr">
        <is>
          <t>GIS Interactive Maps Page</t>
        </is>
      </c>
      <c r="F23" s="2277" t="inlineStr">
        <is>
          <t>https://adamscountyco.gov/service/gis-interactive-maps/</t>
        </is>
      </c>
      <c r="G23" s="2272" t="inlineStr">
        <is>
          <t>Links to all county GIS tools</t>
        </is>
      </c>
    </row>
    <row r="24" ht="14" customHeight="1" s="1439">
      <c r="A24" s="2276">
        <f>IF(B24&lt;&gt;$D$3,"◌ Other",IF(C24="REGIONAL / ALL MUNICIPALITIES","Regional",IF(OR(ISNUMBER(SEARCH(LEFT('Property Info'!$B$17,MAX(1,FIND(",",'Property Info'!$B$17&amp;",")-1)),C24)),ISNUMBER(SEARCH('Property Info'!$B$18,C24))),"★ Active","–")))</f>
        <v/>
      </c>
      <c r="B24" s="2276" t="inlineStr">
        <is>
          <t>Adams County</t>
        </is>
      </c>
      <c r="C24" s="2276" t="inlineStr">
        <is>
          <t>Adams County (Unincorporated)</t>
        </is>
      </c>
      <c r="D24" s="2276" t="inlineStr">
        <is>
          <t>Permits</t>
        </is>
      </c>
      <c r="E24" s="2276" t="inlineStr">
        <is>
          <t>E-Permit Center (Accela)</t>
        </is>
      </c>
      <c r="F24" s="2277" t="inlineStr">
        <is>
          <t>https://aca-prod.accela.com/ADAMSCO/Default.aspx</t>
        </is>
      </c>
      <c r="G24" s="2270" t="inlineStr">
        <is>
          <t>Online permit applications and search</t>
        </is>
      </c>
    </row>
    <row r="25" ht="14" customHeight="1" s="1439">
      <c r="A25" s="2278">
        <f>IF(B25&lt;&gt;$D$3,"◌ Other",IF(C25="REGIONAL / ALL MUNICIPALITIES","Regional",IF(OR(ISNUMBER(SEARCH(LEFT('Property Info'!$B$17,MAX(1,FIND(",",'Property Info'!$B$17&amp;",")-1)),C25)),ISNUMBER(SEARCH('Property Info'!$B$18,C25))),"★ Active","–")))</f>
        <v/>
      </c>
      <c r="B25" s="2278" t="inlineStr">
        <is>
          <t>Adams County</t>
        </is>
      </c>
      <c r="C25" s="2278" t="inlineStr">
        <is>
          <t>Adams County (Unincorporated)</t>
        </is>
      </c>
      <c r="D25" s="2278" t="inlineStr">
        <is>
          <t>Permits</t>
        </is>
      </c>
      <c r="E25" s="2278" t="inlineStr">
        <is>
          <t>E-Permit Center Landing</t>
        </is>
      </c>
      <c r="F25" s="2277" t="inlineStr">
        <is>
          <t>https://epermits.adcogov.org/</t>
        </is>
      </c>
      <c r="G25" s="2272" t="inlineStr">
        <is>
          <t>Permit portal landing page</t>
        </is>
      </c>
    </row>
    <row r="26" ht="14" customHeight="1" s="1439">
      <c r="A26" s="2276">
        <f>IF(B26&lt;&gt;$D$3,"◌ Other",IF(C26="REGIONAL / ALL MUNICIPALITIES","Regional",IF(OR(ISNUMBER(SEARCH(LEFT('Property Info'!$B$17,MAX(1,FIND(",",'Property Info'!$B$17&amp;",")-1)),C26)),ISNUMBER(SEARCH('Property Info'!$B$18,C26))),"★ Active","–")))</f>
        <v/>
      </c>
      <c r="B26" s="2276" t="inlineStr">
        <is>
          <t>Adams County</t>
        </is>
      </c>
      <c r="C26" s="2276" t="inlineStr">
        <is>
          <t>Adams County (Unincorporated)</t>
        </is>
      </c>
      <c r="D26" s="2276" t="inlineStr">
        <is>
          <t>Permits</t>
        </is>
      </c>
      <c r="E26" s="2276" t="inlineStr">
        <is>
          <t>Building Safety</t>
        </is>
      </c>
      <c r="F26" s="2277" t="inlineStr">
        <is>
          <t>https://adcogov.org/building-safety</t>
        </is>
      </c>
      <c r="G26" s="2270" t="inlineStr">
        <is>
          <t>Building department info</t>
        </is>
      </c>
    </row>
    <row r="27" ht="14" customHeight="1" s="1439">
      <c r="A27" s="2278">
        <f>IF(B27&lt;&gt;$D$3,"◌ Other",IF(C27="REGIONAL / ALL MUNICIPALITIES","Regional",IF(OR(ISNUMBER(SEARCH(LEFT('Property Info'!$B$17,MAX(1,FIND(",",'Property Info'!$B$17&amp;",")-1)),C27)),ISNUMBER(SEARCH('Property Info'!$B$18,C27))),"★ Active","–")))</f>
        <v/>
      </c>
      <c r="B27" s="2278" t="inlineStr">
        <is>
          <t>Adams County</t>
        </is>
      </c>
      <c r="C27" s="2278" t="inlineStr">
        <is>
          <t>Adams County (Unincorporated)</t>
        </is>
      </c>
      <c r="D27" s="2278" t="inlineStr">
        <is>
          <t>Code Enforcement</t>
        </is>
      </c>
      <c r="E27" s="2278" t="inlineStr">
        <is>
          <t>Eye on Adams (Permits + Violations)</t>
        </is>
      </c>
      <c r="F27" s="2277" t="inlineStr">
        <is>
          <t>https://adamscounty.buildingeye.com/</t>
        </is>
      </c>
      <c r="G27" s="2272" t="inlineStr">
        <is>
          <t>Track permits and code enforcement cases</t>
        </is>
      </c>
    </row>
    <row r="28" ht="14" customHeight="1" s="1439">
      <c r="A28" s="2276">
        <f>IF(B28&lt;&gt;$D$3,"◌ Other",IF(C28="REGIONAL / ALL MUNICIPALITIES","Regional",IF(OR(ISNUMBER(SEARCH(LEFT('Property Info'!$B$17,MAX(1,FIND(",",'Property Info'!$B$17&amp;",")-1)),C28)),ISNUMBER(SEARCH('Property Info'!$B$18,C28))),"★ Active","–")))</f>
        <v/>
      </c>
      <c r="B28" s="2276" t="inlineStr">
        <is>
          <t>Adams County</t>
        </is>
      </c>
      <c r="C28" s="2276" t="inlineStr">
        <is>
          <t>Adams County (Unincorporated)</t>
        </is>
      </c>
      <c r="D28" s="2276" t="inlineStr">
        <is>
          <t>Code Enforcement</t>
        </is>
      </c>
      <c r="E28" s="2276" t="inlineStr">
        <is>
          <t>Code Violations Enforcement Search</t>
        </is>
      </c>
      <c r="F28" s="2277" t="inlineStr">
        <is>
          <t>https://adamscounty.buildingeye.com/enforcement</t>
        </is>
      </c>
      <c r="G28" s="2270" t="inlineStr">
        <is>
          <t>Violation lookup only</t>
        </is>
      </c>
    </row>
    <row r="29" ht="14" customHeight="1" s="1439">
      <c r="A29" s="2278">
        <f>IF(B29&lt;&gt;$D$3,"◌ Other",IF(C29="REGIONAL / ALL MUNICIPALITIES","Regional",IF(OR(ISNUMBER(SEARCH(LEFT('Property Info'!$B$17,MAX(1,FIND(",",'Property Info'!$B$17&amp;",")-1)),C29)),ISNUMBER(SEARCH('Property Info'!$B$18,C29))),"★ Active","–")))</f>
        <v/>
      </c>
      <c r="B29" s="2278" t="inlineStr">
        <is>
          <t>Adams County</t>
        </is>
      </c>
      <c r="C29" s="2278" t="inlineStr">
        <is>
          <t>Adams County (Unincorporated)</t>
        </is>
      </c>
      <c r="D29" s="2278" t="inlineStr">
        <is>
          <t>Code Enforcement</t>
        </is>
      </c>
      <c r="E29" s="2278" t="inlineStr">
        <is>
          <t>Neighborhood Services</t>
        </is>
      </c>
      <c r="F29" s="2277" t="inlineStr">
        <is>
          <t>https://adcogov.org/neighborhood-services</t>
        </is>
      </c>
      <c r="G29" s="2272" t="inlineStr">
        <is>
          <t>Report and track code complaints</t>
        </is>
      </c>
    </row>
    <row r="30" ht="14" customHeight="1" s="1439">
      <c r="A30" s="2276">
        <f>IF(B30&lt;&gt;$D$3,"◌ Other",IF(C30="REGIONAL / ALL MUNICIPALITIES","Regional",IF(OR(ISNUMBER(SEARCH(LEFT('Property Info'!$B$17,MAX(1,FIND(",",'Property Info'!$B$17&amp;",")-1)),C30)),ISNUMBER(SEARCH('Property Info'!$B$18,C30))),"★ Active","–")))</f>
        <v/>
      </c>
      <c r="B30" s="2276" t="inlineStr">
        <is>
          <t>Adams County</t>
        </is>
      </c>
      <c r="C30" s="2276" t="inlineStr">
        <is>
          <t>Adams County (Unincorporated)</t>
        </is>
      </c>
      <c r="D30" s="2276" t="inlineStr">
        <is>
          <t>Zoning / Planning</t>
        </is>
      </c>
      <c r="E30" s="2276" t="inlineStr">
        <is>
          <t>Planning &amp; Development Main Page</t>
        </is>
      </c>
      <c r="F30" s="2277" t="inlineStr">
        <is>
          <t>https://adamscountyco.gov/our-county/community-economic-development/planning-development/</t>
        </is>
      </c>
      <c r="G30" s="2270" t="inlineStr">
        <is>
          <t>Unincorporated area zoning authority</t>
        </is>
      </c>
    </row>
    <row r="31" ht="14" customHeight="1" s="1439">
      <c r="A31" s="2278">
        <f>IF(B31&lt;&gt;$D$3,"◌ Other",IF(C31="REGIONAL / ALL MUNICIPALITIES","Regional",IF(OR(ISNUMBER(SEARCH(LEFT('Property Info'!$B$17,MAX(1,FIND(",",'Property Info'!$B$17&amp;",")-1)),C31)),ISNUMBER(SEARCH('Property Info'!$B$18,C31))),"★ Active","–")))</f>
        <v/>
      </c>
      <c r="B31" s="2278" t="inlineStr">
        <is>
          <t>Adams County</t>
        </is>
      </c>
      <c r="C31" s="2278" t="inlineStr">
        <is>
          <t>Adams County (Unincorporated)</t>
        </is>
      </c>
      <c r="D31" s="2278" t="inlineStr">
        <is>
          <t>Zoning / Planning</t>
        </is>
      </c>
      <c r="E31" s="2278" t="inlineStr">
        <is>
          <t>Zoning Dataset (ArcGIS Open Data)</t>
        </is>
      </c>
      <c r="F31" s="2277" t="inlineStr">
        <is>
          <t>https://data-adcogov.opendata.arcgis.com/datasets/ADCOGOV::zoning/about</t>
        </is>
      </c>
      <c r="G31" s="2272" t="inlineStr">
        <is>
          <t>Downloadable zoning GIS layer</t>
        </is>
      </c>
    </row>
    <row r="32" ht="14" customHeight="1" s="1439">
      <c r="A32" s="2276">
        <f>IF(B32&lt;&gt;$D$3,"◌ Other",IF(C32="REGIONAL / ALL MUNICIPALITIES","Regional",IF(OR(ISNUMBER(SEARCH(LEFT('Property Info'!$B$17,MAX(1,FIND(",",'Property Info'!$B$17&amp;",")-1)),C32)),ISNUMBER(SEARCH('Property Info'!$B$18,C32))),"★ Active","–")))</f>
        <v/>
      </c>
      <c r="B32" s="2276" t="inlineStr">
        <is>
          <t>Adams County</t>
        </is>
      </c>
      <c r="C32" s="2276" t="inlineStr">
        <is>
          <t>Adams County (Unincorporated)</t>
        </is>
      </c>
      <c r="D32" s="2276" t="inlineStr">
        <is>
          <t>Zoning / Planning</t>
        </is>
      </c>
      <c r="E32" s="2276" t="inlineStr">
        <is>
          <t>Development Standards &amp; Regulations</t>
        </is>
      </c>
      <c r="F32" s="2277" t="inlineStr">
        <is>
          <t>https://online.encodeplus.com/regs/adamscounty-co/doc-viewer.aspx?secid=6410</t>
        </is>
      </c>
      <c r="G32" s="2270" t="inlineStr">
        <is>
          <t>Online land development code</t>
        </is>
      </c>
    </row>
    <row r="33" ht="14" customHeight="1" s="1439">
      <c r="A33" s="2278">
        <f>IF(B33&lt;&gt;$D$3,"◌ Other",IF(C33="REGIONAL / ALL MUNICIPALITIES","Regional",IF(OR(ISNUMBER(SEARCH(LEFT('Property Info'!$B$17,MAX(1,FIND(",",'Property Info'!$B$17&amp;",")-1)),C33)),ISNUMBER(SEARCH('Property Info'!$B$18,C33))),"★ Active","–")))</f>
        <v/>
      </c>
      <c r="B33" s="2278" t="inlineStr">
        <is>
          <t>Adams County</t>
        </is>
      </c>
      <c r="C33" s="2278" t="inlineStr">
        <is>
          <t>Adams County (Unincorporated)</t>
        </is>
      </c>
      <c r="D33" s="2278" t="inlineStr">
        <is>
          <t>Flood Zone</t>
        </is>
      </c>
      <c r="E33" s="2278" t="inlineStr">
        <is>
          <t>Floodplain Management Page</t>
        </is>
      </c>
      <c r="F33" s="2277" t="inlineStr">
        <is>
          <t>https://adamscountyco.gov/our-county/community-economic-development/floodplain-management/</t>
        </is>
      </c>
      <c r="G33" s="2272" t="inlineStr">
        <is>
          <t>County floodplain administrator</t>
        </is>
      </c>
    </row>
    <row r="34" ht="14" customHeight="1" s="1439">
      <c r="A34" s="2276">
        <f>IF(B34&lt;&gt;$D$3,"◌ Other",IF(C34="REGIONAL / ALL MUNICIPALITIES","Regional",IF(OR(ISNUMBER(SEARCH(LEFT('Property Info'!$B$17,MAX(1,FIND(",",'Property Info'!$B$17&amp;",")-1)),C34)),ISNUMBER(SEARCH('Property Info'!$B$18,C34))),"★ Active","–")))</f>
        <v/>
      </c>
      <c r="B34" s="2276" t="inlineStr">
        <is>
          <t>Adams County</t>
        </is>
      </c>
      <c r="C34" s="2276" t="inlineStr">
        <is>
          <t>Adams County (Unincorporated)</t>
        </is>
      </c>
      <c r="D34" s="2276" t="inlineStr">
        <is>
          <t>Flood Zone</t>
        </is>
      </c>
      <c r="E34" s="2276" t="inlineStr">
        <is>
          <t>Flood Zones GIS Dataset</t>
        </is>
      </c>
      <c r="F34" s="2277" t="inlineStr">
        <is>
          <t>https://data-adcogov.opendata.arcgis.com/datasets/flood-zones</t>
        </is>
      </c>
      <c r="G34" s="2270" t="inlineStr">
        <is>
          <t>Downloadable FEMA flood zone layer</t>
        </is>
      </c>
    </row>
    <row r="35" ht="14" customHeight="1" s="1439">
      <c r="A35" s="2278">
        <f>IF(B35&lt;&gt;$D$3,"◌ Other",IF(C35="REGIONAL / ALL MUNICIPALITIES","Regional",IF(OR(ISNUMBER(SEARCH(LEFT('Property Info'!$B$17,MAX(1,FIND(",",'Property Info'!$B$17&amp;",")-1)),C35)),ISNUMBER(SEARCH('Property Info'!$B$18,C35))),"★ Active","–")))</f>
        <v/>
      </c>
      <c r="B35" s="2278" t="inlineStr">
        <is>
          <t>Adams County</t>
        </is>
      </c>
      <c r="C35" s="2278" t="inlineStr">
        <is>
          <t>Adams County (Unincorporated)</t>
        </is>
      </c>
      <c r="D35" s="2278" t="inlineStr">
        <is>
          <t>Flood Zone</t>
        </is>
      </c>
      <c r="E35" s="2278" t="inlineStr">
        <is>
          <t>FEMA Map Service Center</t>
        </is>
      </c>
      <c r="F35" s="2277" t="inlineStr">
        <is>
          <t>https://msc.fema.gov/</t>
        </is>
      </c>
      <c r="G35" s="2272" t="inlineStr">
        <is>
          <t>Official FEMA FIRM lookup by address</t>
        </is>
      </c>
    </row>
    <row r="36" ht="14" customHeight="1" s="1439">
      <c r="A36" s="2276">
        <f>IF(B36&lt;&gt;$D$3,"◌ Other",IF(C36="REGIONAL / ALL MUNICIPALITIES","Regional",IF(OR(ISNUMBER(SEARCH(LEFT('Property Info'!$B$17,MAX(1,FIND(",",'Property Info'!$B$17&amp;",")-1)),C36)),ISNUMBER(SEARCH('Property Info'!$B$18,C36))),"★ Active","–")))</f>
        <v/>
      </c>
      <c r="B36" s="2276" t="inlineStr">
        <is>
          <t>Adams County</t>
        </is>
      </c>
      <c r="C36" s="2276" t="inlineStr">
        <is>
          <t>Adams County (Unincorporated)</t>
        </is>
      </c>
      <c r="D36" s="2276" t="inlineStr">
        <is>
          <t>Flood Zone</t>
        </is>
      </c>
      <c r="E36" s="2276" t="inlineStr">
        <is>
          <t>Colorado Hazard Mapping / RiskMAP</t>
        </is>
      </c>
      <c r="F36" s="2277" t="inlineStr">
        <is>
          <t>https://coloradohazardmapping.com/hazardMapping/floodplainMapping</t>
        </is>
      </c>
      <c r="G36" s="2270" t="inlineStr">
        <is>
          <t>State-level flood mapping portal</t>
        </is>
      </c>
    </row>
    <row r="37" ht="14" customHeight="1" s="1439">
      <c r="A37" s="2278">
        <f>IF(B37&lt;&gt;$D$3,"◌ Other",IF(C37="REGIONAL / ALL MUNICIPALITIES","Regional",IF(OR(ISNUMBER(SEARCH(LEFT('Property Info'!$B$17,MAX(1,FIND(",",'Property Info'!$B$17&amp;",")-1)),C37)),ISNUMBER(SEARCH('Property Info'!$B$18,C37))),"★ Active","–")))</f>
        <v/>
      </c>
      <c r="B37" s="2278" t="inlineStr">
        <is>
          <t>Adams County</t>
        </is>
      </c>
      <c r="C37" s="2278" t="inlineStr">
        <is>
          <t>Adams County (Unincorporated)</t>
        </is>
      </c>
      <c r="D37" s="2278" t="inlineStr">
        <is>
          <t>Flood Zone</t>
        </is>
      </c>
      <c r="E37" s="2278" t="inlineStr">
        <is>
          <t>FEMA National Flood Hazard Layer</t>
        </is>
      </c>
      <c r="F37" s="2277" t="inlineStr">
        <is>
          <t>https://www.fema.gov/flood-maps/national-flood-hazard-layer</t>
        </is>
      </c>
      <c r="G37" s="2272" t="inlineStr">
        <is>
          <t>National FEMA flood layer viewer</t>
        </is>
      </c>
    </row>
    <row r="38" ht="14" customHeight="1" s="1439">
      <c r="A38" s="2276">
        <f>IF(B38&lt;&gt;$D$3,"◌ Other",IF(C38="REGIONAL / ALL MUNICIPALITIES","Regional",IF(OR(ISNUMBER(SEARCH(LEFT('Property Info'!$B$17,MAX(1,FIND(",",'Property Info'!$B$17&amp;",")-1)),C38)),ISNUMBER(SEARCH('Property Info'!$B$18,C38))),"★ Active","–")))</f>
        <v/>
      </c>
      <c r="B38" s="2276" t="inlineStr">
        <is>
          <t>Adams County</t>
        </is>
      </c>
      <c r="C38" s="2276" t="inlineStr">
        <is>
          <t>Adams County (Unincorporated)</t>
        </is>
      </c>
      <c r="D38" s="2276" t="inlineStr">
        <is>
          <t>Comprehensive Plan</t>
        </is>
      </c>
      <c r="E38" s="2276" t="inlineStr">
        <is>
          <t>Advancing Adams Comprehensive Plan</t>
        </is>
      </c>
      <c r="F38" s="2277" t="inlineStr">
        <is>
          <t>https://adamscountyco.gov/our-county/community-economic-development/advancing-adams/comprehensive-plan/</t>
        </is>
      </c>
      <c r="G38" s="2270" t="inlineStr">
        <is>
          <t>County master plan</t>
        </is>
      </c>
    </row>
    <row r="39" ht="14" customHeight="1" s="1439">
      <c r="A39" s="2278">
        <f>IF(B39&lt;&gt;$D$3,"◌ Other",IF(C39="REGIONAL / ALL MUNICIPALITIES","Regional",IF(OR(ISNUMBER(SEARCH(LEFT('Property Info'!$B$17,MAX(1,FIND(",",'Property Info'!$B$17&amp;",")-1)),C39)),ISNUMBER(SEARCH('Property Info'!$B$18,C39))),"★ Active","–")))</f>
        <v/>
      </c>
      <c r="B39" s="2278" t="inlineStr">
        <is>
          <t>Adams County</t>
        </is>
      </c>
      <c r="C39" s="2278" t="inlineStr">
        <is>
          <t>Adams County (Unincorporated)</t>
        </is>
      </c>
      <c r="D39" s="2278" t="inlineStr">
        <is>
          <t>Comprehensive Plan</t>
        </is>
      </c>
      <c r="E39" s="2278" t="inlineStr">
        <is>
          <t>Master Plans &amp; Maps</t>
        </is>
      </c>
      <c r="F39" s="2277" t="inlineStr">
        <is>
          <t>https://adcogov.org/master-plans-maps</t>
        </is>
      </c>
      <c r="G39" s="2272" t="inlineStr">
        <is>
          <t>All county master plans</t>
        </is>
      </c>
    </row>
    <row r="40" ht="14" customHeight="1" s="1439">
      <c r="A40" s="2276">
        <f>IF(B40&lt;&gt;$D$3,"◌ Other",IF(C40="REGIONAL / ALL MUNICIPALITIES","Regional",IF(OR(ISNUMBER(SEARCH(LEFT('Property Info'!$B$17,MAX(1,FIND(",",'Property Info'!$B$17&amp;",")-1)),C40)),ISNUMBER(SEARCH('Property Info'!$B$18,C40))),"★ Active","–")))</f>
        <v/>
      </c>
      <c r="B40" s="2276" t="inlineStr">
        <is>
          <t>Adams County</t>
        </is>
      </c>
      <c r="C40" s="2276" t="inlineStr">
        <is>
          <t>Adams County (Unincorporated)</t>
        </is>
      </c>
      <c r="D40" s="2276" t="inlineStr">
        <is>
          <t>Comprehensive Plan</t>
        </is>
      </c>
      <c r="E40" s="2276" t="inlineStr">
        <is>
          <t>Sustainable Adams County 2030 Plan</t>
        </is>
      </c>
      <c r="F40" s="2277" t="inlineStr">
        <is>
          <t>https://adamscountyco.gov/wp-content/uploads/2026/01/CED-2030-Sustainability-Plan-011426.pdf</t>
        </is>
      </c>
      <c r="G40" s="2270" t="inlineStr">
        <is>
          <t>2030 sustainability/land use plan PDF</t>
        </is>
      </c>
    </row>
    <row r="41" ht="14" customHeight="1" s="1439">
      <c r="A41" s="2278">
        <f>IF(B41&lt;&gt;$D$3,"◌ Other",IF(C41="REGIONAL / ALL MUNICIPALITIES","Regional",IF(OR(ISNUMBER(SEARCH(LEFT('Property Info'!$B$17,MAX(1,FIND(",",'Property Info'!$B$17&amp;",")-1)),C41)),ISNUMBER(SEARCH('Property Info'!$B$18,C41))),"★ Active","–")))</f>
        <v/>
      </c>
      <c r="B41" s="2278" t="inlineStr">
        <is>
          <t>Adams County</t>
        </is>
      </c>
      <c r="C41" s="2278" t="inlineStr">
        <is>
          <t>Adams County (Unincorporated)</t>
        </is>
      </c>
      <c r="D41" s="2278" t="inlineStr">
        <is>
          <t>Economic Development</t>
        </is>
      </c>
      <c r="E41" s="2278" t="inlineStr">
        <is>
          <t>Community &amp; Economic Development (CEDD)</t>
        </is>
      </c>
      <c r="F41" s="2277" t="inlineStr">
        <is>
          <t>https://adamscountyco.gov/our-county/community-economic-development/</t>
        </is>
      </c>
      <c r="G41" s="2272" t="inlineStr">
        <is>
          <t>County economic dev office</t>
        </is>
      </c>
    </row>
    <row r="42" ht="14" customHeight="1" s="1439">
      <c r="A42" s="2276">
        <f>IF(B42&lt;&gt;$D$3,"◌ Other",IF(C42="REGIONAL / ALL MUNICIPALITIES","Regional",IF(OR(ISNUMBER(SEARCH(LEFT('Property Info'!$B$17,MAX(1,FIND(",",'Property Info'!$B$17&amp;",")-1)),C42)),ISNUMBER(SEARCH('Property Info'!$B$18,C42))),"★ Active","–")))</f>
        <v/>
      </c>
      <c r="B42" s="2276" t="inlineStr">
        <is>
          <t>Adams County</t>
        </is>
      </c>
      <c r="C42" s="2276" t="inlineStr">
        <is>
          <t>Adams County (Unincorporated)</t>
        </is>
      </c>
      <c r="D42" s="2276" t="inlineStr">
        <is>
          <t>Economic Development</t>
        </is>
      </c>
      <c r="E42" s="2276" t="inlineStr">
        <is>
          <t>ChooseAdams</t>
        </is>
      </c>
      <c r="F42" s="2277" t="inlineStr">
        <is>
          <t>https://chooseadams.org/business-services/</t>
        </is>
      </c>
      <c r="G42" s="2270" t="inlineStr">
        <is>
          <t>Business attraction portal</t>
        </is>
      </c>
    </row>
    <row r="43" ht="14" customHeight="1" s="1439">
      <c r="A43" s="2278">
        <f>IF(B43&lt;&gt;$D$3,"◌ Other",IF(C43="REGIONAL / ALL MUNICIPALITIES","Regional",IF(OR(ISNUMBER(SEARCH(LEFT('Property Info'!$B$17,MAX(1,FIND(",",'Property Info'!$B$17&amp;",")-1)),C43)),ISNUMBER(SEARCH('Property Info'!$B$18,C43))),"★ Active","–")))</f>
        <v/>
      </c>
      <c r="B43" s="2278" t="inlineStr">
        <is>
          <t>Adams County</t>
        </is>
      </c>
      <c r="C43" s="2278" t="inlineStr">
        <is>
          <t>Adams County (Unincorporated)</t>
        </is>
      </c>
      <c r="D43" s="2278" t="inlineStr">
        <is>
          <t>Economic Development</t>
        </is>
      </c>
      <c r="E43" s="2278" t="inlineStr">
        <is>
          <t>Adams County EDC</t>
        </is>
      </c>
      <c r="F43" s="2277" t="inlineStr">
        <is>
          <t>https://adamscountyedc.com/</t>
        </is>
      </c>
      <c r="G43" s="2272" t="inlineStr">
        <is>
          <t>Economic Development Corporation</t>
        </is>
      </c>
    </row>
    <row r="44" ht="14" customHeight="1" s="1439">
      <c r="A44" s="2276">
        <f>IF(B44&lt;&gt;$D$3,"◌ Other",IF(C44="REGIONAL / ALL MUNICIPALITIES","Regional",IF(OR(ISNUMBER(SEARCH(LEFT('Property Info'!$B$17,MAX(1,FIND(",",'Property Info'!$B$17&amp;",")-1)),C44)),ISNUMBER(SEARCH('Property Info'!$B$18,C44))),"★ Active","–")))</f>
        <v/>
      </c>
      <c r="B44" s="2276" t="inlineStr">
        <is>
          <t>Adams County</t>
        </is>
      </c>
      <c r="C44" s="2276" t="inlineStr">
        <is>
          <t>Adams County (Unincorporated)</t>
        </is>
      </c>
      <c r="D44" s="2276" t="inlineStr">
        <is>
          <t>Economic Development</t>
        </is>
      </c>
      <c r="E44" s="2276" t="inlineStr">
        <is>
          <t>2025 Economic Profile</t>
        </is>
      </c>
      <c r="F44" s="2277" t="inlineStr">
        <is>
          <t>https://adamscountyco.gov/wp-content/uploads/2025/11/2025-Adams-County-Economic-Profile-CED.pdf</t>
        </is>
      </c>
      <c r="G44" s="2270" t="inlineStr">
        <is>
          <t>Annual economic profile PDF</t>
        </is>
      </c>
    </row>
    <row r="45" ht="14" customHeight="1" s="1439">
      <c r="A45" s="2278">
        <f>IF(B45&lt;&gt;$D$3,"◌ Other",IF(C45="REGIONAL / ALL MUNICIPALITIES","Regional",IF(OR(ISNUMBER(SEARCH(LEFT('Property Info'!$B$17,MAX(1,FIND(",",'Property Info'!$B$17&amp;",")-1)),C45)),ISNUMBER(SEARCH('Property Info'!$B$18,C45))),"★ Active","–")))</f>
        <v/>
      </c>
      <c r="B45" s="2278" t="inlineStr">
        <is>
          <t>Adams County</t>
        </is>
      </c>
      <c r="C45" s="2278" t="inlineStr">
        <is>
          <t>Adams County (Unincorporated)</t>
        </is>
      </c>
      <c r="D45" s="2278" t="inlineStr">
        <is>
          <t>Public Works / ROW</t>
        </is>
      </c>
      <c r="E45" s="2278" t="inlineStr">
        <is>
          <t>Public Works</t>
        </is>
      </c>
      <c r="F45" s="2277" t="inlineStr">
        <is>
          <t>https://adcogov.org/public-works</t>
        </is>
      </c>
      <c r="G45" s="2272" t="inlineStr">
        <is>
          <t>ROW permits and infrastructure info</t>
        </is>
      </c>
    </row>
    <row r="46" ht="14" customHeight="1" s="1439">
      <c r="A46" s="2276">
        <f>IF(B46&lt;&gt;$D$3,"◌ Other",IF(C46="REGIONAL / ALL MUNICIPALITIES","Regional",IF(OR(ISNUMBER(SEARCH(LEFT('Property Info'!$B$17,MAX(1,FIND(",",'Property Info'!$B$17&amp;",")-1)),C46)),ISNUMBER(SEARCH('Property Info'!$B$18,C46))),"★ Active","–")))</f>
        <v/>
      </c>
      <c r="B46" s="2276" t="inlineStr">
        <is>
          <t>Adams County</t>
        </is>
      </c>
      <c r="C46" s="2276" t="inlineStr">
        <is>
          <t>Brighton</t>
        </is>
      </c>
      <c r="D46" s="2276" t="inlineStr">
        <is>
          <t>Property Assessment</t>
        </is>
      </c>
      <c r="E46" s="2276" t="inlineStr">
        <is>
          <t>Adams County Assessor (Property Lookup)</t>
        </is>
      </c>
      <c r="F46" s="2277" t="inlineStr">
        <is>
          <t>https://adcogov.org/property-look</t>
        </is>
      </c>
      <c r="G46" s="2270" t="inlineStr">
        <is>
          <t>Brighton is fully within Adams County</t>
        </is>
      </c>
    </row>
    <row r="47" ht="14" customHeight="1" s="1439">
      <c r="A47" s="2278">
        <f>IF(B47&lt;&gt;$D$3,"◌ Other",IF(C47="REGIONAL / ALL MUNICIPALITIES","Regional",IF(OR(ISNUMBER(SEARCH(LEFT('Property Info'!$B$17,MAX(1,FIND(",",'Property Info'!$B$17&amp;",")-1)),C47)),ISNUMBER(SEARCH('Property Info'!$B$18,C47))),"★ Active","–")))</f>
        <v/>
      </c>
      <c r="B47" s="2278" t="inlineStr">
        <is>
          <t>Adams County</t>
        </is>
      </c>
      <c r="C47" s="2278" t="inlineStr">
        <is>
          <t>Brighton</t>
        </is>
      </c>
      <c r="D47" s="2278" t="inlineStr">
        <is>
          <t>Property Tax / Treasurer</t>
        </is>
      </c>
      <c r="E47" s="2278" t="inlineStr">
        <is>
          <t>Online Tax Payment</t>
        </is>
      </c>
      <c r="F47" s="2277" t="inlineStr">
        <is>
          <t>https://adcotax.com/treasurer/web/login.jsp</t>
        </is>
      </c>
      <c r="G47" s="2272" t="inlineStr">
        <is>
          <t>Adams County tax payment portal</t>
        </is>
      </c>
    </row>
    <row r="48" ht="14" customHeight="1" s="1439">
      <c r="A48" s="2276">
        <f>IF(B48&lt;&gt;$D$3,"◌ Other",IF(C48="REGIONAL / ALL MUNICIPALITIES","Regional",IF(OR(ISNUMBER(SEARCH(LEFT('Property Info'!$B$17,MAX(1,FIND(",",'Property Info'!$B$17&amp;",")-1)),C48)),ISNUMBER(SEARCH('Property Info'!$B$18,C48))),"★ Active","–")))</f>
        <v/>
      </c>
      <c r="B48" s="2276" t="inlineStr">
        <is>
          <t>Adams County</t>
        </is>
      </c>
      <c r="C48" s="2276" t="inlineStr">
        <is>
          <t>Brighton</t>
        </is>
      </c>
      <c r="D48" s="2276" t="inlineStr">
        <is>
          <t>Property Tax / Treasurer</t>
        </is>
      </c>
      <c r="E48" s="2276" t="inlineStr">
        <is>
          <t>Property Tax Inquiry</t>
        </is>
      </c>
      <c r="F48" s="2277" t="inlineStr">
        <is>
          <t>https://adcotax.com/treasurer/web/loginPOST.jsp?guest=true</t>
        </is>
      </c>
      <c r="G48" s="2270" t="inlineStr">
        <is>
          <t>Tax account search — balances and payment history (guest access, no login required)</t>
        </is>
      </c>
    </row>
    <row r="49" ht="14" customHeight="1" s="1439">
      <c r="A49" s="2278">
        <f>IF(B49&lt;&gt;$D$3,"◌ Other",IF(C49="REGIONAL / ALL MUNICIPALITIES","Regional",IF(OR(ISNUMBER(SEARCH(LEFT('Property Info'!$B$17,MAX(1,FIND(",",'Property Info'!$B$17&amp;",")-1)),C49)),ISNUMBER(SEARCH('Property Info'!$B$18,C49))),"★ Active","–")))</f>
        <v/>
      </c>
      <c r="B49" s="2278" t="inlineStr">
        <is>
          <t>Adams County</t>
        </is>
      </c>
      <c r="C49" s="2278" t="inlineStr">
        <is>
          <t>Brighton</t>
        </is>
      </c>
      <c r="D49" s="2278" t="inlineStr">
        <is>
          <t>Deed / Title Records</t>
        </is>
      </c>
      <c r="E49" s="2278" t="inlineStr">
        <is>
          <t>Landmark Web Document Search</t>
        </is>
      </c>
      <c r="F49" s="2277" t="inlineStr">
        <is>
          <t>https://recording.adcogov.org/landmarkweb</t>
        </is>
      </c>
      <c r="G49" s="2272" t="inlineStr">
        <is>
          <t>Adams County deed/title records</t>
        </is>
      </c>
    </row>
    <row r="50" ht="14" customHeight="1" s="1439">
      <c r="A50" s="2276">
        <f>IF(B50&lt;&gt;$D$3,"◌ Other",IF(C50="REGIONAL / ALL MUNICIPALITIES","Regional",IF(OR(ISNUMBER(SEARCH(LEFT('Property Info'!$B$17,MAX(1,FIND(",",'Property Info'!$B$17&amp;",")-1)),C50)),ISNUMBER(SEARCH('Property Info'!$B$18,C50))),"★ Active","–")))</f>
        <v/>
      </c>
      <c r="B50" s="2276" t="inlineStr">
        <is>
          <t>Adams County</t>
        </is>
      </c>
      <c r="C50" s="2276" t="inlineStr">
        <is>
          <t>Brighton</t>
        </is>
      </c>
      <c r="D50" s="2276" t="inlineStr">
        <is>
          <t>GIS / Mapping</t>
        </is>
      </c>
      <c r="E50" s="2276" t="inlineStr">
        <is>
          <t>GIS Division</t>
        </is>
      </c>
      <c r="F50" s="2277" t="inlineStr">
        <is>
          <t>https://www.brightonco.gov/248/Geographic-Information-Systems</t>
        </is>
      </c>
      <c r="G50" s="2270" t="inlineStr">
        <is>
          <t>Brighton GIS maps and data</t>
        </is>
      </c>
    </row>
    <row r="51" ht="14" customHeight="1" s="1439">
      <c r="A51" s="2278">
        <f>IF(B51&lt;&gt;$D$3,"◌ Other",IF(C51="REGIONAL / ALL MUNICIPALITIES","Regional",IF(OR(ISNUMBER(SEARCH(LEFT('Property Info'!$B$17,MAX(1,FIND(",",'Property Info'!$B$17&amp;",")-1)),C51)),ISNUMBER(SEARCH('Property Info'!$B$18,C51))),"★ Active","–")))</f>
        <v/>
      </c>
      <c r="B51" s="2278" t="inlineStr">
        <is>
          <t>Adams County</t>
        </is>
      </c>
      <c r="C51" s="2278" t="inlineStr">
        <is>
          <t>Brighton</t>
        </is>
      </c>
      <c r="D51" s="2278" t="inlineStr">
        <is>
          <t>GIS / Mapping</t>
        </is>
      </c>
      <c r="E51" s="2278" t="inlineStr">
        <is>
          <t>Interactive Development Map</t>
        </is>
      </c>
      <c r="F51" s="2277" t="inlineStr">
        <is>
          <t>https://www.brightonco.gov/1596/Interactive-Development-Map</t>
        </is>
      </c>
      <c r="G51" s="2272" t="inlineStr">
        <is>
          <t>Active development projects map</t>
        </is>
      </c>
    </row>
    <row r="52" ht="14" customHeight="1" s="1439">
      <c r="A52" s="2276">
        <f>IF(B52&lt;&gt;$D$3,"◌ Other",IF(C52="REGIONAL / ALL MUNICIPALITIES","Regional",IF(OR(ISNUMBER(SEARCH(LEFT('Property Info'!$B$17,MAX(1,FIND(",",'Property Info'!$B$17&amp;",")-1)),C52)),ISNUMBER(SEARCH('Property Info'!$B$18,C52))),"★ Active","–")))</f>
        <v/>
      </c>
      <c r="B52" s="2276" t="inlineStr">
        <is>
          <t>Adams County</t>
        </is>
      </c>
      <c r="C52" s="2276" t="inlineStr">
        <is>
          <t>Brighton</t>
        </is>
      </c>
      <c r="D52" s="2276" t="inlineStr">
        <is>
          <t>Permits</t>
        </is>
      </c>
      <c r="E52" s="2276" t="inlineStr">
        <is>
          <t>Permitting Portal</t>
        </is>
      </c>
      <c r="F52" s="2277" t="inlineStr">
        <is>
          <t>https://www.brightonco.gov/222/Permitting</t>
        </is>
      </c>
      <c r="G52" s="2270" t="inlineStr">
        <is>
          <t>Building permit applications and search</t>
        </is>
      </c>
    </row>
    <row r="53" ht="14" customHeight="1" s="1439">
      <c r="A53" s="2278">
        <f>IF(B53&lt;&gt;$D$3,"◌ Other",IF(C53="REGIONAL / ALL MUNICIPALITIES","Regional",IF(OR(ISNUMBER(SEARCH(LEFT('Property Info'!$B$17,MAX(1,FIND(",",'Property Info'!$B$17&amp;",")-1)),C53)),ISNUMBER(SEARCH('Property Info'!$B$18,C53))),"★ Active","–")))</f>
        <v/>
      </c>
      <c r="B53" s="2278" t="inlineStr">
        <is>
          <t>Adams County</t>
        </is>
      </c>
      <c r="C53" s="2278" t="inlineStr">
        <is>
          <t>Brighton</t>
        </is>
      </c>
      <c r="D53" s="2278" t="inlineStr">
        <is>
          <t>Permits</t>
        </is>
      </c>
      <c r="E53" s="2278" t="inlineStr">
        <is>
          <t>Inspections</t>
        </is>
      </c>
      <c r="F53" s="2277" t="inlineStr">
        <is>
          <t>https://www.brightonco.gov/1130/Inspections</t>
        </is>
      </c>
      <c r="G53" s="2272" t="inlineStr">
        <is>
          <t>Schedule and track inspections</t>
        </is>
      </c>
    </row>
    <row r="54" ht="14" customHeight="1" s="1439">
      <c r="A54" s="2276">
        <f>IF(B54&lt;&gt;$D$3,"◌ Other",IF(C54="REGIONAL / ALL MUNICIPALITIES","Regional",IF(OR(ISNUMBER(SEARCH(LEFT('Property Info'!$B$17,MAX(1,FIND(",",'Property Info'!$B$17&amp;",")-1)),C54)),ISNUMBER(SEARCH('Property Info'!$B$18,C54))),"★ Active","–")))</f>
        <v/>
      </c>
      <c r="B54" s="2276" t="inlineStr">
        <is>
          <t>Adams County</t>
        </is>
      </c>
      <c r="C54" s="2276" t="inlineStr">
        <is>
          <t>Brighton</t>
        </is>
      </c>
      <c r="D54" s="2276" t="inlineStr">
        <is>
          <t>Permits</t>
        </is>
      </c>
      <c r="E54" s="2276" t="inlineStr">
        <is>
          <t>Land Use &amp; Development Applications</t>
        </is>
      </c>
      <c r="F54" s="2277" t="inlineStr">
        <is>
          <t>https://www.brightonco.gov/1142/Land-Use-Development-Applications</t>
        </is>
      </c>
      <c r="G54" s="2270" t="inlineStr">
        <is>
          <t>Development application tracker</t>
        </is>
      </c>
    </row>
    <row r="55" ht="14" customHeight="1" s="1439">
      <c r="A55" s="2278">
        <f>IF(B55&lt;&gt;$D$3,"◌ Other",IF(C55="REGIONAL / ALL MUNICIPALITIES","Regional",IF(OR(ISNUMBER(SEARCH(LEFT('Property Info'!$B$17,MAX(1,FIND(",",'Property Info'!$B$17&amp;",")-1)),C55)),ISNUMBER(SEARCH('Property Info'!$B$18,C55))),"★ Active","–")))</f>
        <v/>
      </c>
      <c r="B55" s="2278" t="inlineStr">
        <is>
          <t>Adams County</t>
        </is>
      </c>
      <c r="C55" s="2278" t="inlineStr">
        <is>
          <t>Brighton</t>
        </is>
      </c>
      <c r="D55" s="2278" t="inlineStr">
        <is>
          <t>Permits</t>
        </is>
      </c>
      <c r="E55" s="2278" t="inlineStr">
        <is>
          <t>Development Services</t>
        </is>
      </c>
      <c r="F55" s="2277" t="inlineStr">
        <is>
          <t>https://www.brightonco.gov/1162/Development-Services</t>
        </is>
      </c>
      <c r="G55" s="2272" t="inlineStr">
        <is>
          <t>Development services department</t>
        </is>
      </c>
    </row>
    <row r="56" ht="14" customHeight="1" s="1439">
      <c r="A56" s="2276">
        <f>IF(B56&lt;&gt;$D$3,"◌ Other",IF(C56="REGIONAL / ALL MUNICIPALITIES","Regional",IF(OR(ISNUMBER(SEARCH(LEFT('Property Info'!$B$17,MAX(1,FIND(",",'Property Info'!$B$17&amp;",")-1)),C56)),ISNUMBER(SEARCH('Property Info'!$B$18,C56))),"★ Active","–")))</f>
        <v/>
      </c>
      <c r="B56" s="2276" t="inlineStr">
        <is>
          <t>Adams County</t>
        </is>
      </c>
      <c r="C56" s="2276" t="inlineStr">
        <is>
          <t>Brighton</t>
        </is>
      </c>
      <c r="D56" s="2276" t="inlineStr">
        <is>
          <t>Permits</t>
        </is>
      </c>
      <c r="E56" s="2276" t="inlineStr">
        <is>
          <t>Permit Reports (Commercial/Residential)</t>
        </is>
      </c>
      <c r="F56" s="2277" t="inlineStr">
        <is>
          <t>https://brightonco.gov/1143/Reports</t>
        </is>
      </c>
      <c r="G56" s="2270" t="inlineStr">
        <is>
          <t>Issued permit statistics</t>
        </is>
      </c>
    </row>
    <row r="57" ht="14" customHeight="1" s="1439">
      <c r="A57" s="2278">
        <f>IF(B57&lt;&gt;$D$3,"◌ Other",IF(C57="REGIONAL / ALL MUNICIPALITIES","Regional",IF(OR(ISNUMBER(SEARCH(LEFT('Property Info'!$B$17,MAX(1,FIND(",",'Property Info'!$B$17&amp;",")-1)),C57)),ISNUMBER(SEARCH('Property Info'!$B$18,C57))),"★ Active","–")))</f>
        <v/>
      </c>
      <c r="B57" s="2278" t="inlineStr">
        <is>
          <t>Adams County</t>
        </is>
      </c>
      <c r="C57" s="2278" t="inlineStr">
        <is>
          <t>Brighton</t>
        </is>
      </c>
      <c r="D57" s="2278" t="inlineStr">
        <is>
          <t>Zoning / Planning</t>
        </is>
      </c>
      <c r="E57" s="2278" t="inlineStr">
        <is>
          <t>Planning &amp; Zoning Main Page</t>
        </is>
      </c>
      <c r="F57" s="2277" t="inlineStr">
        <is>
          <t>https://www.brightonco.gov/224/Planning-Zoning</t>
        </is>
      </c>
      <c r="G57" s="2272" t="inlineStr">
        <is>
          <t>Zoning information and staff contacts</t>
        </is>
      </c>
    </row>
    <row r="58" ht="14" customHeight="1" s="1439">
      <c r="A58" s="2276">
        <f>IF(B58&lt;&gt;$D$3,"◌ Other",IF(C58="REGIONAL / ALL MUNICIPALITIES","Regional",IF(OR(ISNUMBER(SEARCH(LEFT('Property Info'!$B$17,MAX(1,FIND(",",'Property Info'!$B$17&amp;",")-1)),C58)),ISNUMBER(SEARCH('Property Info'!$B$18,C58))),"★ Active","–")))</f>
        <v/>
      </c>
      <c r="B58" s="2276" t="inlineStr">
        <is>
          <t>Adams County</t>
        </is>
      </c>
      <c r="C58" s="2276" t="inlineStr">
        <is>
          <t>Brighton</t>
        </is>
      </c>
      <c r="D58" s="2276" t="inlineStr">
        <is>
          <t>Zoning / Planning</t>
        </is>
      </c>
      <c r="E58" s="2276" t="inlineStr">
        <is>
          <t>Land Use &amp; Development Code</t>
        </is>
      </c>
      <c r="F58" s="2277" t="inlineStr">
        <is>
          <t>https://www.brightonco.gov/363/Land-Use-Development-Code</t>
        </is>
      </c>
      <c r="G58" s="2270" t="inlineStr">
        <is>
          <t>Brighton's zoning code (Article 17 of Municipal Code)</t>
        </is>
      </c>
    </row>
    <row r="59" ht="14" customHeight="1" s="1439">
      <c r="A59" s="2278">
        <f>IF(B59&lt;&gt;$D$3,"◌ Other",IF(C59="REGIONAL / ALL MUNICIPALITIES","Regional",IF(OR(ISNUMBER(SEARCH(LEFT('Property Info'!$B$17,MAX(1,FIND(",",'Property Info'!$B$17&amp;",")-1)),C59)),ISNUMBER(SEARCH('Property Info'!$B$18,C59))),"★ Active","–")))</f>
        <v/>
      </c>
      <c r="B59" s="2278" t="inlineStr">
        <is>
          <t>Adams County</t>
        </is>
      </c>
      <c r="C59" s="2278" t="inlineStr">
        <is>
          <t>Brighton</t>
        </is>
      </c>
      <c r="D59" s="2278" t="inlineStr">
        <is>
          <t>Zoning / Planning</t>
        </is>
      </c>
      <c r="E59" s="2278" t="inlineStr">
        <is>
          <t>Long Range Planning / Comprehensive Plan</t>
        </is>
      </c>
      <c r="F59" s="2277" t="inlineStr">
        <is>
          <t>https://www.brightonco.gov/553/Long-Range-Planning</t>
        </is>
      </c>
      <c r="G59" s="2272" t="inlineStr">
        <is>
          <t>Be Brighton Comprehensive Plan</t>
        </is>
      </c>
    </row>
    <row r="60" ht="14" customHeight="1" s="1439">
      <c r="A60" s="2276">
        <f>IF(B60&lt;&gt;$D$3,"◌ Other",IF(C60="REGIONAL / ALL MUNICIPALITIES","Regional",IF(OR(ISNUMBER(SEARCH(LEFT('Property Info'!$B$17,MAX(1,FIND(",",'Property Info'!$B$17&amp;",")-1)),C60)),ISNUMBER(SEARCH('Property Info'!$B$18,C60))),"★ Active","–")))</f>
        <v/>
      </c>
      <c r="B60" s="2276" t="inlineStr">
        <is>
          <t>Adams County</t>
        </is>
      </c>
      <c r="C60" s="2276" t="inlineStr">
        <is>
          <t>Brighton</t>
        </is>
      </c>
      <c r="D60" s="2276" t="inlineStr">
        <is>
          <t>Flood Zone</t>
        </is>
      </c>
      <c r="E60" s="2276" t="inlineStr">
        <is>
          <t>FEMA Map Service Center</t>
        </is>
      </c>
      <c r="F60" s="2277" t="inlineStr">
        <is>
          <t>https://msc.fema.gov/</t>
        </is>
      </c>
      <c r="G60" s="2270" t="inlineStr">
        <is>
          <t>Address-specific FEMA FIRM lookup</t>
        </is>
      </c>
    </row>
    <row r="61" ht="14" customHeight="1" s="1439">
      <c r="A61" s="2278">
        <f>IF(B61&lt;&gt;$D$3,"◌ Other",IF(C61="REGIONAL / ALL MUNICIPALITIES","Regional",IF(OR(ISNUMBER(SEARCH(LEFT('Property Info'!$B$17,MAX(1,FIND(",",'Property Info'!$B$17&amp;",")-1)),C61)),ISNUMBER(SEARCH('Property Info'!$B$18,C61))),"★ Active","–")))</f>
        <v/>
      </c>
      <c r="B61" s="2278" t="inlineStr">
        <is>
          <t>Adams County</t>
        </is>
      </c>
      <c r="C61" s="2278" t="inlineStr">
        <is>
          <t>Brighton</t>
        </is>
      </c>
      <c r="D61" s="2278" t="inlineStr">
        <is>
          <t>Flood Zone</t>
        </is>
      </c>
      <c r="E61" s="2278" t="inlineStr">
        <is>
          <t>Adams County Floodplain Management</t>
        </is>
      </c>
      <c r="F61" s="2277" t="inlineStr">
        <is>
          <t>https://adamscountyco.gov/our-county/community-economic-development/floodplain-management/</t>
        </is>
      </c>
      <c r="G61" s="2272" t="inlineStr">
        <is>
          <t>County floodplain resources</t>
        </is>
      </c>
    </row>
    <row r="62" ht="14" customHeight="1" s="1439">
      <c r="A62" s="2276">
        <f>IF(B62&lt;&gt;$D$3,"◌ Other",IF(C62="REGIONAL / ALL MUNICIPALITIES","Regional",IF(OR(ISNUMBER(SEARCH(LEFT('Property Info'!$B$17,MAX(1,FIND(",",'Property Info'!$B$17&amp;",")-1)),C62)),ISNUMBER(SEARCH('Property Info'!$B$18,C62))),"★ Active","–")))</f>
        <v/>
      </c>
      <c r="B62" s="2276" t="inlineStr">
        <is>
          <t>Adams County</t>
        </is>
      </c>
      <c r="C62" s="2276" t="inlineStr">
        <is>
          <t>Brighton</t>
        </is>
      </c>
      <c r="D62" s="2276" t="inlineStr">
        <is>
          <t>Crime / Safety</t>
        </is>
      </c>
      <c r="E62" s="2276" t="inlineStr">
        <is>
          <t>Weekly Crime Reports &amp; Crime Map</t>
        </is>
      </c>
      <c r="F62" s="2277" t="inlineStr">
        <is>
          <t>https://www.brightonco.gov/1862/Weekly-Crime-Reports-Crime-Map</t>
        </is>
      </c>
      <c r="G62" s="2270" t="inlineStr">
        <is>
          <t>Brighton PD crime map and reports</t>
        </is>
      </c>
    </row>
    <row r="63" ht="14" customHeight="1" s="1439">
      <c r="A63" s="2278">
        <f>IF(B63&lt;&gt;$D$3,"◌ Other",IF(C63="REGIONAL / ALL MUNICIPALITIES","Regional",IF(OR(ISNUMBER(SEARCH(LEFT('Property Info'!$B$17,MAX(1,FIND(",",'Property Info'!$B$17&amp;",")-1)),C63)),ISNUMBER(SEARCH('Property Info'!$B$18,C63))),"★ Active","–")))</f>
        <v/>
      </c>
      <c r="B63" s="2278" t="inlineStr">
        <is>
          <t>Adams County</t>
        </is>
      </c>
      <c r="C63" s="2278" t="inlineStr">
        <is>
          <t>Brighton</t>
        </is>
      </c>
      <c r="D63" s="2278" t="inlineStr">
        <is>
          <t>Public Records</t>
        </is>
      </c>
      <c r="E63" s="2278" t="inlineStr">
        <is>
          <t>Requesting Records (CORA)</t>
        </is>
      </c>
      <c r="F63" s="2277" t="inlineStr">
        <is>
          <t>https://www.brightonco.gov/213/Requesting-Records-Information</t>
        </is>
      </c>
      <c r="G63" s="2272" t="inlineStr">
        <is>
          <t>Public records request process</t>
        </is>
      </c>
    </row>
    <row r="64" ht="14" customHeight="1" s="1439">
      <c r="A64" s="2276">
        <f>IF(B64&lt;&gt;$D$3,"◌ Other",IF(C64="REGIONAL / ALL MUNICIPALITIES","Regional",IF(OR(ISNUMBER(SEARCH(LEFT('Property Info'!$B$17,MAX(1,FIND(",",'Property Info'!$B$17&amp;",")-1)),C64)),ISNUMBER(SEARCH('Property Info'!$B$18,C64))),"★ Active","–")))</f>
        <v/>
      </c>
      <c r="B64" s="2276" t="inlineStr">
        <is>
          <t>Adams County</t>
        </is>
      </c>
      <c r="C64" s="2276" t="inlineStr">
        <is>
          <t>Brighton</t>
        </is>
      </c>
      <c r="D64" s="2276" t="inlineStr">
        <is>
          <t>School Districts</t>
        </is>
      </c>
      <c r="E64" s="2276" t="inlineStr">
        <is>
          <t>School District 27J (Brighton)</t>
        </is>
      </c>
      <c r="F64" s="2277" t="inlineStr">
        <is>
          <t>https://www.sd27j.org/</t>
        </is>
      </c>
      <c r="G64" s="2270" t="inlineStr">
        <is>
          <t>Primary school district for Brighton</t>
        </is>
      </c>
    </row>
    <row r="65" ht="14" customHeight="1" s="1439">
      <c r="A65" s="2278">
        <f>IF(B65&lt;&gt;$D$3,"◌ Other",IF(C65="REGIONAL / ALL MUNICIPALITIES","Regional",IF(OR(ISNUMBER(SEARCH(LEFT('Property Info'!$B$17,MAX(1,FIND(",",'Property Info'!$B$17&amp;",")-1)),C65)),ISNUMBER(SEARCH('Property Info'!$B$18,C65))),"★ Active","–")))</f>
        <v/>
      </c>
      <c r="B65" s="2278" t="inlineStr">
        <is>
          <t>Adams County</t>
        </is>
      </c>
      <c r="C65" s="2278" t="inlineStr">
        <is>
          <t>Commerce City</t>
        </is>
      </c>
      <c r="D65" s="2278" t="inlineStr">
        <is>
          <t>Property Assessment</t>
        </is>
      </c>
      <c r="E65" s="2278" t="inlineStr">
        <is>
          <t>Adams County Assessor (Property Lookup)</t>
        </is>
      </c>
      <c r="F65" s="2277" t="inlineStr">
        <is>
          <t>https://adcogov.org/property-look</t>
        </is>
      </c>
      <c r="G65" s="2272" t="inlineStr">
        <is>
          <t>Commerce City is fully within Adams County</t>
        </is>
      </c>
    </row>
    <row r="66" ht="14" customHeight="1" s="1439">
      <c r="A66" s="2276">
        <f>IF(B66&lt;&gt;$D$3,"◌ Other",IF(C66="REGIONAL / ALL MUNICIPALITIES","Regional",IF(OR(ISNUMBER(SEARCH(LEFT('Property Info'!$B$17,MAX(1,FIND(",",'Property Info'!$B$17&amp;",")-1)),C66)),ISNUMBER(SEARCH('Property Info'!$B$18,C66))),"★ Active","–")))</f>
        <v/>
      </c>
      <c r="B66" s="2276" t="inlineStr">
        <is>
          <t>Adams County</t>
        </is>
      </c>
      <c r="C66" s="2276" t="inlineStr">
        <is>
          <t>Commerce City</t>
        </is>
      </c>
      <c r="D66" s="2276" t="inlineStr">
        <is>
          <t>Property Tax / Treasurer</t>
        </is>
      </c>
      <c r="E66" s="2276" t="inlineStr">
        <is>
          <t>Online Tax Payment</t>
        </is>
      </c>
      <c r="F66" s="2277" t="inlineStr">
        <is>
          <t>https://adcotax.com/treasurer/web/login.jsp</t>
        </is>
      </c>
      <c r="G66" s="2270" t="inlineStr">
        <is>
          <t>Adams County tax payment portal</t>
        </is>
      </c>
    </row>
    <row r="67" ht="14" customHeight="1" s="1439">
      <c r="A67" s="2278">
        <f>IF(B67&lt;&gt;$D$3,"◌ Other",IF(C67="REGIONAL / ALL MUNICIPALITIES","Regional",IF(OR(ISNUMBER(SEARCH(LEFT('Property Info'!$B$17,MAX(1,FIND(",",'Property Info'!$B$17&amp;",")-1)),C67)),ISNUMBER(SEARCH('Property Info'!$B$18,C67))),"★ Active","–")))</f>
        <v/>
      </c>
      <c r="B67" s="2278" t="inlineStr">
        <is>
          <t>Adams County</t>
        </is>
      </c>
      <c r="C67" s="2278" t="inlineStr">
        <is>
          <t>Commerce City</t>
        </is>
      </c>
      <c r="D67" s="2278" t="inlineStr">
        <is>
          <t>Property Tax / Treasurer</t>
        </is>
      </c>
      <c r="E67" s="2278" t="inlineStr">
        <is>
          <t>Property Tax Inquiry</t>
        </is>
      </c>
      <c r="F67" s="2277" t="inlineStr">
        <is>
          <t>https://adcotax.com/treasurer/web/loginPOST.jsp?guest=true</t>
        </is>
      </c>
      <c r="G67" s="2272" t="inlineStr">
        <is>
          <t>Tax account search — balances and payment history (guest access, no login required)</t>
        </is>
      </c>
    </row>
    <row r="68" ht="14" customHeight="1" s="1439">
      <c r="A68" s="2276">
        <f>IF(B68&lt;&gt;$D$3,"◌ Other",IF(C68="REGIONAL / ALL MUNICIPALITIES","Regional",IF(OR(ISNUMBER(SEARCH(LEFT('Property Info'!$B$17,MAX(1,FIND(",",'Property Info'!$B$17&amp;",")-1)),C68)),ISNUMBER(SEARCH('Property Info'!$B$18,C68))),"★ Active","–")))</f>
        <v/>
      </c>
      <c r="B68" s="2276" t="inlineStr">
        <is>
          <t>Adams County</t>
        </is>
      </c>
      <c r="C68" s="2276" t="inlineStr">
        <is>
          <t>Commerce City</t>
        </is>
      </c>
      <c r="D68" s="2276" t="inlineStr">
        <is>
          <t>Deed / Title Records</t>
        </is>
      </c>
      <c r="E68" s="2276" t="inlineStr">
        <is>
          <t>Landmark Web Document Search</t>
        </is>
      </c>
      <c r="F68" s="2277" t="inlineStr">
        <is>
          <t>https://recording.adcogov.org/landmarkweb</t>
        </is>
      </c>
      <c r="G68" s="2270" t="inlineStr">
        <is>
          <t>Adams County deed/title records</t>
        </is>
      </c>
    </row>
    <row r="69" ht="14" customHeight="1" s="1439">
      <c r="A69" s="2278">
        <f>IF(B69&lt;&gt;$D$3,"◌ Other",IF(C69="REGIONAL / ALL MUNICIPALITIES","Regional",IF(OR(ISNUMBER(SEARCH(LEFT('Property Info'!$B$17,MAX(1,FIND(",",'Property Info'!$B$17&amp;",")-1)),C69)),ISNUMBER(SEARCH('Property Info'!$B$18,C69))),"★ Active","–")))</f>
        <v/>
      </c>
      <c r="B69" s="2278" t="inlineStr">
        <is>
          <t>Adams County</t>
        </is>
      </c>
      <c r="C69" s="2278" t="inlineStr">
        <is>
          <t>Commerce City</t>
        </is>
      </c>
      <c r="D69" s="2278" t="inlineStr">
        <is>
          <t>GIS / Mapping</t>
        </is>
      </c>
      <c r="E69" s="2278" t="inlineStr">
        <is>
          <t>Maps Data &amp; GIS</t>
        </is>
      </c>
      <c r="F69" s="2277" t="inlineStr">
        <is>
          <t>https://www.c3gov.com/Residents/Maps-Data-GIS</t>
        </is>
      </c>
      <c r="G69" s="2272" t="inlineStr">
        <is>
          <t>City GIS maps and data</t>
        </is>
      </c>
    </row>
    <row r="70" ht="14" customHeight="1" s="1439">
      <c r="A70" s="2276">
        <f>IF(B70&lt;&gt;$D$3,"◌ Other",IF(C70="REGIONAL / ALL MUNICIPALITIES","Regional",IF(OR(ISNUMBER(SEARCH(LEFT('Property Info'!$B$17,MAX(1,FIND(",",'Property Info'!$B$17&amp;",")-1)),C70)),ISNUMBER(SEARCH('Property Info'!$B$18,C70))),"★ Active","–")))</f>
        <v/>
      </c>
      <c r="B70" s="2276" t="inlineStr">
        <is>
          <t>Adams County</t>
        </is>
      </c>
      <c r="C70" s="2276" t="inlineStr">
        <is>
          <t>Commerce City</t>
        </is>
      </c>
      <c r="D70" s="2276" t="inlineStr">
        <is>
          <t>GIS / Mapping</t>
        </is>
      </c>
      <c r="E70" s="2276" t="inlineStr">
        <is>
          <t>Commerce City Open Data (ArcGIS Hub)</t>
        </is>
      </c>
      <c r="F70" s="2277" t="inlineStr">
        <is>
          <t>https://data-c3.opendata.arcgis.com/</t>
        </is>
      </c>
      <c r="G70" s="2270" t="inlineStr">
        <is>
          <t>Downloadable GIS datasets</t>
        </is>
      </c>
    </row>
    <row r="71" ht="14" customHeight="1" s="1439">
      <c r="A71" s="2278">
        <f>IF(B71&lt;&gt;$D$3,"◌ Other",IF(C71="REGIONAL / ALL MUNICIPALITIES","Regional",IF(OR(ISNUMBER(SEARCH(LEFT('Property Info'!$B$17,MAX(1,FIND(",",'Property Info'!$B$17&amp;",")-1)),C71)),ISNUMBER(SEARCH('Property Info'!$B$18,C71))),"★ Active","–")))</f>
        <v/>
      </c>
      <c r="B71" s="2278" t="inlineStr">
        <is>
          <t>Adams County</t>
        </is>
      </c>
      <c r="C71" s="2278" t="inlineStr">
        <is>
          <t>Commerce City</t>
        </is>
      </c>
      <c r="D71" s="2278" t="inlineStr">
        <is>
          <t>Permits</t>
        </is>
      </c>
      <c r="E71" s="2278" t="inlineStr">
        <is>
          <t>eTRAKiT Permits Page</t>
        </is>
      </c>
      <c r="F71" s="2277" t="inlineStr">
        <is>
          <t>https://www.c3gov.com/doing-business/developing-in-commerce-city/building-permits</t>
        </is>
      </c>
      <c r="G71" s="2272" t="inlineStr">
        <is>
          <t>Building permit info and portal link</t>
        </is>
      </c>
    </row>
    <row r="72" ht="14" customHeight="1" s="1439">
      <c r="A72" s="2276">
        <f>IF(B72&lt;&gt;$D$3,"◌ Other",IF(C72="REGIONAL / ALL MUNICIPALITIES","Regional",IF(OR(ISNUMBER(SEARCH(LEFT('Property Info'!$B$17,MAX(1,FIND(",",'Property Info'!$B$17&amp;",")-1)),C72)),ISNUMBER(SEARCH('Property Info'!$B$18,C72))),"★ Active","–")))</f>
        <v/>
      </c>
      <c r="B72" s="2276" t="inlineStr">
        <is>
          <t>Adams County</t>
        </is>
      </c>
      <c r="C72" s="2276" t="inlineStr">
        <is>
          <t>Commerce City</t>
        </is>
      </c>
      <c r="D72" s="2276" t="inlineStr">
        <is>
          <t>Permits</t>
        </is>
      </c>
      <c r="E72" s="2276" t="inlineStr">
        <is>
          <t>eTRAKiT Login / Permit Search</t>
        </is>
      </c>
      <c r="F72" s="2277" t="inlineStr">
        <is>
          <t>https://comc.csqrcloud.com/community-etrakit/</t>
        </is>
      </c>
      <c r="G72" s="2270" t="inlineStr">
        <is>
          <t>Online permit search and applications</t>
        </is>
      </c>
    </row>
    <row r="73" ht="14" customHeight="1" s="1439">
      <c r="A73" s="2278">
        <f>IF(B73&lt;&gt;$D$3,"◌ Other",IF(C73="REGIONAL / ALL MUNICIPALITIES","Regional",IF(OR(ISNUMBER(SEARCH(LEFT('Property Info'!$B$17,MAX(1,FIND(",",'Property Info'!$B$17&amp;",")-1)),C73)),ISNUMBER(SEARCH('Property Info'!$B$18,C73))),"★ Active","–")))</f>
        <v/>
      </c>
      <c r="B73" s="2278" t="inlineStr">
        <is>
          <t>Adams County</t>
        </is>
      </c>
      <c r="C73" s="2278" t="inlineStr">
        <is>
          <t>Commerce City</t>
        </is>
      </c>
      <c r="D73" s="2278" t="inlineStr">
        <is>
          <t>Permits</t>
        </is>
      </c>
      <c r="E73" s="2278" t="inlineStr">
        <is>
          <t>Building Permit Process</t>
        </is>
      </c>
      <c r="F73" s="2277" t="inlineStr">
        <is>
          <t>https://www.c3gov.com/doing-business/developing-in-commerce-city/building-permits-inspections/step-2-permit-application-contractor-licensing-reviews/building-permit-process</t>
        </is>
      </c>
      <c r="G73" s="2272" t="inlineStr">
        <is>
          <t>Step-by-step permit guide</t>
        </is>
      </c>
    </row>
    <row r="74" ht="14" customHeight="1" s="1439">
      <c r="A74" s="2276">
        <f>IF(B74&lt;&gt;$D$3,"◌ Other",IF(C74="REGIONAL / ALL MUNICIPALITIES","Regional",IF(OR(ISNUMBER(SEARCH(LEFT('Property Info'!$B$17,MAX(1,FIND(",",'Property Info'!$B$17&amp;",")-1)),C74)),ISNUMBER(SEARCH('Property Info'!$B$18,C74))),"★ Active","–")))</f>
        <v/>
      </c>
      <c r="B74" s="2276" t="inlineStr">
        <is>
          <t>Adams County</t>
        </is>
      </c>
      <c r="C74" s="2276" t="inlineStr">
        <is>
          <t>Commerce City</t>
        </is>
      </c>
      <c r="D74" s="2276" t="inlineStr">
        <is>
          <t>Permits</t>
        </is>
      </c>
      <c r="E74" s="2276" t="inlineStr">
        <is>
          <t>Civil Plan Approval / Grading Permits</t>
        </is>
      </c>
      <c r="F74" s="2277" t="inlineStr">
        <is>
          <t>https://www.c3gov.com/doing-business/developing-in-commerce-city/civil-plan-approval-grading-permits</t>
        </is>
      </c>
      <c r="G74" s="2270" t="inlineStr">
        <is>
          <t>Civil/grading permits</t>
        </is>
      </c>
    </row>
    <row r="75" ht="14" customHeight="1" s="1439">
      <c r="A75" s="2278">
        <f>IF(B75&lt;&gt;$D$3,"◌ Other",IF(C75="REGIONAL / ALL MUNICIPALITIES","Regional",IF(OR(ISNUMBER(SEARCH(LEFT('Property Info'!$B$17,MAX(1,FIND(",",'Property Info'!$B$17&amp;",")-1)),C75)),ISNUMBER(SEARCH('Property Info'!$B$18,C75))),"★ Active","–")))</f>
        <v/>
      </c>
      <c r="B75" s="2278" t="inlineStr">
        <is>
          <t>Adams County</t>
        </is>
      </c>
      <c r="C75" s="2278" t="inlineStr">
        <is>
          <t>Commerce City</t>
        </is>
      </c>
      <c r="D75" s="2278" t="inlineStr">
        <is>
          <t>Code Enforcement</t>
        </is>
      </c>
      <c r="E75" s="2278" t="inlineStr">
        <is>
          <t>Code Enforcement</t>
        </is>
      </c>
      <c r="F75" s="2277" t="inlineStr">
        <is>
          <t>https://www.c3gov.com/Government/Departments-Divisions/Code-Enforcement</t>
        </is>
      </c>
      <c r="G75" s="2272" t="inlineStr">
        <is>
          <t>Code enforcement department</t>
        </is>
      </c>
    </row>
    <row r="76" ht="14" customHeight="1" s="1439">
      <c r="A76" s="2276">
        <f>IF(B76&lt;&gt;$D$3,"◌ Other",IF(C76="REGIONAL / ALL MUNICIPALITIES","Regional",IF(OR(ISNUMBER(SEARCH(LEFT('Property Info'!$B$17,MAX(1,FIND(",",'Property Info'!$B$17&amp;",")-1)),C76)),ISNUMBER(SEARCH('Property Info'!$B$18,C76))),"★ Active","–")))</f>
        <v/>
      </c>
      <c r="B76" s="2276" t="inlineStr">
        <is>
          <t>Adams County</t>
        </is>
      </c>
      <c r="C76" s="2276" t="inlineStr">
        <is>
          <t>Commerce City</t>
        </is>
      </c>
      <c r="D76" s="2276" t="inlineStr">
        <is>
          <t>Zoning / Planning</t>
        </is>
      </c>
      <c r="E76" s="2276" t="inlineStr">
        <is>
          <t>Land Use Approvals</t>
        </is>
      </c>
      <c r="F76" s="2277" t="inlineStr">
        <is>
          <t>https://www.c3gov.com/Business-Development/Developing-in-Commerce-City/Land-Use-Approvals</t>
        </is>
      </c>
      <c r="G76" s="2270" t="inlineStr">
        <is>
          <t>Entitlement and approval process</t>
        </is>
      </c>
    </row>
    <row r="77" ht="14" customHeight="1" s="1439">
      <c r="A77" s="2278">
        <f>IF(B77&lt;&gt;$D$3,"◌ Other",IF(C77="REGIONAL / ALL MUNICIPALITIES","Regional",IF(OR(ISNUMBER(SEARCH(LEFT('Property Info'!$B$17,MAX(1,FIND(",",'Property Info'!$B$17&amp;",")-1)),C77)),ISNUMBER(SEARCH('Property Info'!$B$18,C77))),"★ Active","–")))</f>
        <v/>
      </c>
      <c r="B77" s="2278" t="inlineStr">
        <is>
          <t>Adams County</t>
        </is>
      </c>
      <c r="C77" s="2278" t="inlineStr">
        <is>
          <t>Commerce City</t>
        </is>
      </c>
      <c r="D77" s="2278" t="inlineStr">
        <is>
          <t>Zoning / Planning</t>
        </is>
      </c>
      <c r="E77" s="2278" t="inlineStr">
        <is>
          <t>Land Use Standards</t>
        </is>
      </c>
      <c r="F77" s="2277" t="inlineStr">
        <is>
          <t>https://www.c3gov.com/Business-Development/Developing-in-Commerce-City/Land-Use-Standards</t>
        </is>
      </c>
      <c r="G77" s="2272" t="inlineStr">
        <is>
          <t>Land use regulations and standards</t>
        </is>
      </c>
    </row>
    <row r="78" ht="14" customHeight="1" s="1439">
      <c r="A78" s="2276">
        <f>IF(B78&lt;&gt;$D$3,"◌ Other",IF(C78="REGIONAL / ALL MUNICIPALITIES","Regional",IF(OR(ISNUMBER(SEARCH(LEFT('Property Info'!$B$17,MAX(1,FIND(",",'Property Info'!$B$17&amp;",")-1)),C78)),ISNUMBER(SEARCH('Property Info'!$B$18,C78))),"★ Active","–")))</f>
        <v/>
      </c>
      <c r="B78" s="2276" t="inlineStr">
        <is>
          <t>Adams County</t>
        </is>
      </c>
      <c r="C78" s="2276" t="inlineStr">
        <is>
          <t>Commerce City</t>
        </is>
      </c>
      <c r="D78" s="2276" t="inlineStr">
        <is>
          <t>Zoning / Planning</t>
        </is>
      </c>
      <c r="E78" s="2276" t="inlineStr">
        <is>
          <t>Land Development Code</t>
        </is>
      </c>
      <c r="F78" s="2277" t="inlineStr">
        <is>
          <t>https://www.c3gov.com/Government/City-Codes/Land-Development-Code</t>
        </is>
      </c>
      <c r="G78" s="2270" t="inlineStr">
        <is>
          <t>Zoning code (updated 2025)</t>
        </is>
      </c>
    </row>
    <row r="79" ht="14" customHeight="1" s="1439">
      <c r="A79" s="2278">
        <f>IF(B79&lt;&gt;$D$3,"◌ Other",IF(C79="REGIONAL / ALL MUNICIPALITIES","Regional",IF(OR(ISNUMBER(SEARCH(LEFT('Property Info'!$B$17,MAX(1,FIND(",",'Property Info'!$B$17&amp;",")-1)),C79)),ISNUMBER(SEARCH('Property Info'!$B$18,C79))),"★ Active","–")))</f>
        <v/>
      </c>
      <c r="B79" s="2278" t="inlineStr">
        <is>
          <t>Adams County</t>
        </is>
      </c>
      <c r="C79" s="2278" t="inlineStr">
        <is>
          <t>Commerce City</t>
        </is>
      </c>
      <c r="D79" s="2278" t="inlineStr">
        <is>
          <t>Zoning / Planning</t>
        </is>
      </c>
      <c r="E79" s="2278" t="inlineStr">
        <is>
          <t>Comprehensive Plan</t>
        </is>
      </c>
      <c r="F79" s="2277" t="inlineStr">
        <is>
          <t>https://www.c3gov.com/Government/City-Charter-Master-Plans/Comprehensive-Plan</t>
        </is>
      </c>
      <c r="G79" s="2272" t="inlineStr">
        <is>
          <t>City comprehensive plan</t>
        </is>
      </c>
    </row>
    <row r="80" ht="14" customHeight="1" s="1439">
      <c r="A80" s="2276">
        <f>IF(B80&lt;&gt;$D$3,"◌ Other",IF(C80="REGIONAL / ALL MUNICIPALITIES","Regional",IF(OR(ISNUMBER(SEARCH(LEFT('Property Info'!$B$17,MAX(1,FIND(",",'Property Info'!$B$17&amp;",")-1)),C80)),ISNUMBER(SEARCH('Property Info'!$B$18,C80))),"★ Active","–")))</f>
        <v/>
      </c>
      <c r="B80" s="2276" t="inlineStr">
        <is>
          <t>Adams County</t>
        </is>
      </c>
      <c r="C80" s="2276" t="inlineStr">
        <is>
          <t>Commerce City</t>
        </is>
      </c>
      <c r="D80" s="2276" t="inlineStr">
        <is>
          <t>Flood Zone</t>
        </is>
      </c>
      <c r="E80" s="2276" t="inlineStr">
        <is>
          <t>FEMA Map Service Center</t>
        </is>
      </c>
      <c r="F80" s="2277" t="inlineStr">
        <is>
          <t>https://msc.fema.gov/</t>
        </is>
      </c>
      <c r="G80" s="2270" t="inlineStr">
        <is>
          <t>Address-specific FEMA FIRM lookup</t>
        </is>
      </c>
    </row>
    <row r="81" ht="14" customHeight="1" s="1439">
      <c r="A81" s="2278">
        <f>IF(B81&lt;&gt;$D$3,"◌ Other",IF(C81="REGIONAL / ALL MUNICIPALITIES","Regional",IF(OR(ISNUMBER(SEARCH(LEFT('Property Info'!$B$17,MAX(1,FIND(",",'Property Info'!$B$17&amp;",")-1)),C81)),ISNUMBER(SEARCH('Property Info'!$B$18,C81))),"★ Active","–")))</f>
        <v/>
      </c>
      <c r="B81" s="2278" t="inlineStr">
        <is>
          <t>Adams County</t>
        </is>
      </c>
      <c r="C81" s="2278" t="inlineStr">
        <is>
          <t>Commerce City</t>
        </is>
      </c>
      <c r="D81" s="2278" t="inlineStr">
        <is>
          <t>Flood Zone</t>
        </is>
      </c>
      <c r="E81" s="2278" t="inlineStr">
        <is>
          <t>Adams County Floodplain Management</t>
        </is>
      </c>
      <c r="F81" s="2277" t="inlineStr">
        <is>
          <t>https://adamscountyco.gov/our-county/community-economic-development/floodplain-management/</t>
        </is>
      </c>
      <c r="G81" s="2272" t="inlineStr">
        <is>
          <t>County floodplain resources</t>
        </is>
      </c>
    </row>
    <row r="82" ht="14" customHeight="1" s="1439">
      <c r="A82" s="2276">
        <f>IF(B82&lt;&gt;$D$3,"◌ Other",IF(C82="REGIONAL / ALL MUNICIPALITIES","Regional",IF(OR(ISNUMBER(SEARCH(LEFT('Property Info'!$B$17,MAX(1,FIND(",",'Property Info'!$B$17&amp;",")-1)),C82)),ISNUMBER(SEARCH('Property Info'!$B$18,C82))),"★ Active","–")))</f>
        <v/>
      </c>
      <c r="B82" s="2276" t="inlineStr">
        <is>
          <t>Adams County</t>
        </is>
      </c>
      <c r="C82" s="2276" t="inlineStr">
        <is>
          <t>Commerce City</t>
        </is>
      </c>
      <c r="D82" s="2276" t="inlineStr">
        <is>
          <t>Economic Development</t>
        </is>
      </c>
      <c r="E82" s="2276" t="inlineStr">
        <is>
          <t>Economic Development Department</t>
        </is>
      </c>
      <c r="F82" s="2277" t="inlineStr">
        <is>
          <t>https://www.c3gov.com/Government/Departments-Divisions/Economic-Development</t>
        </is>
      </c>
      <c r="G82" s="2270" t="inlineStr">
        <is>
          <t>City economic development office</t>
        </is>
      </c>
    </row>
    <row r="83" ht="14" customHeight="1" s="1439">
      <c r="A83" s="2278">
        <f>IF(B83&lt;&gt;$D$3,"◌ Other",IF(C83="REGIONAL / ALL MUNICIPALITIES","Regional",IF(OR(ISNUMBER(SEARCH(LEFT('Property Info'!$B$17,MAX(1,FIND(",",'Property Info'!$B$17&amp;",")-1)),C83)),ISNUMBER(SEARCH('Property Info'!$B$18,C83))),"★ Active","–")))</f>
        <v/>
      </c>
      <c r="B83" s="2278" t="inlineStr">
        <is>
          <t>Adams County</t>
        </is>
      </c>
      <c r="C83" s="2278" t="inlineStr">
        <is>
          <t>Commerce City</t>
        </is>
      </c>
      <c r="D83" s="2278" t="inlineStr">
        <is>
          <t>Crime / Safety</t>
        </is>
      </c>
      <c r="E83" s="2278" t="inlineStr">
        <is>
          <t>Records and Crime Statistics</t>
        </is>
      </c>
      <c r="F83" s="2277" t="inlineStr">
        <is>
          <t>https://www.c3gov.com/Public-Safety/Police-Department/Records-and-Crime-Statistics</t>
        </is>
      </c>
      <c r="G83" s="2272" t="inlineStr">
        <is>
          <t>Crime reports and statistics</t>
        </is>
      </c>
    </row>
    <row r="84" ht="14" customHeight="1" s="1439">
      <c r="A84" s="2276">
        <f>IF(B84&lt;&gt;$D$3,"◌ Other",IF(C84="REGIONAL / ALL MUNICIPALITIES","Regional",IF(OR(ISNUMBER(SEARCH(LEFT('Property Info'!$B$17,MAX(1,FIND(",",'Property Info'!$B$17&amp;",")-1)),C84)),ISNUMBER(SEARCH('Property Info'!$B$18,C84))),"★ Active","–")))</f>
        <v/>
      </c>
      <c r="B84" s="2276" t="inlineStr">
        <is>
          <t>Adams County</t>
        </is>
      </c>
      <c r="C84" s="2276" t="inlineStr">
        <is>
          <t>Commerce City</t>
        </is>
      </c>
      <c r="D84" s="2276" t="inlineStr">
        <is>
          <t>School Districts</t>
        </is>
      </c>
      <c r="E84" s="2276" t="inlineStr">
        <is>
          <t>Adams 12 Five Star Schools</t>
        </is>
      </c>
      <c r="F84" s="2277" t="inlineStr">
        <is>
          <t>https://www.adams12.org/</t>
        </is>
      </c>
      <c r="G84" s="2270" t="inlineStr">
        <is>
          <t>Primary district for Commerce City</t>
        </is>
      </c>
    </row>
    <row r="85" ht="14" customHeight="1" s="1439">
      <c r="A85" s="2278">
        <f>IF(B85&lt;&gt;$D$3,"◌ Other",IF(C85="REGIONAL / ALL MUNICIPALITIES","Regional",IF(OR(ISNUMBER(SEARCH(LEFT('Property Info'!$B$17,MAX(1,FIND(",",'Property Info'!$B$17&amp;",")-1)),C85)),ISNUMBER(SEARCH('Property Info'!$B$18,C85))),"★ Active","–")))</f>
        <v/>
      </c>
      <c r="B85" s="2278" t="inlineStr">
        <is>
          <t>Adams County</t>
        </is>
      </c>
      <c r="C85" s="2278" t="inlineStr">
        <is>
          <t>Commerce City</t>
        </is>
      </c>
      <c r="D85" s="2278" t="inlineStr">
        <is>
          <t>School Districts</t>
        </is>
      </c>
      <c r="E85" s="2278" t="inlineStr">
        <is>
          <t>School District 27J</t>
        </is>
      </c>
      <c r="F85" s="2277" t="inlineStr">
        <is>
          <t>https://www.sd27j.org/</t>
        </is>
      </c>
      <c r="G85" s="2272" t="inlineStr">
        <is>
          <t>Serves northern portions of Commerce City</t>
        </is>
      </c>
    </row>
    <row r="86" ht="14" customHeight="1" s="1439">
      <c r="A86" s="2276">
        <f>IF(B86&lt;&gt;$D$3,"◌ Other",IF(C86="REGIONAL / ALL MUNICIPALITIES","Regional",IF(OR(ISNUMBER(SEARCH(LEFT('Property Info'!$B$17,MAX(1,FIND(",",'Property Info'!$B$17&amp;",")-1)),C86)),ISNUMBER(SEARCH('Property Info'!$B$18,C86))),"★ Active","–")))</f>
        <v/>
      </c>
      <c r="B86" s="2276" t="inlineStr">
        <is>
          <t>Adams County</t>
        </is>
      </c>
      <c r="C86" s="2276" t="inlineStr">
        <is>
          <t>Commerce City</t>
        </is>
      </c>
      <c r="D86" s="2276" t="inlineStr">
        <is>
          <t>School Districts</t>
        </is>
      </c>
      <c r="E86" s="2276" t="inlineStr">
        <is>
          <t>Mapleton School District 1</t>
        </is>
      </c>
      <c r="F86" s="2277" t="inlineStr">
        <is>
          <t>https://www.mapleton.us/</t>
        </is>
      </c>
      <c r="G86" s="2270" t="inlineStr">
        <is>
          <t>Serves portions of Commerce City</t>
        </is>
      </c>
    </row>
    <row r="87" ht="14" customHeight="1" s="1439">
      <c r="A87" s="2278">
        <f>IF(B87&lt;&gt;$D$3,"◌ Other",IF(C87="REGIONAL / ALL MUNICIPALITIES","Regional",IF(OR(ISNUMBER(SEARCH(LEFT('Property Info'!$B$17,MAX(1,FIND(",",'Property Info'!$B$17&amp;",")-1)),C87)),ISNUMBER(SEARCH('Property Info'!$B$18,C87))),"★ Active","–")))</f>
        <v/>
      </c>
      <c r="B87" s="2278" t="inlineStr">
        <is>
          <t>Adams County</t>
        </is>
      </c>
      <c r="C87" s="2278" t="inlineStr">
        <is>
          <t>Federal Heights</t>
        </is>
      </c>
      <c r="D87" s="2278" t="inlineStr">
        <is>
          <t>Property Assessment</t>
        </is>
      </c>
      <c r="E87" s="2278" t="inlineStr">
        <is>
          <t>Adams County Assessor (Property Lookup)</t>
        </is>
      </c>
      <c r="F87" s="2277" t="inlineStr">
        <is>
          <t>https://adcogov.org/property-look</t>
        </is>
      </c>
      <c r="G87" s="2272" t="inlineStr">
        <is>
          <t>Federal Heights is fully within Adams County</t>
        </is>
      </c>
    </row>
    <row r="88" ht="14" customHeight="1" s="1439">
      <c r="A88" s="2276">
        <f>IF(B88&lt;&gt;$D$3,"◌ Other",IF(C88="REGIONAL / ALL MUNICIPALITIES","Regional",IF(OR(ISNUMBER(SEARCH(LEFT('Property Info'!$B$17,MAX(1,FIND(",",'Property Info'!$B$17&amp;",")-1)),C88)),ISNUMBER(SEARCH('Property Info'!$B$18,C88))),"★ Active","–")))</f>
        <v/>
      </c>
      <c r="B88" s="2276" t="inlineStr">
        <is>
          <t>Adams County</t>
        </is>
      </c>
      <c r="C88" s="2276" t="inlineStr">
        <is>
          <t>Federal Heights</t>
        </is>
      </c>
      <c r="D88" s="2276" t="inlineStr">
        <is>
          <t>Property Tax / Treasurer</t>
        </is>
      </c>
      <c r="E88" s="2276" t="inlineStr">
        <is>
          <t>Online Tax Payment</t>
        </is>
      </c>
      <c r="F88" s="2277" t="inlineStr">
        <is>
          <t>https://adcotax.com/treasurer/web/login.jsp</t>
        </is>
      </c>
      <c r="G88" s="2270" t="inlineStr">
        <is>
          <t>Adams County tax payment portal</t>
        </is>
      </c>
    </row>
    <row r="89" ht="14" customHeight="1" s="1439">
      <c r="A89" s="2278">
        <f>IF(B89&lt;&gt;$D$3,"◌ Other",IF(C89="REGIONAL / ALL MUNICIPALITIES","Regional",IF(OR(ISNUMBER(SEARCH(LEFT('Property Info'!$B$17,MAX(1,FIND(",",'Property Info'!$B$17&amp;",")-1)),C89)),ISNUMBER(SEARCH('Property Info'!$B$18,C89))),"★ Active","–")))</f>
        <v/>
      </c>
      <c r="B89" s="2278" t="inlineStr">
        <is>
          <t>Adams County</t>
        </is>
      </c>
      <c r="C89" s="2278" t="inlineStr">
        <is>
          <t>Federal Heights</t>
        </is>
      </c>
      <c r="D89" s="2278" t="inlineStr">
        <is>
          <t>Property Tax / Treasurer</t>
        </is>
      </c>
      <c r="E89" s="2278" t="inlineStr">
        <is>
          <t>Property Tax Inquiry</t>
        </is>
      </c>
      <c r="F89" s="2277" t="inlineStr">
        <is>
          <t>https://adcotax.com/treasurer/web/loginPOST.jsp?guest=true</t>
        </is>
      </c>
      <c r="G89" s="2272" t="inlineStr">
        <is>
          <t>Tax account search — balances and payment history (guest access, no login required)</t>
        </is>
      </c>
    </row>
    <row r="90" ht="14" customHeight="1" s="1439">
      <c r="A90" s="2276">
        <f>IF(B90&lt;&gt;$D$3,"◌ Other",IF(C90="REGIONAL / ALL MUNICIPALITIES","Regional",IF(OR(ISNUMBER(SEARCH(LEFT('Property Info'!$B$17,MAX(1,FIND(",",'Property Info'!$B$17&amp;",")-1)),C90)),ISNUMBER(SEARCH('Property Info'!$B$18,C90))),"★ Active","–")))</f>
        <v/>
      </c>
      <c r="B90" s="2276" t="inlineStr">
        <is>
          <t>Adams County</t>
        </is>
      </c>
      <c r="C90" s="2276" t="inlineStr">
        <is>
          <t>Federal Heights</t>
        </is>
      </c>
      <c r="D90" s="2276" t="inlineStr">
        <is>
          <t>Deed / Title Records</t>
        </is>
      </c>
      <c r="E90" s="2276" t="inlineStr">
        <is>
          <t>Landmark Web Document Search</t>
        </is>
      </c>
      <c r="F90" s="2277" t="inlineStr">
        <is>
          <t>https://recording.adcogov.org/landmarkweb</t>
        </is>
      </c>
      <c r="G90" s="2270" t="inlineStr">
        <is>
          <t>Adams County deed/title records</t>
        </is>
      </c>
    </row>
    <row r="91" ht="14" customHeight="1" s="1439">
      <c r="A91" s="2278">
        <f>IF(B91&lt;&gt;$D$3,"◌ Other",IF(C91="REGIONAL / ALL MUNICIPALITIES","Regional",IF(OR(ISNUMBER(SEARCH(LEFT('Property Info'!$B$17,MAX(1,FIND(",",'Property Info'!$B$17&amp;",")-1)),C91)),ISNUMBER(SEARCH('Property Info'!$B$18,C91))),"★ Active","–")))</f>
        <v/>
      </c>
      <c r="B91" s="2278" t="inlineStr">
        <is>
          <t>Adams County</t>
        </is>
      </c>
      <c r="C91" s="2278" t="inlineStr">
        <is>
          <t>Federal Heights</t>
        </is>
      </c>
      <c r="D91" s="2278" t="inlineStr">
        <is>
          <t>GIS / Mapping</t>
        </is>
      </c>
      <c r="E91" s="2278" t="inlineStr">
        <is>
          <t>City Maps</t>
        </is>
      </c>
      <c r="F91" s="2277" t="inlineStr">
        <is>
          <t>https://www.fedheights.org/?SEC=D1A883BE-0C29-4602-8CC9-5D6A08DA5503</t>
        </is>
      </c>
      <c r="G91" s="2272" t="inlineStr">
        <is>
          <t>City map resources</t>
        </is>
      </c>
    </row>
    <row r="92" ht="14" customHeight="1" s="1439">
      <c r="A92" s="2276">
        <f>IF(B92&lt;&gt;$D$3,"◌ Other",IF(C92="REGIONAL / ALL MUNICIPALITIES","Regional",IF(OR(ISNUMBER(SEARCH(LEFT('Property Info'!$B$17,MAX(1,FIND(",",'Property Info'!$B$17&amp;",")-1)),C92)),ISNUMBER(SEARCH('Property Info'!$B$18,C92))),"★ Active","–")))</f>
        <v/>
      </c>
      <c r="B92" s="2276" t="inlineStr">
        <is>
          <t>Adams County</t>
        </is>
      </c>
      <c r="C92" s="2276" t="inlineStr">
        <is>
          <t>Federal Heights</t>
        </is>
      </c>
      <c r="D92" s="2276" t="inlineStr">
        <is>
          <t>Permits</t>
        </is>
      </c>
      <c r="E92" s="2276" t="inlineStr">
        <is>
          <t>Building Department</t>
        </is>
      </c>
      <c r="F92" s="2277" t="inlineStr">
        <is>
          <t>https://www.fedheights.org/building</t>
        </is>
      </c>
      <c r="G92" s="2270" t="inlineStr">
        <is>
          <t>Building permits and inspections</t>
        </is>
      </c>
    </row>
    <row r="93" ht="14" customHeight="1" s="1439">
      <c r="A93" s="2278">
        <f>IF(B93&lt;&gt;$D$3,"◌ Other",IF(C93="REGIONAL / ALL MUNICIPALITIES","Regional",IF(OR(ISNUMBER(SEARCH(LEFT('Property Info'!$B$17,MAX(1,FIND(",",'Property Info'!$B$17&amp;",")-1)),C93)),ISNUMBER(SEARCH('Property Info'!$B$18,C93))),"★ Active","–")))</f>
        <v/>
      </c>
      <c r="B93" s="2278" t="inlineStr">
        <is>
          <t>Adams County</t>
        </is>
      </c>
      <c r="C93" s="2278" t="inlineStr">
        <is>
          <t>Federal Heights</t>
        </is>
      </c>
      <c r="D93" s="2278" t="inlineStr">
        <is>
          <t>Code Enforcement</t>
        </is>
      </c>
      <c r="E93" s="2278" t="inlineStr">
        <is>
          <t>Code Enforcement</t>
        </is>
      </c>
      <c r="F93" s="2277" t="inlineStr">
        <is>
          <t>https://www.fedheights.org/codeenforcement</t>
        </is>
      </c>
      <c r="G93" s="2272" t="inlineStr">
        <is>
          <t>Code enforcement department</t>
        </is>
      </c>
    </row>
    <row r="94" ht="14" customHeight="1" s="1439">
      <c r="A94" s="2276">
        <f>IF(B94&lt;&gt;$D$3,"◌ Other",IF(C94="REGIONAL / ALL MUNICIPALITIES","Regional",IF(OR(ISNUMBER(SEARCH(LEFT('Property Info'!$B$17,MAX(1,FIND(",",'Property Info'!$B$17&amp;",")-1)),C94)),ISNUMBER(SEARCH('Property Info'!$B$18,C94))),"★ Active","–")))</f>
        <v/>
      </c>
      <c r="B94" s="2276" t="inlineStr">
        <is>
          <t>Adams County</t>
        </is>
      </c>
      <c r="C94" s="2276" t="inlineStr">
        <is>
          <t>Federal Heights</t>
        </is>
      </c>
      <c r="D94" s="2276" t="inlineStr">
        <is>
          <t>Zoning / Planning</t>
        </is>
      </c>
      <c r="E94" s="2276" t="inlineStr">
        <is>
          <t>Planning Department</t>
        </is>
      </c>
      <c r="F94" s="2277" t="inlineStr">
        <is>
          <t>https://www.fedheights.org/planning</t>
        </is>
      </c>
      <c r="G94" s="2270" t="inlineStr">
        <is>
          <t>Planning and zoning info</t>
        </is>
      </c>
    </row>
    <row r="95" ht="14" customHeight="1" s="1439">
      <c r="A95" s="2278">
        <f>IF(B95&lt;&gt;$D$3,"◌ Other",IF(C95="REGIONAL / ALL MUNICIPALITIES","Regional",IF(OR(ISNUMBER(SEARCH(LEFT('Property Info'!$B$17,MAX(1,FIND(",",'Property Info'!$B$17&amp;",")-1)),C95)),ISNUMBER(SEARCH('Property Info'!$B$18,C95))),"★ Active","–")))</f>
        <v/>
      </c>
      <c r="B95" s="2278" t="inlineStr">
        <is>
          <t>Adams County</t>
        </is>
      </c>
      <c r="C95" s="2278" t="inlineStr">
        <is>
          <t>Federal Heights</t>
        </is>
      </c>
      <c r="D95" s="2278" t="inlineStr">
        <is>
          <t>Zoning / Planning</t>
        </is>
      </c>
      <c r="E95" s="2278" t="inlineStr">
        <is>
          <t>Zoning Information Page</t>
        </is>
      </c>
      <c r="F95" s="2277" t="inlineStr">
        <is>
          <t>https://www.fedheights.org/index.asp?SEC=D7AA9940-8607-468A-8215-7308DD3BF799&amp;Type=B_BASIC</t>
        </is>
      </c>
      <c r="G95" s="2272" t="inlineStr">
        <is>
          <t>Zoning district info and lookup</t>
        </is>
      </c>
    </row>
    <row r="96" ht="14" customHeight="1" s="1439">
      <c r="A96" s="2276">
        <f>IF(B96&lt;&gt;$D$3,"◌ Other",IF(C96="REGIONAL / ALL MUNICIPALITIES","Regional",IF(OR(ISNUMBER(SEARCH(LEFT('Property Info'!$B$17,MAX(1,FIND(",",'Property Info'!$B$17&amp;",")-1)),C96)),ISNUMBER(SEARCH('Property Info'!$B$18,C96))),"★ Active","–")))</f>
        <v/>
      </c>
      <c r="B96" s="2276" t="inlineStr">
        <is>
          <t>Adams County</t>
        </is>
      </c>
      <c r="C96" s="2276" t="inlineStr">
        <is>
          <t>Federal Heights</t>
        </is>
      </c>
      <c r="D96" s="2276" t="inlineStr">
        <is>
          <t>Zoning / Planning</t>
        </is>
      </c>
      <c r="E96" s="2276" t="inlineStr">
        <is>
          <t>Municipal Code (Municode)</t>
        </is>
      </c>
      <c r="F96" s="2277" t="inlineStr">
        <is>
          <t>https://library.municode.com/co/federal_heights</t>
        </is>
      </c>
      <c r="G96" s="2270" t="inlineStr">
        <is>
          <t>Full zoning and municipal code</t>
        </is>
      </c>
    </row>
    <row r="97" ht="14" customHeight="1" s="1439">
      <c r="A97" s="2278">
        <f>IF(B97&lt;&gt;$D$3,"◌ Other",IF(C97="REGIONAL / ALL MUNICIPALITIES","Regional",IF(OR(ISNUMBER(SEARCH(LEFT('Property Info'!$B$17,MAX(1,FIND(",",'Property Info'!$B$17&amp;",")-1)),C97)),ISNUMBER(SEARCH('Property Info'!$B$18,C97))),"★ Active","–")))</f>
        <v/>
      </c>
      <c r="B97" s="2278" t="inlineStr">
        <is>
          <t>Adams County</t>
        </is>
      </c>
      <c r="C97" s="2278" t="inlineStr">
        <is>
          <t>Federal Heights</t>
        </is>
      </c>
      <c r="D97" s="2278" t="inlineStr">
        <is>
          <t>Flood Zone</t>
        </is>
      </c>
      <c r="E97" s="2278" t="inlineStr">
        <is>
          <t>FEMA Map Service Center</t>
        </is>
      </c>
      <c r="F97" s="2277" t="inlineStr">
        <is>
          <t>https://msc.fema.gov/</t>
        </is>
      </c>
      <c r="G97" s="2272" t="inlineStr">
        <is>
          <t>Address-specific FEMA FIRM lookup</t>
        </is>
      </c>
    </row>
    <row r="98" ht="14" customHeight="1" s="1439">
      <c r="A98" s="2276">
        <f>IF(B98&lt;&gt;$D$3,"◌ Other",IF(C98="REGIONAL / ALL MUNICIPALITIES","Regional",IF(OR(ISNUMBER(SEARCH(LEFT('Property Info'!$B$17,MAX(1,FIND(",",'Property Info'!$B$17&amp;",")-1)),C98)),ISNUMBER(SEARCH('Property Info'!$B$18,C98))),"★ Active","–")))</f>
        <v/>
      </c>
      <c r="B98" s="2276" t="inlineStr">
        <is>
          <t>Adams County</t>
        </is>
      </c>
      <c r="C98" s="2276" t="inlineStr">
        <is>
          <t>Federal Heights</t>
        </is>
      </c>
      <c r="D98" s="2276" t="inlineStr">
        <is>
          <t>Economic Development</t>
        </is>
      </c>
      <c r="E98" s="2276" t="inlineStr">
        <is>
          <t>Economic Development / FHRA</t>
        </is>
      </c>
      <c r="F98" s="2277" t="inlineStr">
        <is>
          <t>https://www.fedheights.org/economicdevelopment</t>
        </is>
      </c>
      <c r="G98" s="2270" t="inlineStr">
        <is>
          <t>City economic development office</t>
        </is>
      </c>
    </row>
    <row r="99" ht="14" customHeight="1" s="1439">
      <c r="A99" s="2278">
        <f>IF(B99&lt;&gt;$D$3,"◌ Other",IF(C99="REGIONAL / ALL MUNICIPALITIES","Regional",IF(OR(ISNUMBER(SEARCH(LEFT('Property Info'!$B$17,MAX(1,FIND(",",'Property Info'!$B$17&amp;",")-1)),C99)),ISNUMBER(SEARCH('Property Info'!$B$18,C99))),"★ Active","–")))</f>
        <v/>
      </c>
      <c r="B99" s="2278" t="inlineStr">
        <is>
          <t>Adams County</t>
        </is>
      </c>
      <c r="C99" s="2278" t="inlineStr">
        <is>
          <t>Federal Heights</t>
        </is>
      </c>
      <c r="D99" s="2278" t="inlineStr">
        <is>
          <t>Utilities</t>
        </is>
      </c>
      <c r="E99" s="2278" t="inlineStr">
        <is>
          <t>Utilities Page</t>
        </is>
      </c>
      <c r="F99" s="2277" t="inlineStr">
        <is>
          <t>https://www.fedheights.org/utilities</t>
        </is>
      </c>
      <c r="G99" s="2272" t="inlineStr">
        <is>
          <t>Water/sewer utility info</t>
        </is>
      </c>
    </row>
    <row r="100" ht="14" customHeight="1" s="1439">
      <c r="A100" s="2276">
        <f>IF(B100&lt;&gt;$D$3,"◌ Other",IF(C100="REGIONAL / ALL MUNICIPALITIES","Regional",IF(OR(ISNUMBER(SEARCH(LEFT('Property Info'!$B$17,MAX(1,FIND(",",'Property Info'!$B$17&amp;",")-1)),C100)),ISNUMBER(SEARCH('Property Info'!$B$18,C100))),"★ Active","–")))</f>
        <v/>
      </c>
      <c r="B100" s="2276" t="inlineStr">
        <is>
          <t>Adams County</t>
        </is>
      </c>
      <c r="C100" s="2276" t="inlineStr">
        <is>
          <t>Federal Heights</t>
        </is>
      </c>
      <c r="D100" s="2276" t="inlineStr">
        <is>
          <t>Utilities</t>
        </is>
      </c>
      <c r="E100" s="2276" t="inlineStr">
        <is>
          <t>Public Works</t>
        </is>
      </c>
      <c r="F100" s="2277" t="inlineStr">
        <is>
          <t>https://www.fedheights.org/publicworks</t>
        </is>
      </c>
      <c r="G100" s="2270" t="inlineStr">
        <is>
          <t>Public works department</t>
        </is>
      </c>
    </row>
    <row r="101" ht="14" customHeight="1" s="1439">
      <c r="A101" s="2278">
        <f>IF(B101&lt;&gt;$D$3,"◌ Other",IF(C101="REGIONAL / ALL MUNICIPALITIES","Regional",IF(OR(ISNUMBER(SEARCH(LEFT('Property Info'!$B$17,MAX(1,FIND(",",'Property Info'!$B$17&amp;",")-1)),C101)),ISNUMBER(SEARCH('Property Info'!$B$18,C101))),"★ Active","–")))</f>
        <v/>
      </c>
      <c r="B101" s="2278" t="inlineStr">
        <is>
          <t>Adams County</t>
        </is>
      </c>
      <c r="C101" s="2278" t="inlineStr">
        <is>
          <t>Federal Heights</t>
        </is>
      </c>
      <c r="D101" s="2278" t="inlineStr">
        <is>
          <t>Utilities</t>
        </is>
      </c>
      <c r="E101" s="2278" t="inlineStr">
        <is>
          <t>Xcel Energy</t>
        </is>
      </c>
      <c r="F101" s="2277" t="inlineStr">
        <is>
          <t>https://www.xcelenergy.com/</t>
        </is>
      </c>
      <c r="G101" s="2272" t="inlineStr">
        <is>
          <t>Electric and gas provider for Federal Heights</t>
        </is>
      </c>
    </row>
    <row r="102" ht="14" customHeight="1" s="1439">
      <c r="A102" s="2276">
        <f>IF(B102&lt;&gt;$D$3,"◌ Other",IF(C102="REGIONAL / ALL MUNICIPALITIES","Regional",IF(OR(ISNUMBER(SEARCH(LEFT('Property Info'!$B$17,MAX(1,FIND(",",'Property Info'!$B$17&amp;",")-1)),C102)),ISNUMBER(SEARCH('Property Info'!$B$18,C102))),"★ Active","–")))</f>
        <v/>
      </c>
      <c r="B102" s="2276" t="inlineStr">
        <is>
          <t>Adams County</t>
        </is>
      </c>
      <c r="C102" s="2276" t="inlineStr">
        <is>
          <t>Federal Heights</t>
        </is>
      </c>
      <c r="D102" s="2276" t="inlineStr">
        <is>
          <t>School Districts</t>
        </is>
      </c>
      <c r="E102" s="2276" t="inlineStr">
        <is>
          <t>Adams 12 Five Star Schools</t>
        </is>
      </c>
      <c r="F102" s="2277" t="inlineStr">
        <is>
          <t>https://www.adams12.org/</t>
        </is>
      </c>
      <c r="G102" s="2270" t="inlineStr">
        <is>
          <t>Primary school district for Federal Heights</t>
        </is>
      </c>
    </row>
    <row r="103" ht="14" customHeight="1" s="1439">
      <c r="A103" s="2278">
        <f>IF(B103&lt;&gt;$D$3,"◌ Other",IF(C103="REGIONAL / ALL MUNICIPALITIES","Regional",IF(OR(ISNUMBER(SEARCH(LEFT('Property Info'!$B$17,MAX(1,FIND(",",'Property Info'!$B$17&amp;",")-1)),C103)),ISNUMBER(SEARCH('Property Info'!$B$18,C103))),"★ Active","–")))</f>
        <v/>
      </c>
      <c r="B103" s="2278" t="inlineStr">
        <is>
          <t>Adams County</t>
        </is>
      </c>
      <c r="C103" s="2278" t="inlineStr">
        <is>
          <t>Northglenn</t>
        </is>
      </c>
      <c r="D103" s="2278" t="inlineStr">
        <is>
          <t>Property Assessment</t>
        </is>
      </c>
      <c r="E103" s="2278" t="inlineStr">
        <is>
          <t>Adams County Assessor (Property Lookup)</t>
        </is>
      </c>
      <c r="F103" s="2277" t="inlineStr">
        <is>
          <t>https://adcogov.org/property-look</t>
        </is>
      </c>
      <c r="G103" s="2272" t="inlineStr">
        <is>
          <t>Northglenn is fully within Adams County</t>
        </is>
      </c>
    </row>
    <row r="104" ht="14" customHeight="1" s="1439">
      <c r="A104" s="2276">
        <f>IF(B104&lt;&gt;$D$3,"◌ Other",IF(C104="REGIONAL / ALL MUNICIPALITIES","Regional",IF(OR(ISNUMBER(SEARCH(LEFT('Property Info'!$B$17,MAX(1,FIND(",",'Property Info'!$B$17&amp;",")-1)),C104)),ISNUMBER(SEARCH('Property Info'!$B$18,C104))),"★ Active","–")))</f>
        <v/>
      </c>
      <c r="B104" s="2276" t="inlineStr">
        <is>
          <t>Adams County</t>
        </is>
      </c>
      <c r="C104" s="2276" t="inlineStr">
        <is>
          <t>Northglenn</t>
        </is>
      </c>
      <c r="D104" s="2276" t="inlineStr">
        <is>
          <t>Property Tax / Treasurer</t>
        </is>
      </c>
      <c r="E104" s="2276" t="inlineStr">
        <is>
          <t>Online Tax Payment</t>
        </is>
      </c>
      <c r="F104" s="2277" t="inlineStr">
        <is>
          <t>https://adcotax.com/treasurer/web/login.jsp</t>
        </is>
      </c>
      <c r="G104" s="2270" t="inlineStr">
        <is>
          <t>Adams County tax payment portal</t>
        </is>
      </c>
    </row>
    <row r="105" ht="14" customHeight="1" s="1439">
      <c r="A105" s="2278">
        <f>IF(B105&lt;&gt;$D$3,"◌ Other",IF(C105="REGIONAL / ALL MUNICIPALITIES","Regional",IF(OR(ISNUMBER(SEARCH(LEFT('Property Info'!$B$17,MAX(1,FIND(",",'Property Info'!$B$17&amp;",")-1)),C105)),ISNUMBER(SEARCH('Property Info'!$B$18,C105))),"★ Active","–")))</f>
        <v/>
      </c>
      <c r="B105" s="2278" t="inlineStr">
        <is>
          <t>Adams County</t>
        </is>
      </c>
      <c r="C105" s="2278" t="inlineStr">
        <is>
          <t>Northglenn</t>
        </is>
      </c>
      <c r="D105" s="2278" t="inlineStr">
        <is>
          <t>Property Tax / Treasurer</t>
        </is>
      </c>
      <c r="E105" s="2278" t="inlineStr">
        <is>
          <t>Property Tax Inquiry</t>
        </is>
      </c>
      <c r="F105" s="2277" t="inlineStr">
        <is>
          <t>https://adcotax.com/treasurer/web/loginPOST.jsp?guest=true</t>
        </is>
      </c>
      <c r="G105" s="2272" t="inlineStr">
        <is>
          <t>Tax account search — balances and payment history (guest access, no login required)</t>
        </is>
      </c>
    </row>
    <row r="106" ht="14" customHeight="1" s="1439">
      <c r="A106" s="2276">
        <f>IF(B106&lt;&gt;$D$3,"◌ Other",IF(C106="REGIONAL / ALL MUNICIPALITIES","Regional",IF(OR(ISNUMBER(SEARCH(LEFT('Property Info'!$B$17,MAX(1,FIND(",",'Property Info'!$B$17&amp;",")-1)),C106)),ISNUMBER(SEARCH('Property Info'!$B$18,C106))),"★ Active","–")))</f>
        <v/>
      </c>
      <c r="B106" s="2276" t="inlineStr">
        <is>
          <t>Adams County</t>
        </is>
      </c>
      <c r="C106" s="2276" t="inlineStr">
        <is>
          <t>Northglenn</t>
        </is>
      </c>
      <c r="D106" s="2276" t="inlineStr">
        <is>
          <t>Deed / Title Records</t>
        </is>
      </c>
      <c r="E106" s="2276" t="inlineStr">
        <is>
          <t>Landmark Web Document Search</t>
        </is>
      </c>
      <c r="F106" s="2277" t="inlineStr">
        <is>
          <t>https://recording.adcogov.org/landmarkweb</t>
        </is>
      </c>
      <c r="G106" s="2270" t="inlineStr">
        <is>
          <t>Adams County deed/title records</t>
        </is>
      </c>
    </row>
    <row r="107" ht="14" customHeight="1" s="1439">
      <c r="A107" s="2278">
        <f>IF(B107&lt;&gt;$D$3,"◌ Other",IF(C107="REGIONAL / ALL MUNICIPALITIES","Regional",IF(OR(ISNUMBER(SEARCH(LEFT('Property Info'!$B$17,MAX(1,FIND(",",'Property Info'!$B$17&amp;",")-1)),C107)),ISNUMBER(SEARCH('Property Info'!$B$18,C107))),"★ Active","–")))</f>
        <v/>
      </c>
      <c r="B107" s="2278" t="inlineStr">
        <is>
          <t>Adams County</t>
        </is>
      </c>
      <c r="C107" s="2278" t="inlineStr">
        <is>
          <t>Northglenn</t>
        </is>
      </c>
      <c r="D107" s="2278" t="inlineStr">
        <is>
          <t>GIS / Mapping</t>
        </is>
      </c>
      <c r="E107" s="2278" t="inlineStr">
        <is>
          <t>Maps Page</t>
        </is>
      </c>
      <c r="F107" s="2277" t="inlineStr">
        <is>
          <t>https://www.northglenn.org/residents/about_northglenn/maps.php</t>
        </is>
      </c>
      <c r="G107" s="2272" t="inlineStr">
        <is>
          <t>City maps</t>
        </is>
      </c>
    </row>
    <row r="108" ht="14" customHeight="1" s="1439">
      <c r="A108" s="2276">
        <f>IF(B108&lt;&gt;$D$3,"◌ Other",IF(C108="REGIONAL / ALL MUNICIPALITIES","Regional",IF(OR(ISNUMBER(SEARCH(LEFT('Property Info'!$B$17,MAX(1,FIND(",",'Property Info'!$B$17&amp;",")-1)),C108)),ISNUMBER(SEARCH('Property Info'!$B$18,C108))),"★ Active","–")))</f>
        <v/>
      </c>
      <c r="B108" s="2276" t="inlineStr">
        <is>
          <t>Adams County</t>
        </is>
      </c>
      <c r="C108" s="2276" t="inlineStr">
        <is>
          <t>Northglenn</t>
        </is>
      </c>
      <c r="D108" s="2276" t="inlineStr">
        <is>
          <t>GIS / Mapping</t>
        </is>
      </c>
      <c r="E108" s="2276" t="inlineStr">
        <is>
          <t>Interactive Zoning Map (ArcGIS)</t>
        </is>
      </c>
      <c r="F108" s="2277" t="inlineStr">
        <is>
          <t>https://www.arcgis.com/apps/mapviewer/index.html?webmap=39b7188473574a07bcc84ca0ec3807fc</t>
        </is>
      </c>
      <c r="G108" s="2270" t="inlineStr">
        <is>
          <t>Citywide zoning map viewer (Updated from retired Classic Viewer URL)</t>
        </is>
      </c>
    </row>
    <row r="109" ht="14" customHeight="1" s="1439">
      <c r="A109" s="2278">
        <f>IF(B109&lt;&gt;$D$3,"◌ Other",IF(C109="REGIONAL / ALL MUNICIPALITIES","Regional",IF(OR(ISNUMBER(SEARCH(LEFT('Property Info'!$B$17,MAX(1,FIND(",",'Property Info'!$B$17&amp;",")-1)),C109)),ISNUMBER(SEARCH('Property Info'!$B$18,C109))),"★ Active","–")))</f>
        <v/>
      </c>
      <c r="B109" s="2278" t="inlineStr">
        <is>
          <t>Adams County</t>
        </is>
      </c>
      <c r="C109" s="2278" t="inlineStr">
        <is>
          <t>Northglenn</t>
        </is>
      </c>
      <c r="D109" s="2278" t="inlineStr">
        <is>
          <t>Permits</t>
        </is>
      </c>
      <c r="E109" s="2278" t="inlineStr">
        <is>
          <t>Building Department</t>
        </is>
      </c>
      <c r="F109" s="2277" t="inlineStr">
        <is>
          <t>https://www.northglenn.org/government/departments/building/</t>
        </is>
      </c>
      <c r="G109" s="2272" t="inlineStr">
        <is>
          <t>Building dept (contracted to SAFEbuilt)</t>
        </is>
      </c>
    </row>
    <row r="110" ht="14" customHeight="1" s="1439">
      <c r="A110" s="2276">
        <f>IF(B110&lt;&gt;$D$3,"◌ Other",IF(C110="REGIONAL / ALL MUNICIPALITIES","Regional",IF(OR(ISNUMBER(SEARCH(LEFT('Property Info'!$B$17,MAX(1,FIND(",",'Property Info'!$B$17&amp;",")-1)),C110)),ISNUMBER(SEARCH('Property Info'!$B$18,C110))),"★ Active","–")))</f>
        <v/>
      </c>
      <c r="B110" s="2276" t="inlineStr">
        <is>
          <t>Adams County</t>
        </is>
      </c>
      <c r="C110" s="2276" t="inlineStr">
        <is>
          <t>Northglenn</t>
        </is>
      </c>
      <c r="D110" s="2276" t="inlineStr">
        <is>
          <t>Permits</t>
        </is>
      </c>
      <c r="E110" s="2276" t="inlineStr">
        <is>
          <t>Permits Page</t>
        </is>
      </c>
      <c r="F110" s="2277" t="inlineStr">
        <is>
          <t>https://www.northglenn.org/government/departments/building/permits.php</t>
        </is>
      </c>
      <c r="G110" s="2270" t="inlineStr">
        <is>
          <t>Permit types and applications</t>
        </is>
      </c>
    </row>
    <row r="111" ht="14" customHeight="1" s="1439">
      <c r="A111" s="2278">
        <f>IF(B111&lt;&gt;$D$3,"◌ Other",IF(C111="REGIONAL / ALL MUNICIPALITIES","Regional",IF(OR(ISNUMBER(SEARCH(LEFT('Property Info'!$B$17,MAX(1,FIND(",",'Property Info'!$B$17&amp;",")-1)),C111)),ISNUMBER(SEARCH('Property Info'!$B$18,C111))),"★ Active","–")))</f>
        <v/>
      </c>
      <c r="B111" s="2278" t="inlineStr">
        <is>
          <t>Adams County</t>
        </is>
      </c>
      <c r="C111" s="2278" t="inlineStr">
        <is>
          <t>Northglenn</t>
        </is>
      </c>
      <c r="D111" s="2278" t="inlineStr">
        <is>
          <t>Permits</t>
        </is>
      </c>
      <c r="E111" s="2278" t="inlineStr">
        <is>
          <t>Building Permit Info</t>
        </is>
      </c>
      <c r="F111" s="2277" t="inlineStr">
        <is>
          <t>https://www.northglenn.org/government/licenses_and_permits/building_permit.php</t>
        </is>
      </c>
      <c r="G111" s="2272" t="inlineStr">
        <is>
          <t>How to apply for a building permit</t>
        </is>
      </c>
    </row>
    <row r="112" ht="14" customHeight="1" s="1439">
      <c r="A112" s="2276">
        <f>IF(B112&lt;&gt;$D$3,"◌ Other",IF(C112="REGIONAL / ALL MUNICIPALITIES","Regional",IF(OR(ISNUMBER(SEARCH(LEFT('Property Info'!$B$17,MAX(1,FIND(",",'Property Info'!$B$17&amp;",")-1)),C112)),ISNUMBER(SEARCH('Property Info'!$B$18,C112))),"★ Active","–")))</f>
        <v/>
      </c>
      <c r="B112" s="2276" t="inlineStr">
        <is>
          <t>Adams County</t>
        </is>
      </c>
      <c r="C112" s="2276" t="inlineStr">
        <is>
          <t>Northglenn</t>
        </is>
      </c>
      <c r="D112" s="2276" t="inlineStr">
        <is>
          <t>Zoning / Planning</t>
        </is>
      </c>
      <c r="E112" s="2276" t="inlineStr">
        <is>
          <t>QuickZone (Address Zoning Lookup)</t>
        </is>
      </c>
      <c r="F112" s="2277" t="inlineStr">
        <is>
          <t>https://secure.northglenn.org/quickzone</t>
        </is>
      </c>
      <c r="G112" s="2270" t="inlineStr">
        <is>
          <t>Instant zoning lookup by address — most user-friendly in county</t>
        </is>
      </c>
    </row>
    <row r="113" ht="14" customHeight="1" s="1439">
      <c r="A113" s="2278">
        <f>IF(B113&lt;&gt;$D$3,"◌ Other",IF(C113="REGIONAL / ALL MUNICIPALITIES","Regional",IF(OR(ISNUMBER(SEARCH(LEFT('Property Info'!$B$17,MAX(1,FIND(",",'Property Info'!$B$17&amp;",")-1)),C113)),ISNUMBER(SEARCH('Property Info'!$B$18,C113))),"★ Active","–")))</f>
        <v/>
      </c>
      <c r="B113" s="2278" t="inlineStr">
        <is>
          <t>Adams County</t>
        </is>
      </c>
      <c r="C113" s="2278" t="inlineStr">
        <is>
          <t>Northglenn</t>
        </is>
      </c>
      <c r="D113" s="2278" t="inlineStr">
        <is>
          <t>Zoning / Planning</t>
        </is>
      </c>
      <c r="E113" s="2278" t="inlineStr">
        <is>
          <t>Land Use and Zoning Main Page</t>
        </is>
      </c>
      <c r="F113" s="2277" t="inlineStr">
        <is>
          <t>https://www.northglenn.org/government/land_use_and_zoning/</t>
        </is>
      </c>
      <c r="G113" s="2272" t="inlineStr">
        <is>
          <t>Zoning department</t>
        </is>
      </c>
    </row>
    <row r="114" ht="14" customHeight="1" s="1439">
      <c r="A114" s="2276">
        <f>IF(B114&lt;&gt;$D$3,"◌ Other",IF(C114="REGIONAL / ALL MUNICIPALITIES","Regional",IF(OR(ISNUMBER(SEARCH(LEFT('Property Info'!$B$17,MAX(1,FIND(",",'Property Info'!$B$17&amp;",")-1)),C114)),ISNUMBER(SEARCH('Property Info'!$B$18,C114))),"★ Active","–")))</f>
        <v/>
      </c>
      <c r="B114" s="2276" t="inlineStr">
        <is>
          <t>Adams County</t>
        </is>
      </c>
      <c r="C114" s="2276" t="inlineStr">
        <is>
          <t>Northglenn</t>
        </is>
      </c>
      <c r="D114" s="2276" t="inlineStr">
        <is>
          <t>Zoning / Planning</t>
        </is>
      </c>
      <c r="E114" s="2276" t="inlineStr">
        <is>
          <t>Zoning Map</t>
        </is>
      </c>
      <c r="F114" s="2277" t="inlineStr">
        <is>
          <t>https://www.northglenn.org/government/land_use_and_zoning/zoning_map.php</t>
        </is>
      </c>
      <c r="G114" s="2270" t="inlineStr">
        <is>
          <t>Official citywide zoning map</t>
        </is>
      </c>
    </row>
    <row r="115" ht="14" customHeight="1" s="1439">
      <c r="A115" s="2278">
        <f>IF(B115&lt;&gt;$D$3,"◌ Other",IF(C115="REGIONAL / ALL MUNICIPALITIES","Regional",IF(OR(ISNUMBER(SEARCH(LEFT('Property Info'!$B$17,MAX(1,FIND(",",'Property Info'!$B$17&amp;",")-1)),C115)),ISNUMBER(SEARCH('Property Info'!$B$18,C115))),"★ Active","–")))</f>
        <v/>
      </c>
      <c r="B115" s="2278" t="inlineStr">
        <is>
          <t>Adams County</t>
        </is>
      </c>
      <c r="C115" s="2278" t="inlineStr">
        <is>
          <t>Northglenn</t>
        </is>
      </c>
      <c r="D115" s="2278" t="inlineStr">
        <is>
          <t>Zoning / Planning</t>
        </is>
      </c>
      <c r="E115" s="2278" t="inlineStr">
        <is>
          <t>Comprehensive Plan</t>
        </is>
      </c>
      <c r="F115" s="2277" t="inlineStr">
        <is>
          <t>https://www.northglenn.org/government/land_use_and_zoning/comprehensive_plan.php</t>
        </is>
      </c>
      <c r="G115" s="2272" t="inlineStr">
        <is>
          <t>City comprehensive plan</t>
        </is>
      </c>
    </row>
    <row r="116" ht="14" customHeight="1" s="1439">
      <c r="A116" s="2276">
        <f>IF(B116&lt;&gt;$D$3,"◌ Other",IF(C116="REGIONAL / ALL MUNICIPALITIES","Regional",IF(OR(ISNUMBER(SEARCH(LEFT('Property Info'!$B$17,MAX(1,FIND(",",'Property Info'!$B$17&amp;",")-1)),C116)),ISNUMBER(SEARCH('Property Info'!$B$18,C116))),"★ Active","–")))</f>
        <v/>
      </c>
      <c r="B116" s="2276" t="inlineStr">
        <is>
          <t>Adams County</t>
        </is>
      </c>
      <c r="C116" s="2276" t="inlineStr">
        <is>
          <t>Northglenn</t>
        </is>
      </c>
      <c r="D116" s="2276" t="inlineStr">
        <is>
          <t>Zoning / Planning</t>
        </is>
      </c>
      <c r="E116" s="2276" t="inlineStr">
        <is>
          <t>Planning and Development Department</t>
        </is>
      </c>
      <c r="F116" s="2277" t="inlineStr">
        <is>
          <t>https://www.northglenn.org/government/departments/planning_department/index.php</t>
        </is>
      </c>
      <c r="G116" s="2270" t="inlineStr">
        <is>
          <t>Planning department</t>
        </is>
      </c>
    </row>
    <row r="117" ht="14" customHeight="1" s="1439">
      <c r="A117" s="2278">
        <f>IF(B117&lt;&gt;$D$3,"◌ Other",IF(C117="REGIONAL / ALL MUNICIPALITIES","Regional",IF(OR(ISNUMBER(SEARCH(LEFT('Property Info'!$B$17,MAX(1,FIND(",",'Property Info'!$B$17&amp;",")-1)),C117)),ISNUMBER(SEARCH('Property Info'!$B$18,C117))),"★ Active","–")))</f>
        <v/>
      </c>
      <c r="B117" s="2278" t="inlineStr">
        <is>
          <t>Adams County</t>
        </is>
      </c>
      <c r="C117" s="2278" t="inlineStr">
        <is>
          <t>Northglenn</t>
        </is>
      </c>
      <c r="D117" s="2278" t="inlineStr">
        <is>
          <t>Flood Zone</t>
        </is>
      </c>
      <c r="E117" s="2278" t="inlineStr">
        <is>
          <t>FEMA Map Service Center</t>
        </is>
      </c>
      <c r="F117" s="2277" t="inlineStr">
        <is>
          <t>https://msc.fema.gov/</t>
        </is>
      </c>
      <c r="G117" s="2272" t="inlineStr">
        <is>
          <t>Address-specific FEMA FIRM lookup</t>
        </is>
      </c>
    </row>
    <row r="118" ht="14" customHeight="1" s="1439">
      <c r="A118" s="2276">
        <f>IF(B118&lt;&gt;$D$3,"◌ Other",IF(C118="REGIONAL / ALL MUNICIPALITIES","Regional",IF(OR(ISNUMBER(SEARCH(LEFT('Property Info'!$B$17,MAX(1,FIND(",",'Property Info'!$B$17&amp;",")-1)),C118)),ISNUMBER(SEARCH('Property Info'!$B$18,C118))),"★ Active","–")))</f>
        <v/>
      </c>
      <c r="B118" s="2276" t="inlineStr">
        <is>
          <t>Adams County</t>
        </is>
      </c>
      <c r="C118" s="2276" t="inlineStr">
        <is>
          <t>Northglenn</t>
        </is>
      </c>
      <c r="D118" s="2276" t="inlineStr">
        <is>
          <t>Flood Zone</t>
        </is>
      </c>
      <c r="E118" s="2276" t="inlineStr">
        <is>
          <t>Adams County Floodplain Management</t>
        </is>
      </c>
      <c r="F118" s="2277" t="inlineStr">
        <is>
          <t>https://adamscountyco.gov/our-county/community-economic-development/floodplain-management/</t>
        </is>
      </c>
      <c r="G118" s="2270" t="inlineStr">
        <is>
          <t>County floodplain resources</t>
        </is>
      </c>
    </row>
    <row r="119" ht="14" customHeight="1" s="1439">
      <c r="A119" s="2278">
        <f>IF(B119&lt;&gt;$D$3,"◌ Other",IF(C119="REGIONAL / ALL MUNICIPALITIES","Regional",IF(OR(ISNUMBER(SEARCH(LEFT('Property Info'!$B$17,MAX(1,FIND(",",'Property Info'!$B$17&amp;",")-1)),C119)),ISNUMBER(SEARCH('Property Info'!$B$18,C119))),"★ Active","–")))</f>
        <v/>
      </c>
      <c r="B119" s="2278" t="inlineStr">
        <is>
          <t>Adams County</t>
        </is>
      </c>
      <c r="C119" s="2278" t="inlineStr">
        <is>
          <t>Northglenn</t>
        </is>
      </c>
      <c r="D119" s="2278" t="inlineStr">
        <is>
          <t>Economic Development</t>
        </is>
      </c>
      <c r="E119" s="2278" t="inlineStr">
        <is>
          <t>Business Help / Economic Development</t>
        </is>
      </c>
      <c r="F119" s="2277" t="inlineStr">
        <is>
          <t>https://www.northglenn.org/biz/</t>
        </is>
      </c>
      <c r="G119" s="2272" t="inlineStr">
        <is>
          <t>City business resources</t>
        </is>
      </c>
    </row>
    <row r="120" ht="14" customHeight="1" s="1439">
      <c r="A120" s="2276">
        <f>IF(B120&lt;&gt;$D$3,"◌ Other",IF(C120="REGIONAL / ALL MUNICIPALITIES","Regional",IF(OR(ISNUMBER(SEARCH(LEFT('Property Info'!$B$17,MAX(1,FIND(",",'Property Info'!$B$17&amp;",")-1)),C120)),ISNUMBER(SEARCH('Property Info'!$B$18,C120))),"★ Active","–")))</f>
        <v/>
      </c>
      <c r="B120" s="2276" t="inlineStr">
        <is>
          <t>Adams County</t>
        </is>
      </c>
      <c r="C120" s="2276" t="inlineStr">
        <is>
          <t>Northglenn</t>
        </is>
      </c>
      <c r="D120" s="2276" t="inlineStr">
        <is>
          <t>Business License</t>
        </is>
      </c>
      <c r="E120" s="2276" t="inlineStr">
        <is>
          <t>Business License</t>
        </is>
      </c>
      <c r="F120" s="2277" t="inlineStr">
        <is>
          <t>https://www.northglenn.org/government/licenses_and_permits/business_license.php</t>
        </is>
      </c>
      <c r="G120" s="2270" t="inlineStr">
        <is>
          <t>Business license portal</t>
        </is>
      </c>
    </row>
    <row r="121" ht="14" customHeight="1" s="1439">
      <c r="A121" s="2278">
        <f>IF(B121&lt;&gt;$D$3,"◌ Other",IF(C121="REGIONAL / ALL MUNICIPALITIES","Regional",IF(OR(ISNUMBER(SEARCH(LEFT('Property Info'!$B$17,MAX(1,FIND(",",'Property Info'!$B$17&amp;",")-1)),C121)),ISNUMBER(SEARCH('Property Info'!$B$18,C121))),"★ Active","–")))</f>
        <v/>
      </c>
      <c r="B121" s="2278" t="inlineStr">
        <is>
          <t>Adams County</t>
        </is>
      </c>
      <c r="C121" s="2278" t="inlineStr">
        <is>
          <t>Northglenn</t>
        </is>
      </c>
      <c r="D121" s="2278" t="inlineStr">
        <is>
          <t>Short-Term Rental</t>
        </is>
      </c>
      <c r="E121" s="2278" t="inlineStr">
        <is>
          <t>Short-Term Rental License</t>
        </is>
      </c>
      <c r="F121" s="2277" t="inlineStr">
        <is>
          <t>https://www.northglenn.org/government/licenses_and_permits/short_term_rental_license.php</t>
        </is>
      </c>
      <c r="G121" s="2272" t="inlineStr">
        <is>
          <t>STR license requirements</t>
        </is>
      </c>
    </row>
    <row r="122" ht="14" customHeight="1" s="1439">
      <c r="A122" s="2276">
        <f>IF(B122&lt;&gt;$D$3,"◌ Other",IF(C122="REGIONAL / ALL MUNICIPALITIES","Regional",IF(OR(ISNUMBER(SEARCH(LEFT('Property Info'!$B$17,MAX(1,FIND(",",'Property Info'!$B$17&amp;",")-1)),C122)),ISNUMBER(SEARCH('Property Info'!$B$18,C122))),"★ Active","–")))</f>
        <v/>
      </c>
      <c r="B122" s="2276" t="inlineStr">
        <is>
          <t>Adams County</t>
        </is>
      </c>
      <c r="C122" s="2276" t="inlineStr">
        <is>
          <t>Northglenn</t>
        </is>
      </c>
      <c r="D122" s="2276" t="inlineStr">
        <is>
          <t>Crime / Safety</t>
        </is>
      </c>
      <c r="E122" s="2276" t="inlineStr">
        <is>
          <t>Crime Maps</t>
        </is>
      </c>
      <c r="F122" s="2277" t="inlineStr">
        <is>
          <t>https://secure.northglenn.org/maps/crime</t>
        </is>
      </c>
      <c r="G122" s="2270" t="inlineStr">
        <is>
          <t>Interactive crime map</t>
        </is>
      </c>
    </row>
    <row r="123" ht="14" customHeight="1" s="1439">
      <c r="A123" s="2278">
        <f>IF(B123&lt;&gt;$D$3,"◌ Other",IF(C123="REGIONAL / ALL MUNICIPALITIES","Regional",IF(OR(ISNUMBER(SEARCH(LEFT('Property Info'!$B$17,MAX(1,FIND(",",'Property Info'!$B$17&amp;",")-1)),C123)),ISNUMBER(SEARCH('Property Info'!$B$18,C123))),"★ Active","–")))</f>
        <v/>
      </c>
      <c r="B123" s="2278" t="inlineStr">
        <is>
          <t>Adams County</t>
        </is>
      </c>
      <c r="C123" s="2278" t="inlineStr">
        <is>
          <t>Northglenn</t>
        </is>
      </c>
      <c r="D123" s="2278" t="inlineStr">
        <is>
          <t>Crime / Safety</t>
        </is>
      </c>
      <c r="E123" s="2278" t="inlineStr">
        <is>
          <t>Crime Stats</t>
        </is>
      </c>
      <c r="F123" s="2277" t="inlineStr">
        <is>
          <t>https://www.northglenn.org/public_safety/police/crime_stats.php</t>
        </is>
      </c>
      <c r="G123" s="2272" t="inlineStr">
        <is>
          <t>Crime statistics</t>
        </is>
      </c>
    </row>
    <row r="124" ht="14" customHeight="1" s="1439">
      <c r="A124" s="2276">
        <f>IF(B124&lt;&gt;$D$3,"◌ Other",IF(C124="REGIONAL / ALL MUNICIPALITIES","Regional",IF(OR(ISNUMBER(SEARCH(LEFT('Property Info'!$B$17,MAX(1,FIND(",",'Property Info'!$B$17&amp;",")-1)),C124)),ISNUMBER(SEARCH('Property Info'!$B$18,C124))),"★ Active","–")))</f>
        <v/>
      </c>
      <c r="B124" s="2276" t="inlineStr">
        <is>
          <t>Adams County</t>
        </is>
      </c>
      <c r="C124" s="2276" t="inlineStr">
        <is>
          <t>Northglenn</t>
        </is>
      </c>
      <c r="D124" s="2276" t="inlineStr">
        <is>
          <t>Utilities</t>
        </is>
      </c>
      <c r="E124" s="2276" t="inlineStr">
        <is>
          <t>Water</t>
        </is>
      </c>
      <c r="F124" s="2277" t="inlineStr">
        <is>
          <t>https://www.northglenn.org/residents/water/</t>
        </is>
      </c>
      <c r="G124" s="2270" t="inlineStr">
        <is>
          <t>City water utility</t>
        </is>
      </c>
    </row>
    <row r="125" ht="14" customHeight="1" s="1439">
      <c r="A125" s="2278">
        <f>IF(B125&lt;&gt;$D$3,"◌ Other",IF(C125="REGIONAL / ALL MUNICIPALITIES","Regional",IF(OR(ISNUMBER(SEARCH(LEFT('Property Info'!$B$17,MAX(1,FIND(",",'Property Info'!$B$17&amp;",")-1)),C125)),ISNUMBER(SEARCH('Property Info'!$B$18,C125))),"★ Active","–")))</f>
        <v/>
      </c>
      <c r="B125" s="2278" t="inlineStr">
        <is>
          <t>Adams County</t>
        </is>
      </c>
      <c r="C125" s="2278" t="inlineStr">
        <is>
          <t>Northglenn</t>
        </is>
      </c>
      <c r="D125" s="2278" t="inlineStr">
        <is>
          <t>School Districts</t>
        </is>
      </c>
      <c r="E125" s="2278" t="inlineStr">
        <is>
          <t>Adams 12 Five Star Schools</t>
        </is>
      </c>
      <c r="F125" s="2277" t="inlineStr">
        <is>
          <t>https://www.adams12.org/</t>
        </is>
      </c>
      <c r="G125" s="2272" t="inlineStr">
        <is>
          <t>Primary school district for Northglenn</t>
        </is>
      </c>
    </row>
    <row r="126" ht="14" customHeight="1" s="1439">
      <c r="A126" s="2276">
        <f>IF(B126&lt;&gt;$D$3,"◌ Other",IF(C126="REGIONAL / ALL MUNICIPALITIES","Regional",IF(OR(ISNUMBER(SEARCH(LEFT('Property Info'!$B$17,MAX(1,FIND(",",'Property Info'!$B$17&amp;",")-1)),C126)),ISNUMBER(SEARCH('Property Info'!$B$18,C126))),"★ Active","–")))</f>
        <v/>
      </c>
      <c r="B126" s="2276" t="inlineStr">
        <is>
          <t>Adams County</t>
        </is>
      </c>
      <c r="C126" s="2276" t="inlineStr">
        <is>
          <t>Northglenn</t>
        </is>
      </c>
      <c r="D126" s="2276" t="inlineStr">
        <is>
          <t>School Districts</t>
        </is>
      </c>
      <c r="E126" s="2276" t="inlineStr">
        <is>
          <t>Schools Listing</t>
        </is>
      </c>
      <c r="F126" s="2277" t="inlineStr">
        <is>
          <t>https://www.northglenn.org/residents/schools.php</t>
        </is>
      </c>
      <c r="G126" s="2270" t="inlineStr">
        <is>
          <t>Northglenn school directory</t>
        </is>
      </c>
    </row>
    <row r="127" ht="14" customHeight="1" s="1439">
      <c r="A127" s="2278">
        <f>IF(B127&lt;&gt;$D$3,"◌ Other",IF(C127="REGIONAL / ALL MUNICIPALITIES","Regional",IF(OR(ISNUMBER(SEARCH(LEFT('Property Info'!$B$17,MAX(1,FIND(",",'Property Info'!$B$17&amp;",")-1)),C127)),ISNUMBER(SEARCH('Property Info'!$B$18,C127))),"★ Active","–")))</f>
        <v/>
      </c>
      <c r="B127" s="2278" t="inlineStr">
        <is>
          <t>Adams County</t>
        </is>
      </c>
      <c r="C127" s="2278" t="inlineStr">
        <is>
          <t>Thornton</t>
        </is>
      </c>
      <c r="D127" s="2278" t="inlineStr">
        <is>
          <t>Property Assessment</t>
        </is>
      </c>
      <c r="E127" s="2278" t="inlineStr">
        <is>
          <t>Thornton CityView Property Locator</t>
        </is>
      </c>
      <c r="F127" s="2277" t="inlineStr">
        <is>
          <t>https://cityviewportal.thorntonco.gov/Property</t>
        </is>
      </c>
      <c r="G127" s="2272" t="inlineStr">
        <is>
          <t>City-run parcel info portal with permit history</t>
        </is>
      </c>
    </row>
    <row r="128" ht="14" customHeight="1" s="1439">
      <c r="A128" s="2276">
        <f>IF(B128&lt;&gt;$D$3,"◌ Other",IF(C128="REGIONAL / ALL MUNICIPALITIES","Regional",IF(OR(ISNUMBER(SEARCH(LEFT('Property Info'!$B$17,MAX(1,FIND(",",'Property Info'!$B$17&amp;",")-1)),C128)),ISNUMBER(SEARCH('Property Info'!$B$18,C128))),"★ Active","–")))</f>
        <v/>
      </c>
      <c r="B128" s="2276" t="inlineStr">
        <is>
          <t>Adams County</t>
        </is>
      </c>
      <c r="C128" s="2276" t="inlineStr">
        <is>
          <t>Thornton</t>
        </is>
      </c>
      <c r="D128" s="2276" t="inlineStr">
        <is>
          <t>Property Assessment</t>
        </is>
      </c>
      <c r="E128" s="2276" t="inlineStr">
        <is>
          <t>Adams County Assessor (Property Lookup)</t>
        </is>
      </c>
      <c r="F128" s="2277" t="inlineStr">
        <is>
          <t>https://adcogov.org/property-look</t>
        </is>
      </c>
      <c r="G128" s="2270" t="inlineStr">
        <is>
          <t>County assessment data</t>
        </is>
      </c>
    </row>
    <row r="129" ht="14" customHeight="1" s="1439">
      <c r="A129" s="2278">
        <f>IF(B129&lt;&gt;$D$3,"◌ Other",IF(C129="REGIONAL / ALL MUNICIPALITIES","Regional",IF(OR(ISNUMBER(SEARCH(LEFT('Property Info'!$B$17,MAX(1,FIND(",",'Property Info'!$B$17&amp;",")-1)),C129)),ISNUMBER(SEARCH('Property Info'!$B$18,C129))),"★ Active","–")))</f>
        <v/>
      </c>
      <c r="B129" s="2278" t="inlineStr">
        <is>
          <t>Adams County</t>
        </is>
      </c>
      <c r="C129" s="2278" t="inlineStr">
        <is>
          <t>Thornton</t>
        </is>
      </c>
      <c r="D129" s="2278" t="inlineStr">
        <is>
          <t>Property Tax / Treasurer</t>
        </is>
      </c>
      <c r="E129" s="2278" t="inlineStr">
        <is>
          <t>Online Tax Payment</t>
        </is>
      </c>
      <c r="F129" s="2277" t="inlineStr">
        <is>
          <t>https://adcotax.com/treasurer/web/login.jsp</t>
        </is>
      </c>
      <c r="G129" s="2272" t="inlineStr">
        <is>
          <t>Adams County tax payment portal</t>
        </is>
      </c>
    </row>
    <row r="130" ht="14" customHeight="1" s="1439">
      <c r="A130" s="2276">
        <f>IF(B130&lt;&gt;$D$3,"◌ Other",IF(C130="REGIONAL / ALL MUNICIPALITIES","Regional",IF(OR(ISNUMBER(SEARCH(LEFT('Property Info'!$B$17,MAX(1,FIND(",",'Property Info'!$B$17&amp;",")-1)),C130)),ISNUMBER(SEARCH('Property Info'!$B$18,C130))),"★ Active","–")))</f>
        <v/>
      </c>
      <c r="B130" s="2276" t="inlineStr">
        <is>
          <t>Adams County</t>
        </is>
      </c>
      <c r="C130" s="2276" t="inlineStr">
        <is>
          <t>Thornton</t>
        </is>
      </c>
      <c r="D130" s="2276" t="inlineStr">
        <is>
          <t>Property Tax / Treasurer</t>
        </is>
      </c>
      <c r="E130" s="2276" t="inlineStr">
        <is>
          <t>Property Tax Inquiry</t>
        </is>
      </c>
      <c r="F130" s="2277" t="inlineStr">
        <is>
          <t>https://adcotax.com/treasurer/web/loginPOST.jsp?guest=true</t>
        </is>
      </c>
      <c r="G130" s="2270" t="inlineStr">
        <is>
          <t>Tax account search — balances and payment history (guest access, no login required)</t>
        </is>
      </c>
    </row>
    <row r="131" ht="14" customHeight="1" s="1439">
      <c r="A131" s="2278">
        <f>IF(B131&lt;&gt;$D$3,"◌ Other",IF(C131="REGIONAL / ALL MUNICIPALITIES","Regional",IF(OR(ISNUMBER(SEARCH(LEFT('Property Info'!$B$17,MAX(1,FIND(",",'Property Info'!$B$17&amp;",")-1)),C131)),ISNUMBER(SEARCH('Property Info'!$B$18,C131))),"★ Active","–")))</f>
        <v/>
      </c>
      <c r="B131" s="2278" t="inlineStr">
        <is>
          <t>Adams County</t>
        </is>
      </c>
      <c r="C131" s="2278" t="inlineStr">
        <is>
          <t>Thornton</t>
        </is>
      </c>
      <c r="D131" s="2278" t="inlineStr">
        <is>
          <t>Deed / Title Records</t>
        </is>
      </c>
      <c r="E131" s="2278" t="inlineStr">
        <is>
          <t>Landmark Web Document Search</t>
        </is>
      </c>
      <c r="F131" s="2277" t="inlineStr">
        <is>
          <t>https://recording.adcogov.org/landmarkweb</t>
        </is>
      </c>
      <c r="G131" s="2272" t="inlineStr">
        <is>
          <t>Adams County deed/title records</t>
        </is>
      </c>
    </row>
    <row r="132" ht="14" customHeight="1" s="1439">
      <c r="A132" s="2276">
        <f>IF(B132&lt;&gt;$D$3,"◌ Other",IF(C132="REGIONAL / ALL MUNICIPALITIES","Regional",IF(OR(ISNUMBER(SEARCH(LEFT('Property Info'!$B$17,MAX(1,FIND(",",'Property Info'!$B$17&amp;",")-1)),C132)),ISNUMBER(SEARCH('Property Info'!$B$18,C132))),"★ Active","–")))</f>
        <v/>
      </c>
      <c r="B132" s="2276" t="inlineStr">
        <is>
          <t>Adams County</t>
        </is>
      </c>
      <c r="C132" s="2276" t="inlineStr">
        <is>
          <t>Thornton</t>
        </is>
      </c>
      <c r="D132" s="2276" t="inlineStr">
        <is>
          <t>GIS / Mapping</t>
        </is>
      </c>
      <c r="E132" s="2276" t="inlineStr">
        <is>
          <t>Open Data Site (ArcGIS)</t>
        </is>
      </c>
      <c r="F132" s="2277" t="inlineStr">
        <is>
          <t>https://data-cityofthornton.opendata.arcgis.com/</t>
        </is>
      </c>
      <c r="G132" s="2270" t="inlineStr">
        <is>
          <t>Downloadable GIS datasets including zoning</t>
        </is>
      </c>
    </row>
    <row r="133" ht="14" customHeight="1" s="1439">
      <c r="A133" s="2278">
        <f>IF(B133&lt;&gt;$D$3,"◌ Other",IF(C133="REGIONAL / ALL MUNICIPALITIES","Regional",IF(OR(ISNUMBER(SEARCH(LEFT('Property Info'!$B$17,MAX(1,FIND(",",'Property Info'!$B$17&amp;",")-1)),C133)),ISNUMBER(SEARCH('Property Info'!$B$18,C133))),"★ Active","–")))</f>
        <v/>
      </c>
      <c r="B133" s="2278" t="inlineStr">
        <is>
          <t>Adams County</t>
        </is>
      </c>
      <c r="C133" s="2278" t="inlineStr">
        <is>
          <t>Thornton</t>
        </is>
      </c>
      <c r="D133" s="2278" t="inlineStr">
        <is>
          <t>GIS / Mapping</t>
        </is>
      </c>
      <c r="E133" s="2278" t="inlineStr">
        <is>
          <t>Interactive GIS Map Viewer</t>
        </is>
      </c>
      <c r="F133" s="2277" t="inlineStr">
        <is>
          <t>https://maps.thorntonco.gov/portal/apps/webappviewer/index.html?id=3ca678047c5b48568a9322c364808f7e</t>
        </is>
      </c>
      <c r="G133" s="2272" t="inlineStr">
        <is>
          <t>Full interactive city GIS map</t>
        </is>
      </c>
    </row>
    <row r="134" ht="14" customHeight="1" s="1439">
      <c r="A134" s="2276">
        <f>IF(B134&lt;&gt;$D$3,"◌ Other",IF(C134="REGIONAL / ALL MUNICIPALITIES","Regional",IF(OR(ISNUMBER(SEARCH(LEFT('Property Info'!$B$17,MAX(1,FIND(",",'Property Info'!$B$17&amp;",")-1)),C134)),ISNUMBER(SEARCH('Property Info'!$B$18,C134))),"★ Active","–")))</f>
        <v/>
      </c>
      <c r="B134" s="2276" t="inlineStr">
        <is>
          <t>Adams County</t>
        </is>
      </c>
      <c r="C134" s="2276" t="inlineStr">
        <is>
          <t>Thornton</t>
        </is>
      </c>
      <c r="D134" s="2276" t="inlineStr">
        <is>
          <t>GIS / Mapping</t>
        </is>
      </c>
      <c r="E134" s="2276" t="inlineStr">
        <is>
          <t>Development Code Hub (ArcGIS)</t>
        </is>
      </c>
      <c r="F134" s="2277" t="inlineStr">
        <is>
          <t>https://city-of-thornton-development-code-cityofthornton.hub.arcgis.com/</t>
        </is>
      </c>
      <c r="G134" s="2270" t="inlineStr">
        <is>
          <t>Zoning and development code in map format</t>
        </is>
      </c>
    </row>
    <row r="135" ht="14" customHeight="1" s="1439">
      <c r="A135" s="2278">
        <f>IF(B135&lt;&gt;$D$3,"◌ Other",IF(C135="REGIONAL / ALL MUNICIPALITIES","Regional",IF(OR(ISNUMBER(SEARCH(LEFT('Property Info'!$B$17,MAX(1,FIND(",",'Property Info'!$B$17&amp;",")-1)),C135)),ISNUMBER(SEARCH('Property Info'!$B$18,C135))),"★ Active","–")))</f>
        <v/>
      </c>
      <c r="B135" s="2278" t="inlineStr">
        <is>
          <t>Adams County</t>
        </is>
      </c>
      <c r="C135" s="2278" t="inlineStr">
        <is>
          <t>Thornton</t>
        </is>
      </c>
      <c r="D135" s="2278" t="inlineStr">
        <is>
          <t>Permits</t>
        </is>
      </c>
      <c r="E135" s="2278" t="inlineStr">
        <is>
          <t>CityView Portal</t>
        </is>
      </c>
      <c r="F135" s="2277" t="inlineStr">
        <is>
          <t>https://cityviewportal.thorntonco.gov/</t>
        </is>
      </c>
      <c r="G135" s="2272" t="inlineStr">
        <is>
          <t>Permits search and property info</t>
        </is>
      </c>
    </row>
    <row r="136" ht="14" customHeight="1" s="1439">
      <c r="A136" s="2276">
        <f>IF(B136&lt;&gt;$D$3,"◌ Other",IF(C136="REGIONAL / ALL MUNICIPALITIES","Regional",IF(OR(ISNUMBER(SEARCH(LEFT('Property Info'!$B$17,MAX(1,FIND(",",'Property Info'!$B$17&amp;",")-1)),C136)),ISNUMBER(SEARCH('Property Info'!$B$18,C136))),"★ Active","–")))</f>
        <v/>
      </c>
      <c r="B136" s="2276" t="inlineStr">
        <is>
          <t>Adams County</t>
        </is>
      </c>
      <c r="C136" s="2276" t="inlineStr">
        <is>
          <t>Thornton</t>
        </is>
      </c>
      <c r="D136" s="2276" t="inlineStr">
        <is>
          <t>Permits</t>
        </is>
      </c>
      <c r="E136" s="2276" t="inlineStr">
        <is>
          <t>Permits &amp; Inspections Portal</t>
        </is>
      </c>
      <c r="F136" s="2277" t="inlineStr">
        <is>
          <t>https://permits.thorntonco.gov/</t>
        </is>
      </c>
      <c r="G136" s="2270" t="inlineStr">
        <is>
          <t>Online permit applications and tracking</t>
        </is>
      </c>
    </row>
    <row r="137" ht="14" customHeight="1" s="1439">
      <c r="A137" s="2278">
        <f>IF(B137&lt;&gt;$D$3,"◌ Other",IF(C137="REGIONAL / ALL MUNICIPALITIES","Regional",IF(OR(ISNUMBER(SEARCH(LEFT('Property Info'!$B$17,MAX(1,FIND(",",'Property Info'!$B$17&amp;",")-1)),C137)),ISNUMBER(SEARCH('Property Info'!$B$18,C137))),"★ Active","–")))</f>
        <v/>
      </c>
      <c r="B137" s="2278" t="inlineStr">
        <is>
          <t>Adams County</t>
        </is>
      </c>
      <c r="C137" s="2278" t="inlineStr">
        <is>
          <t>Thornton</t>
        </is>
      </c>
      <c r="D137" s="2278" t="inlineStr">
        <is>
          <t>Code Enforcement</t>
        </is>
      </c>
      <c r="E137" s="2278" t="inlineStr">
        <is>
          <t>Code Compliance</t>
        </is>
      </c>
      <c r="F137" s="2277" t="inlineStr">
        <is>
          <t>https://www.thorntonco.gov/city-services/code-compliance</t>
        </is>
      </c>
      <c r="G137" s="2272" t="inlineStr">
        <is>
          <t>Code compliance department</t>
        </is>
      </c>
    </row>
    <row r="138" ht="14" customHeight="1" s="1439">
      <c r="A138" s="2276">
        <f>IF(B138&lt;&gt;$D$3,"◌ Other",IF(C138="REGIONAL / ALL MUNICIPALITIES","Regional",IF(OR(ISNUMBER(SEARCH(LEFT('Property Info'!$B$17,MAX(1,FIND(",",'Property Info'!$B$17&amp;",")-1)),C138)),ISNUMBER(SEARCH('Property Info'!$B$18,C138))),"★ Active","–")))</f>
        <v/>
      </c>
      <c r="B138" s="2276" t="inlineStr">
        <is>
          <t>Adams County</t>
        </is>
      </c>
      <c r="C138" s="2276" t="inlineStr">
        <is>
          <t>Thornton</t>
        </is>
      </c>
      <c r="D138" s="2276" t="inlineStr">
        <is>
          <t>Zoning / Planning</t>
        </is>
      </c>
      <c r="E138" s="2276" t="inlineStr">
        <is>
          <t>Current Planning &amp; Zoning</t>
        </is>
      </c>
      <c r="F138" s="2277" t="inlineStr">
        <is>
          <t>https://www.thorntonco.gov/business-development/city-development/current-planning-zoning</t>
        </is>
      </c>
      <c r="G138" s="2270" t="inlineStr">
        <is>
          <t>Zoning department main page</t>
        </is>
      </c>
    </row>
    <row r="139" ht="14" customHeight="1" s="1439">
      <c r="A139" s="2278">
        <f>IF(B139&lt;&gt;$D$3,"◌ Other",IF(C139="REGIONAL / ALL MUNICIPALITIES","Regional",IF(OR(ISNUMBER(SEARCH(LEFT('Property Info'!$B$17,MAX(1,FIND(",",'Property Info'!$B$17&amp;",")-1)),C139)),ISNUMBER(SEARCH('Property Info'!$B$18,C139))),"★ Active","–")))</f>
        <v/>
      </c>
      <c r="B139" s="2278" t="inlineStr">
        <is>
          <t>Adams County</t>
        </is>
      </c>
      <c r="C139" s="2278" t="inlineStr">
        <is>
          <t>Thornton</t>
        </is>
      </c>
      <c r="D139" s="2278" t="inlineStr">
        <is>
          <t>Zoning / Planning</t>
        </is>
      </c>
      <c r="E139" s="2278" t="inlineStr">
        <is>
          <t>Zoning Districts Uses and Regulations</t>
        </is>
      </c>
      <c r="F139" s="2277" t="inlineStr">
        <is>
          <t>https://www.thorntonco.gov/business-development/city-development/current-planning-zoning/zoning-districts-uses-and-regulations</t>
        </is>
      </c>
      <c r="G139" s="2272" t="inlineStr">
        <is>
          <t>Detailed zoning district regulations</t>
        </is>
      </c>
    </row>
    <row r="140" ht="14" customHeight="1" s="1439">
      <c r="A140" s="2276">
        <f>IF(B140&lt;&gt;$D$3,"◌ Other",IF(C140="REGIONAL / ALL MUNICIPALITIES","Regional",IF(OR(ISNUMBER(SEARCH(LEFT('Property Info'!$B$17,MAX(1,FIND(",",'Property Info'!$B$17&amp;",")-1)),C140)),ISNUMBER(SEARCH('Property Info'!$B$18,C140))),"★ Active","–")))</f>
        <v/>
      </c>
      <c r="B140" s="2276" t="inlineStr">
        <is>
          <t>Adams County</t>
        </is>
      </c>
      <c r="C140" s="2276" t="inlineStr">
        <is>
          <t>Thornton</t>
        </is>
      </c>
      <c r="D140" s="2276" t="inlineStr">
        <is>
          <t>Zoning / Planning</t>
        </is>
      </c>
      <c r="E140" s="2276" t="inlineStr">
        <is>
          <t>Active Development</t>
        </is>
      </c>
      <c r="F140" s="2277" t="inlineStr">
        <is>
          <t>https://www.thorntonco.gov/business-development/active-development</t>
        </is>
      </c>
      <c r="G140" s="2270" t="inlineStr">
        <is>
          <t>Active and pending development projects</t>
        </is>
      </c>
    </row>
    <row r="141" ht="14" customHeight="1" s="1439">
      <c r="A141" s="2278">
        <f>IF(B141&lt;&gt;$D$3,"◌ Other",IF(C141="REGIONAL / ALL MUNICIPALITIES","Regional",IF(OR(ISNUMBER(SEARCH(LEFT('Property Info'!$B$17,MAX(1,FIND(",",'Property Info'!$B$17&amp;",")-1)),C141)),ISNUMBER(SEARCH('Property Info'!$B$18,C141))),"★ Active","–")))</f>
        <v/>
      </c>
      <c r="B141" s="2278" t="inlineStr">
        <is>
          <t>Adams County</t>
        </is>
      </c>
      <c r="C141" s="2278" t="inlineStr">
        <is>
          <t>Thornton</t>
        </is>
      </c>
      <c r="D141" s="2278" t="inlineStr">
        <is>
          <t>Zoning / Planning</t>
        </is>
      </c>
      <c r="E141" s="2278" t="inlineStr">
        <is>
          <t>Long Range Planning</t>
        </is>
      </c>
      <c r="F141" s="2277" t="inlineStr">
        <is>
          <t>https://www.thorntonco.gov/business-development/city-development/long-range-planning</t>
        </is>
      </c>
      <c r="G141" s="2272" t="inlineStr">
        <is>
          <t>Long range planning division</t>
        </is>
      </c>
    </row>
    <row r="142" ht="14" customHeight="1" s="1439">
      <c r="A142" s="2276">
        <f>IF(B142&lt;&gt;$D$3,"◌ Other",IF(C142="REGIONAL / ALL MUNICIPALITIES","Regional",IF(OR(ISNUMBER(SEARCH(LEFT('Property Info'!$B$17,MAX(1,FIND(",",'Property Info'!$B$17&amp;",")-1)),C142)),ISNUMBER(SEARCH('Property Info'!$B$18,C142))),"★ Active","–")))</f>
        <v/>
      </c>
      <c r="B142" s="2276" t="inlineStr">
        <is>
          <t>Adams County</t>
        </is>
      </c>
      <c r="C142" s="2276" t="inlineStr">
        <is>
          <t>Thornton</t>
        </is>
      </c>
      <c r="D142" s="2276" t="inlineStr">
        <is>
          <t>Zoning / Planning</t>
        </is>
      </c>
      <c r="E142" s="2276" t="inlineStr">
        <is>
          <t>Comprehensive Plan</t>
        </is>
      </c>
      <c r="F142" s="2277" t="inlineStr">
        <is>
          <t>https://www.thorntonco.gov/business-development/city-development/long-range-planning/plans/thornton-comprehensive-plan</t>
        </is>
      </c>
      <c r="G142" s="2270" t="inlineStr">
        <is>
          <t>City comprehensive plan</t>
        </is>
      </c>
    </row>
    <row r="143" ht="14" customHeight="1" s="1439">
      <c r="A143" s="2278">
        <f>IF(B143&lt;&gt;$D$3,"◌ Other",IF(C143="REGIONAL / ALL MUNICIPALITIES","Regional",IF(OR(ISNUMBER(SEARCH(LEFT('Property Info'!$B$17,MAX(1,FIND(",",'Property Info'!$B$17&amp;",")-1)),C143)),ISNUMBER(SEARCH('Property Info'!$B$18,C143))),"★ Active","–")))</f>
        <v/>
      </c>
      <c r="B143" s="2278" t="inlineStr">
        <is>
          <t>Adams County</t>
        </is>
      </c>
      <c r="C143" s="2278" t="inlineStr">
        <is>
          <t>Thornton</t>
        </is>
      </c>
      <c r="D143" s="2278" t="inlineStr">
        <is>
          <t>Zoning / Planning</t>
        </is>
      </c>
      <c r="E143" s="2278" t="inlineStr">
        <is>
          <t>Functional Strategic &amp; Master Plans</t>
        </is>
      </c>
      <c r="F143" s="2277" t="inlineStr">
        <is>
          <t>https://www.thorntonco.gov/business-development/city-development/long-range-planning/plans/functional-strategic-master-plans</t>
        </is>
      </c>
      <c r="G143" s="2272" t="inlineStr">
        <is>
          <t>All city master plans</t>
        </is>
      </c>
    </row>
    <row r="144" ht="14" customHeight="1" s="1439">
      <c r="A144" s="2276">
        <f>IF(B144&lt;&gt;$D$3,"◌ Other",IF(C144="REGIONAL / ALL MUNICIPALITIES","Regional",IF(OR(ISNUMBER(SEARCH(LEFT('Property Info'!$B$17,MAX(1,FIND(",",'Property Info'!$B$17&amp;",")-1)),C144)),ISNUMBER(SEARCH('Property Info'!$B$18,C144))),"★ Active","–")))</f>
        <v/>
      </c>
      <c r="B144" s="2276" t="inlineStr">
        <is>
          <t>Adams County</t>
        </is>
      </c>
      <c r="C144" s="2276" t="inlineStr">
        <is>
          <t>Thornton</t>
        </is>
      </c>
      <c r="D144" s="2276" t="inlineStr">
        <is>
          <t>Flood Zone</t>
        </is>
      </c>
      <c r="E144" s="2276" t="inlineStr">
        <is>
          <t>FEMA Map Service Center</t>
        </is>
      </c>
      <c r="F144" s="2277" t="inlineStr">
        <is>
          <t>https://msc.fema.gov/</t>
        </is>
      </c>
      <c r="G144" s="2270" t="inlineStr">
        <is>
          <t>Address-specific FEMA FIRM lookup</t>
        </is>
      </c>
    </row>
    <row r="145" ht="14" customHeight="1" s="1439">
      <c r="A145" s="2278">
        <f>IF(B145&lt;&gt;$D$3,"◌ Other",IF(C145="REGIONAL / ALL MUNICIPALITIES","Regional",IF(OR(ISNUMBER(SEARCH(LEFT('Property Info'!$B$17,MAX(1,FIND(",",'Property Info'!$B$17&amp;",")-1)),C145)),ISNUMBER(SEARCH('Property Info'!$B$18,C145))),"★ Active","–")))</f>
        <v/>
      </c>
      <c r="B145" s="2278" t="inlineStr">
        <is>
          <t>Adams County</t>
        </is>
      </c>
      <c r="C145" s="2278" t="inlineStr">
        <is>
          <t>Thornton</t>
        </is>
      </c>
      <c r="D145" s="2278" t="inlineStr">
        <is>
          <t>Flood Zone</t>
        </is>
      </c>
      <c r="E145" s="2278" t="inlineStr">
        <is>
          <t>Adams County Floodplain Management</t>
        </is>
      </c>
      <c r="F145" s="2277" t="inlineStr">
        <is>
          <t>https://adamscountyco.gov/our-county/community-economic-development/floodplain-management/</t>
        </is>
      </c>
      <c r="G145" s="2272" t="inlineStr">
        <is>
          <t>County floodplain resources</t>
        </is>
      </c>
    </row>
    <row r="146" ht="14" customHeight="1" s="1439">
      <c r="A146" s="2276">
        <f>IF(B146&lt;&gt;$D$3,"◌ Other",IF(C146="REGIONAL / ALL MUNICIPALITIES","Regional",IF(OR(ISNUMBER(SEARCH(LEFT('Property Info'!$B$17,MAX(1,FIND(",",'Property Info'!$B$17&amp;",")-1)),C146)),ISNUMBER(SEARCH('Property Info'!$B$18,C146))),"★ Active","–")))</f>
        <v/>
      </c>
      <c r="B146" s="2276" t="inlineStr">
        <is>
          <t>Adams County</t>
        </is>
      </c>
      <c r="C146" s="2276" t="inlineStr">
        <is>
          <t>Thornton</t>
        </is>
      </c>
      <c r="D146" s="2276" t="inlineStr">
        <is>
          <t>Economic Development</t>
        </is>
      </c>
      <c r="E146" s="2276" t="inlineStr">
        <is>
          <t>City Development</t>
        </is>
      </c>
      <c r="F146" s="2277" t="inlineStr">
        <is>
          <t>https://www.thorntonco.gov/business-development/city-development</t>
        </is>
      </c>
      <c r="G146" s="2270" t="inlineStr">
        <is>
          <t>Business and development services</t>
        </is>
      </c>
    </row>
    <row r="147" ht="14" customHeight="1" s="1439">
      <c r="A147" s="2278">
        <f>IF(B147&lt;&gt;$D$3,"◌ Other",IF(C147="REGIONAL / ALL MUNICIPALITIES","Regional",IF(OR(ISNUMBER(SEARCH(LEFT('Property Info'!$B$17,MAX(1,FIND(",",'Property Info'!$B$17&amp;",")-1)),C147)),ISNUMBER(SEARCH('Property Info'!$B$18,C147))),"★ Active","–")))</f>
        <v/>
      </c>
      <c r="B147" s="2278" t="inlineStr">
        <is>
          <t>Adams County</t>
        </is>
      </c>
      <c r="C147" s="2278" t="inlineStr">
        <is>
          <t>Thornton</t>
        </is>
      </c>
      <c r="D147" s="2278" t="inlineStr">
        <is>
          <t>Business License</t>
        </is>
      </c>
      <c r="E147" s="2278" t="inlineStr">
        <is>
          <t>Business Licenses</t>
        </is>
      </c>
      <c r="F147" s="2277" t="inlineStr">
        <is>
          <t>https://www.thorntonco.gov/business-development/business-licenses</t>
        </is>
      </c>
      <c r="G147" s="2272" t="inlineStr">
        <is>
          <t>Business license portal</t>
        </is>
      </c>
    </row>
    <row r="148" ht="14" customHeight="1" s="1439">
      <c r="A148" s="2276">
        <f>IF(B148&lt;&gt;$D$3,"◌ Other",IF(C148="REGIONAL / ALL MUNICIPALITIES","Regional",IF(OR(ISNUMBER(SEARCH(LEFT('Property Info'!$B$17,MAX(1,FIND(",",'Property Info'!$B$17&amp;",")-1)),C148)),ISNUMBER(SEARCH('Property Info'!$B$18,C148))),"★ Active","–")))</f>
        <v/>
      </c>
      <c r="B148" s="2276" t="inlineStr">
        <is>
          <t>Adams County</t>
        </is>
      </c>
      <c r="C148" s="2276" t="inlineStr">
        <is>
          <t>Thornton</t>
        </is>
      </c>
      <c r="D148" s="2276" t="inlineStr">
        <is>
          <t>Short-Term Rental</t>
        </is>
      </c>
      <c r="E148" s="2276" t="inlineStr">
        <is>
          <t>STR Ordinance</t>
        </is>
      </c>
      <c r="F148" s="2277" t="inlineStr">
        <is>
          <t>https://www.thorntonco.gov/media/file/short-term-rental-ordinance</t>
        </is>
      </c>
      <c r="G148" s="2270" t="inlineStr">
        <is>
          <t>$180 annual fee; primary residence only</t>
        </is>
      </c>
    </row>
    <row r="149" ht="14" customHeight="1" s="1439">
      <c r="A149" s="2278">
        <f>IF(B149&lt;&gt;$D$3,"◌ Other",IF(C149="REGIONAL / ALL MUNICIPALITIES","Regional",IF(OR(ISNUMBER(SEARCH(LEFT('Property Info'!$B$17,MAX(1,FIND(",",'Property Info'!$B$17&amp;",")-1)),C149)),ISNUMBER(SEARCH('Property Info'!$B$18,C149))),"★ Active","–")))</f>
        <v/>
      </c>
      <c r="B149" s="2278" t="inlineStr">
        <is>
          <t>Adams County</t>
        </is>
      </c>
      <c r="C149" s="2278" t="inlineStr">
        <is>
          <t>Thornton</t>
        </is>
      </c>
      <c r="D149" s="2278" t="inlineStr">
        <is>
          <t>Crime / Safety</t>
        </is>
      </c>
      <c r="E149" s="2278" t="inlineStr">
        <is>
          <t>Thornton PD Crime Info</t>
        </is>
      </c>
      <c r="F149" s="2277" t="inlineStr">
        <is>
          <t>https://www.thorntonpd.org/crime-info</t>
        </is>
      </c>
      <c r="G149" s="2272" t="inlineStr">
        <is>
          <t>Crime statistics and reports</t>
        </is>
      </c>
    </row>
    <row r="150" ht="14" customHeight="1" s="1439">
      <c r="A150" s="2276">
        <f>IF(B150&lt;&gt;$D$3,"◌ Other",IF(C150="REGIONAL / ALL MUNICIPALITIES","Regional",IF(OR(ISNUMBER(SEARCH(LEFT('Property Info'!$B$17,MAX(1,FIND(",",'Property Info'!$B$17&amp;",")-1)),C150)),ISNUMBER(SEARCH('Property Info'!$B$18,C150))),"★ Active","–")))</f>
        <v/>
      </c>
      <c r="B150" s="2276" t="inlineStr">
        <is>
          <t>Adams County</t>
        </is>
      </c>
      <c r="C150" s="2276" t="inlineStr">
        <is>
          <t>Thornton</t>
        </is>
      </c>
      <c r="D150" s="2276" t="inlineStr">
        <is>
          <t>Utilities</t>
        </is>
      </c>
      <c r="E150" s="2276" t="inlineStr">
        <is>
          <t>Water</t>
        </is>
      </c>
      <c r="F150" s="2277" t="inlineStr">
        <is>
          <t>https://www.thorntonco.gov/city-services/water</t>
        </is>
      </c>
      <c r="G150" s="2270" t="inlineStr">
        <is>
          <t>City water services</t>
        </is>
      </c>
    </row>
    <row r="151" ht="14" customHeight="1" s="1439">
      <c r="A151" s="2278">
        <f>IF(B151&lt;&gt;$D$3,"◌ Other",IF(C151="REGIONAL / ALL MUNICIPALITIES","Regional",IF(OR(ISNUMBER(SEARCH(LEFT('Property Info'!$B$17,MAX(1,FIND(",",'Property Info'!$B$17&amp;",")-1)),C151)),ISNUMBER(SEARCH('Property Info'!$B$18,C151))),"★ Active","–")))</f>
        <v/>
      </c>
      <c r="B151" s="2278" t="inlineStr">
        <is>
          <t>Adams County</t>
        </is>
      </c>
      <c r="C151" s="2278" t="inlineStr">
        <is>
          <t>Thornton</t>
        </is>
      </c>
      <c r="D151" s="2278" t="inlineStr">
        <is>
          <t>Utilities</t>
        </is>
      </c>
      <c r="E151" s="2278" t="inlineStr">
        <is>
          <t>Thornton Water Authority</t>
        </is>
      </c>
      <c r="F151" s="2277" t="inlineStr">
        <is>
          <t>https://www.thorntonwater.com/</t>
        </is>
      </c>
      <c r="G151" s="2272" t="inlineStr">
        <is>
          <t>Thornton water authority</t>
        </is>
      </c>
    </row>
    <row r="152" ht="14" customHeight="1" s="1439">
      <c r="A152" s="2276">
        <f>IF(B152&lt;&gt;$D$3,"◌ Other",IF(C152="REGIONAL / ALL MUNICIPALITIES","Regional",IF(OR(ISNUMBER(SEARCH(LEFT('Property Info'!$B$17,MAX(1,FIND(",",'Property Info'!$B$17&amp;",")-1)),C152)),ISNUMBER(SEARCH('Property Info'!$B$18,C152))),"★ Active","–")))</f>
        <v/>
      </c>
      <c r="B152" s="2276" t="inlineStr">
        <is>
          <t>Adams County</t>
        </is>
      </c>
      <c r="C152" s="2276" t="inlineStr">
        <is>
          <t>Thornton</t>
        </is>
      </c>
      <c r="D152" s="2276" t="inlineStr">
        <is>
          <t>Utilities</t>
        </is>
      </c>
      <c r="E152" s="2276" t="inlineStr">
        <is>
          <t>Utility Billing</t>
        </is>
      </c>
      <c r="F152" s="2277" t="inlineStr">
        <is>
          <t>https://www.thorntonco.gov/city-services/utility-billing</t>
        </is>
      </c>
      <c r="G152" s="2270" t="inlineStr">
        <is>
          <t>Utility billing portal</t>
        </is>
      </c>
    </row>
    <row r="153" ht="14" customHeight="1" s="1439">
      <c r="A153" s="2278">
        <f>IF(B153&lt;&gt;$D$3,"◌ Other",IF(C153="REGIONAL / ALL MUNICIPALITIES","Regional",IF(OR(ISNUMBER(SEARCH(LEFT('Property Info'!$B$17,MAX(1,FIND(",",'Property Info'!$B$17&amp;",")-1)),C153)),ISNUMBER(SEARCH('Property Info'!$B$18,C153))),"★ Active","–")))</f>
        <v/>
      </c>
      <c r="B153" s="2278" t="inlineStr">
        <is>
          <t>Adams County</t>
        </is>
      </c>
      <c r="C153" s="2278" t="inlineStr">
        <is>
          <t>Thornton</t>
        </is>
      </c>
      <c r="D153" s="2278" t="inlineStr">
        <is>
          <t>Utilities</t>
        </is>
      </c>
      <c r="E153" s="2278" t="inlineStr">
        <is>
          <t>Electric &amp; Gas Utility Services</t>
        </is>
      </c>
      <c r="F153" s="2277" t="inlineStr">
        <is>
          <t>https://www.thorntonco.gov/electric-gas-utility-services</t>
        </is>
      </c>
      <c r="G153" s="2272" t="inlineStr">
        <is>
          <t>Xcel Energy or United Power depending on location</t>
        </is>
      </c>
    </row>
    <row r="154" ht="14" customHeight="1" s="1439">
      <c r="A154" s="2276">
        <f>IF(B154&lt;&gt;$D$3,"◌ Other",IF(C154="REGIONAL / ALL MUNICIPALITIES","Regional",IF(OR(ISNUMBER(SEARCH(LEFT('Property Info'!$B$17,MAX(1,FIND(",",'Property Info'!$B$17&amp;",")-1)),C154)),ISNUMBER(SEARCH('Property Info'!$B$18,C154))),"★ Active","–")))</f>
        <v/>
      </c>
      <c r="B154" s="2276" t="inlineStr">
        <is>
          <t>Adams County</t>
        </is>
      </c>
      <c r="C154" s="2276" t="inlineStr">
        <is>
          <t>Thornton</t>
        </is>
      </c>
      <c r="D154" s="2276" t="inlineStr">
        <is>
          <t>Utilities</t>
        </is>
      </c>
      <c r="E154" s="2276" t="inlineStr">
        <is>
          <t>United Power</t>
        </is>
      </c>
      <c r="F154" s="2277" t="inlineStr">
        <is>
          <t>https://www.unitedpower.com/</t>
        </is>
      </c>
      <c r="G154" s="2270" t="inlineStr">
        <is>
          <t>Electric co-op serving parts of Thornton</t>
        </is>
      </c>
    </row>
    <row r="155" ht="14" customHeight="1" s="1439">
      <c r="A155" s="2278">
        <f>IF(B155&lt;&gt;$D$3,"◌ Other",IF(C155="REGIONAL / ALL MUNICIPALITIES","Regional",IF(OR(ISNUMBER(SEARCH(LEFT('Property Info'!$B$17,MAX(1,FIND(",",'Property Info'!$B$17&amp;",")-1)),C155)),ISNUMBER(SEARCH('Property Info'!$B$18,C155))),"★ Active","–")))</f>
        <v/>
      </c>
      <c r="B155" s="2278" t="inlineStr">
        <is>
          <t>Adams County</t>
        </is>
      </c>
      <c r="C155" s="2278" t="inlineStr">
        <is>
          <t>Thornton</t>
        </is>
      </c>
      <c r="D155" s="2278" t="inlineStr">
        <is>
          <t>Utilities</t>
        </is>
      </c>
      <c r="E155" s="2278" t="inlineStr">
        <is>
          <t>Xcel Energy</t>
        </is>
      </c>
      <c r="F155" s="2277" t="inlineStr">
        <is>
          <t>https://www.xcelenergy.com/</t>
        </is>
      </c>
      <c r="G155" s="2272" t="inlineStr">
        <is>
          <t>Electric/gas provider for parts of Thornton</t>
        </is>
      </c>
    </row>
    <row r="156" ht="14" customHeight="1" s="1439">
      <c r="A156" s="2276">
        <f>IF(B156&lt;&gt;$D$3,"◌ Other",IF(C156="REGIONAL / ALL MUNICIPALITIES","Regional",IF(OR(ISNUMBER(SEARCH(LEFT('Property Info'!$B$17,MAX(1,FIND(",",'Property Info'!$B$17&amp;",")-1)),C156)),ISNUMBER(SEARCH('Property Info'!$B$18,C156))),"★ Active","–")))</f>
        <v/>
      </c>
      <c r="B156" s="2276" t="inlineStr">
        <is>
          <t>Adams County</t>
        </is>
      </c>
      <c r="C156" s="2276" t="inlineStr">
        <is>
          <t>Thornton</t>
        </is>
      </c>
      <c r="D156" s="2276" t="inlineStr">
        <is>
          <t>School Districts</t>
        </is>
      </c>
      <c r="E156" s="2276" t="inlineStr">
        <is>
          <t>Adams 12 Five Star Schools</t>
        </is>
      </c>
      <c r="F156" s="2277" t="inlineStr">
        <is>
          <t>https://www.adams12.org/</t>
        </is>
      </c>
      <c r="G156" s="2270" t="inlineStr">
        <is>
          <t>Primary school district for Thornton</t>
        </is>
      </c>
    </row>
    <row r="157" ht="14" customHeight="1" s="1439">
      <c r="A157" s="2278">
        <f>IF(B157&lt;&gt;$D$3,"◌ Other",IF(C157="REGIONAL / ALL MUNICIPALITIES","Regional",IF(OR(ISNUMBER(SEARCH(LEFT('Property Info'!$B$17,MAX(1,FIND(",",'Property Info'!$B$17&amp;",")-1)),C157)),ISNUMBER(SEARCH('Property Info'!$B$18,C157))),"★ Active","–")))</f>
        <v/>
      </c>
      <c r="B157" s="2278" t="inlineStr">
        <is>
          <t>Adams County</t>
        </is>
      </c>
      <c r="C157" s="2278" t="inlineStr">
        <is>
          <t>Thornton</t>
        </is>
      </c>
      <c r="D157" s="2278" t="inlineStr">
        <is>
          <t>School Districts</t>
        </is>
      </c>
      <c r="E157" s="2278" t="inlineStr">
        <is>
          <t>School District 27J</t>
        </is>
      </c>
      <c r="F157" s="2277" t="inlineStr">
        <is>
          <t>https://www.sd27j.org/</t>
        </is>
      </c>
      <c r="G157" s="2272" t="inlineStr">
        <is>
          <t>Serves northeast Thornton</t>
        </is>
      </c>
    </row>
    <row r="158" ht="14" customHeight="1" s="1439">
      <c r="A158" s="2276">
        <f>IF(B158&lt;&gt;$D$3,"◌ Other",IF(C158="REGIONAL / ALL MUNICIPALITIES","Regional",IF(OR(ISNUMBER(SEARCH(LEFT('Property Info'!$B$17,MAX(1,FIND(",",'Property Info'!$B$17&amp;",")-1)),C158)),ISNUMBER(SEARCH('Property Info'!$B$18,C158))),"★ Active","–")))</f>
        <v/>
      </c>
      <c r="B158" s="2276" t="inlineStr">
        <is>
          <t>Adams County</t>
        </is>
      </c>
      <c r="C158" s="2276" t="inlineStr">
        <is>
          <t>Westminster</t>
        </is>
      </c>
      <c r="D158" s="2276" t="inlineStr">
        <is>
          <t>Property Assessment</t>
        </is>
      </c>
      <c r="E158" s="2276" t="inlineStr">
        <is>
          <t>Westminster eTRAKiT Parcel Search</t>
        </is>
      </c>
      <c r="F158" s="2277" t="inlineStr">
        <is>
          <t>https://develop.cityofwestminster.us/ETRAKIT/Search/parcel.aspx</t>
        </is>
      </c>
      <c r="G158" s="2270" t="inlineStr">
        <is>
          <t>City parcel/permit search</t>
        </is>
      </c>
    </row>
    <row r="159" ht="14" customHeight="1" s="1439">
      <c r="A159" s="2278">
        <f>IF(B159&lt;&gt;$D$3,"◌ Other",IF(C159="REGIONAL / ALL MUNICIPALITIES","Regional",IF(OR(ISNUMBER(SEARCH(LEFT('Property Info'!$B$17,MAX(1,FIND(",",'Property Info'!$B$17&amp;",")-1)),C159)),ISNUMBER(SEARCH('Property Info'!$B$18,C159))),"★ Active","–")))</f>
        <v/>
      </c>
      <c r="B159" s="2278" t="inlineStr">
        <is>
          <t>Adams County</t>
        </is>
      </c>
      <c r="C159" s="2278" t="inlineStr">
        <is>
          <t>Westminster</t>
        </is>
      </c>
      <c r="D159" s="2278" t="inlineStr">
        <is>
          <t>Property Assessment</t>
        </is>
      </c>
      <c r="E159" s="2278" t="inlineStr">
        <is>
          <t>Adams County Assessor (Adams Co. portion)</t>
        </is>
      </c>
      <c r="F159" s="2277" t="inlineStr">
        <is>
          <t>https://adcogov.org/property-look</t>
        </is>
      </c>
      <c r="G159" s="2272" t="inlineStr">
        <is>
          <t>For parcels in eastern Westminster (Adams County)</t>
        </is>
      </c>
    </row>
    <row r="160" ht="14" customHeight="1" s="1439">
      <c r="A160" s="2276">
        <f>IF(B160&lt;&gt;$D$3,"◌ Other",IF(C160="REGIONAL / ALL MUNICIPALITIES","Regional",IF(OR(ISNUMBER(SEARCH(LEFT('Property Info'!$B$17,MAX(1,FIND(",",'Property Info'!$B$17&amp;",")-1)),C160)),ISNUMBER(SEARCH('Property Info'!$B$18,C160))),"★ Active","–")))</f>
        <v/>
      </c>
      <c r="B160" s="2276" t="inlineStr">
        <is>
          <t>Adams County</t>
        </is>
      </c>
      <c r="C160" s="2276" t="inlineStr">
        <is>
          <t>Westminster</t>
        </is>
      </c>
      <c r="D160" s="2276" t="inlineStr">
        <is>
          <t>Property Assessment</t>
        </is>
      </c>
      <c r="E160" s="2276" t="inlineStr">
        <is>
          <t>Jefferson County Assessor (Jefferson Co. portion)</t>
        </is>
      </c>
      <c r="F160" s="2277" t="inlineStr">
        <is>
          <t>https://propertysearch.jeffco.us/</t>
        </is>
      </c>
      <c r="G160" s="2270" t="inlineStr">
        <is>
          <t>For parcels in western Westminster (Jefferson County)</t>
        </is>
      </c>
    </row>
    <row r="161" ht="14" customHeight="1" s="1439">
      <c r="A161" s="2278">
        <f>IF(B161&lt;&gt;$D$3,"◌ Other",IF(C161="REGIONAL / ALL MUNICIPALITIES","Regional",IF(OR(ISNUMBER(SEARCH(LEFT('Property Info'!$B$17,MAX(1,FIND(",",'Property Info'!$B$17&amp;",")-1)),C161)),ISNUMBER(SEARCH('Property Info'!$B$18,C161))),"★ Active","–")))</f>
        <v/>
      </c>
      <c r="B161" s="2278" t="inlineStr">
        <is>
          <t>Adams County</t>
        </is>
      </c>
      <c r="C161" s="2278" t="inlineStr">
        <is>
          <t>Westminster</t>
        </is>
      </c>
      <c r="D161" s="2278" t="inlineStr">
        <is>
          <t>Property Tax / Treasurer</t>
        </is>
      </c>
      <c r="E161" s="2278" t="inlineStr">
        <is>
          <t>Adams County Tax Payment (Adams Co. portion)</t>
        </is>
      </c>
      <c r="F161" s="2277" t="inlineStr">
        <is>
          <t>https://adcotax.com/treasurer/web/login.jsp</t>
        </is>
      </c>
      <c r="G161" s="2272" t="inlineStr">
        <is>
          <t>For Adams County parcels</t>
        </is>
      </c>
    </row>
    <row r="162" ht="14" customHeight="1" s="1439">
      <c r="A162" s="2276">
        <f>IF(B162&lt;&gt;$D$3,"◌ Other",IF(C162="REGIONAL / ALL MUNICIPALITIES","Regional",IF(OR(ISNUMBER(SEARCH(LEFT('Property Info'!$B$17,MAX(1,FIND(",",'Property Info'!$B$17&amp;",")-1)),C162)),ISNUMBER(SEARCH('Property Info'!$B$18,C162))),"★ Active","–")))</f>
        <v/>
      </c>
      <c r="B162" s="2276" t="inlineStr">
        <is>
          <t>Adams County</t>
        </is>
      </c>
      <c r="C162" s="2276" t="inlineStr">
        <is>
          <t>Westminster</t>
        </is>
      </c>
      <c r="D162" s="2276" t="inlineStr">
        <is>
          <t>Property Tax / Treasurer</t>
        </is>
      </c>
      <c r="E162" s="2276" t="inlineStr">
        <is>
          <t>Jefferson County Treasurer (Jefferson Co. portion)</t>
        </is>
      </c>
      <c r="F162" s="2277" t="inlineStr">
        <is>
          <t>https://jeffco.us/1293/Treasurer</t>
        </is>
      </c>
      <c r="G162" s="2270" t="inlineStr">
        <is>
          <t>For Jefferson County parcels</t>
        </is>
      </c>
    </row>
    <row r="163" ht="14" customHeight="1" s="1439">
      <c r="A163" s="2278">
        <f>IF(B163&lt;&gt;$D$3,"◌ Other",IF(C163="REGIONAL / ALL MUNICIPALITIES","Regional",IF(OR(ISNUMBER(SEARCH(LEFT('Property Info'!$B$17,MAX(1,FIND(",",'Property Info'!$B$17&amp;",")-1)),C163)),ISNUMBER(SEARCH('Property Info'!$B$18,C163))),"★ Active","–")))</f>
        <v/>
      </c>
      <c r="B163" s="2278" t="inlineStr">
        <is>
          <t>Adams County</t>
        </is>
      </c>
      <c r="C163" s="2278" t="inlineStr">
        <is>
          <t>Westminster</t>
        </is>
      </c>
      <c r="D163" s="2278" t="inlineStr">
        <is>
          <t>Deed / Title Records</t>
        </is>
      </c>
      <c r="E163" s="2278" t="inlineStr">
        <is>
          <t>Adams Co. Landmark Web Document Search</t>
        </is>
      </c>
      <c r="F163" s="2277" t="inlineStr">
        <is>
          <t>https://recording.adcogov.org/landmarkweb</t>
        </is>
      </c>
      <c r="G163" s="2272" t="inlineStr">
        <is>
          <t>For Adams County parcels</t>
        </is>
      </c>
    </row>
    <row r="164" ht="14" customHeight="1" s="1439">
      <c r="A164" s="2276">
        <f>IF(B164&lt;&gt;$D$3,"◌ Other",IF(C164="REGIONAL / ALL MUNICIPALITIES","Regional",IF(OR(ISNUMBER(SEARCH(LEFT('Property Info'!$B$17,MAX(1,FIND(",",'Property Info'!$B$17&amp;",")-1)),C164)),ISNUMBER(SEARCH('Property Info'!$B$18,C164))),"★ Active","–")))</f>
        <v/>
      </c>
      <c r="B164" s="2276" t="inlineStr">
        <is>
          <t>Adams County</t>
        </is>
      </c>
      <c r="C164" s="2276" t="inlineStr">
        <is>
          <t>Westminster</t>
        </is>
      </c>
      <c r="D164" s="2276" t="inlineStr">
        <is>
          <t>Deed / Title Records</t>
        </is>
      </c>
      <c r="E164" s="2276" t="inlineStr">
        <is>
          <t>Jefferson County Clerk &amp; Recorder</t>
        </is>
      </c>
      <c r="F164" s="2277" t="inlineStr">
        <is>
          <t>https://www.jeffco.us/1288/Clerk-Recorder</t>
        </is>
      </c>
      <c r="G164" s="2270" t="inlineStr">
        <is>
          <t>For Jefferson County parcels</t>
        </is>
      </c>
    </row>
    <row r="165" ht="14" customHeight="1" s="1439">
      <c r="A165" s="2278">
        <f>IF(B165&lt;&gt;$D$3,"◌ Other",IF(C165="REGIONAL / ALL MUNICIPALITIES","Regional",IF(OR(ISNUMBER(SEARCH(LEFT('Property Info'!$B$17,MAX(1,FIND(",",'Property Info'!$B$17&amp;",")-1)),C165)),ISNUMBER(SEARCH('Property Info'!$B$18,C165))),"★ Active","–")))</f>
        <v/>
      </c>
      <c r="B165" s="2278" t="inlineStr">
        <is>
          <t>Adams County</t>
        </is>
      </c>
      <c r="C165" s="2278" t="inlineStr">
        <is>
          <t>Westminster</t>
        </is>
      </c>
      <c r="D165" s="2278" t="inlineStr">
        <is>
          <t>GIS / Mapping</t>
        </is>
      </c>
      <c r="E165" s="2278" t="inlineStr">
        <is>
          <t>Westminster Open Data Hub (ArcGIS)</t>
        </is>
      </c>
      <c r="F165" s="2277" t="inlineStr">
        <is>
          <t>https://opendata-westminster.hub.arcgis.com/</t>
        </is>
      </c>
      <c r="G165" s="2272" t="inlineStr">
        <is>
          <t>Downloadable GIS datasets</t>
        </is>
      </c>
    </row>
    <row r="166" ht="14" customHeight="1" s="1439">
      <c r="A166" s="2276">
        <f>IF(B166&lt;&gt;$D$3,"◌ Other",IF(C166="REGIONAL / ALL MUNICIPALITIES","Regional",IF(OR(ISNUMBER(SEARCH(LEFT('Property Info'!$B$17,MAX(1,FIND(",",'Property Info'!$B$17&amp;",")-1)),C166)),ISNUMBER(SEARCH('Property Info'!$B$18,C166))),"★ Active","–")))</f>
        <v/>
      </c>
      <c r="B166" s="2276" t="inlineStr">
        <is>
          <t>Adams County</t>
        </is>
      </c>
      <c r="C166" s="2276" t="inlineStr">
        <is>
          <t>Westminster</t>
        </is>
      </c>
      <c r="D166" s="2276" t="inlineStr">
        <is>
          <t>GIS / Mapping</t>
        </is>
      </c>
      <c r="E166" s="2276" t="inlineStr">
        <is>
          <t>Westminster Zoning Map (ArcGIS)</t>
        </is>
      </c>
      <c r="F166" s="2277" t="inlineStr">
        <is>
          <t>https://maps.cityofwestminster.us/portal/apps/webappviewer/index.html?id=840164f9c48d49109f884695afe3f714</t>
        </is>
      </c>
      <c r="G166" s="2270" t="inlineStr">
        <is>
          <t>Official interactive zoning map</t>
        </is>
      </c>
    </row>
    <row r="167" ht="14" customHeight="1" s="1439">
      <c r="A167" s="2278">
        <f>IF(B167&lt;&gt;$D$3,"◌ Other",IF(C167="REGIONAL / ALL MUNICIPALITIES","Regional",IF(OR(ISNUMBER(SEARCH(LEFT('Property Info'!$B$17,MAX(1,FIND(",",'Property Info'!$B$17&amp;",")-1)),C167)),ISNUMBER(SEARCH('Property Info'!$B$18,C167))),"★ Active","–")))</f>
        <v/>
      </c>
      <c r="B167" s="2278" t="inlineStr">
        <is>
          <t>Adams County</t>
        </is>
      </c>
      <c r="C167" s="2278" t="inlineStr">
        <is>
          <t>Westminster</t>
        </is>
      </c>
      <c r="D167" s="2278" t="inlineStr">
        <is>
          <t>GIS / Mapping</t>
        </is>
      </c>
      <c r="E167" s="2278" t="inlineStr">
        <is>
          <t>Maps Page</t>
        </is>
      </c>
      <c r="F167" s="2277" t="inlineStr">
        <is>
          <t>https://www.westminsterco.gov/471/Maps</t>
        </is>
      </c>
      <c r="G167" s="2272" t="inlineStr">
        <is>
          <t>City maps</t>
        </is>
      </c>
    </row>
    <row r="168" ht="14" customHeight="1" s="1439">
      <c r="A168" s="2276">
        <f>IF(B168&lt;&gt;$D$3,"◌ Other",IF(C168="REGIONAL / ALL MUNICIPALITIES","Regional",IF(OR(ISNUMBER(SEARCH(LEFT('Property Info'!$B$17,MAX(1,FIND(",",'Property Info'!$B$17&amp;",")-1)),C168)),ISNUMBER(SEARCH('Property Info'!$B$18,C168))),"★ Active","–")))</f>
        <v/>
      </c>
      <c r="B168" s="2276" t="inlineStr">
        <is>
          <t>Adams County</t>
        </is>
      </c>
      <c r="C168" s="2276" t="inlineStr">
        <is>
          <t>Westminster</t>
        </is>
      </c>
      <c r="D168" s="2276" t="inlineStr">
        <is>
          <t>Permits</t>
        </is>
      </c>
      <c r="E168" s="2276" t="inlineStr">
        <is>
          <t>eTRAKiT Portal</t>
        </is>
      </c>
      <c r="F168" s="2277" t="inlineStr">
        <is>
          <t>https://develop.cityofwestminster.us/etrakit/</t>
        </is>
      </c>
      <c r="G168" s="2270" t="inlineStr">
        <is>
          <t>Online permit search and applications</t>
        </is>
      </c>
    </row>
    <row r="169" ht="14" customHeight="1" s="1439">
      <c r="A169" s="2278">
        <f>IF(B169&lt;&gt;$D$3,"◌ Other",IF(C169="REGIONAL / ALL MUNICIPALITIES","Regional",IF(OR(ISNUMBER(SEARCH(LEFT('Property Info'!$B$17,MAX(1,FIND(",",'Property Info'!$B$17&amp;",")-1)),C169)),ISNUMBER(SEARCH('Property Info'!$B$18,C169))),"★ Active","–")))</f>
        <v/>
      </c>
      <c r="B169" s="2278" t="inlineStr">
        <is>
          <t>Adams County</t>
        </is>
      </c>
      <c r="C169" s="2278" t="inlineStr">
        <is>
          <t>Westminster</t>
        </is>
      </c>
      <c r="D169" s="2278" t="inlineStr">
        <is>
          <t>Permits</t>
        </is>
      </c>
      <c r="E169" s="2278" t="inlineStr">
        <is>
          <t>Permit Search</t>
        </is>
      </c>
      <c r="F169" s="2277" t="inlineStr">
        <is>
          <t>https://develop.cityofwestminster.us/etrakit/Search/permit.aspx</t>
        </is>
      </c>
      <c r="G169" s="2272" t="inlineStr">
        <is>
          <t>Direct permit lookup</t>
        </is>
      </c>
    </row>
    <row r="170" ht="14" customHeight="1" s="1439">
      <c r="A170" s="2276">
        <f>IF(B170&lt;&gt;$D$3,"◌ Other",IF(C170="REGIONAL / ALL MUNICIPALITIES","Regional",IF(OR(ISNUMBER(SEARCH(LEFT('Property Info'!$B$17,MAX(1,FIND(",",'Property Info'!$B$17&amp;",")-1)),C170)),ISNUMBER(SEARCH('Property Info'!$B$18,C170))),"★ Active","–")))</f>
        <v/>
      </c>
      <c r="B170" s="2276" t="inlineStr">
        <is>
          <t>Adams County</t>
        </is>
      </c>
      <c r="C170" s="2276" t="inlineStr">
        <is>
          <t>Westminster</t>
        </is>
      </c>
      <c r="D170" s="2276" t="inlineStr">
        <is>
          <t>Permits</t>
        </is>
      </c>
      <c r="E170" s="2276" t="inlineStr">
        <is>
          <t>Apply for a Permit</t>
        </is>
      </c>
      <c r="F170" s="2277" t="inlineStr">
        <is>
          <t>https://www.westminsterco.gov/617/Apply-for-a-Permit-Project</t>
        </is>
      </c>
      <c r="G170" s="2270" t="inlineStr">
        <is>
          <t>Permit application guide</t>
        </is>
      </c>
    </row>
    <row r="171" ht="14" customHeight="1" s="1439">
      <c r="A171" s="2278">
        <f>IF(B171&lt;&gt;$D$3,"◌ Other",IF(C171="REGIONAL / ALL MUNICIPALITIES","Regional",IF(OR(ISNUMBER(SEARCH(LEFT('Property Info'!$B$17,MAX(1,FIND(",",'Property Info'!$B$17&amp;",")-1)),C171)),ISNUMBER(SEARCH('Property Info'!$B$18,C171))),"★ Active","–")))</f>
        <v/>
      </c>
      <c r="B171" s="2278" t="inlineStr">
        <is>
          <t>Adams County</t>
        </is>
      </c>
      <c r="C171" s="2278" t="inlineStr">
        <is>
          <t>Westminster</t>
        </is>
      </c>
      <c r="D171" s="2278" t="inlineStr">
        <is>
          <t>Permits</t>
        </is>
      </c>
      <c r="E171" s="2278" t="inlineStr">
        <is>
          <t>Building Division</t>
        </is>
      </c>
      <c r="F171" s="2277" t="inlineStr">
        <is>
          <t>https://www.westminsterco.gov/621/Building-Division</t>
        </is>
      </c>
      <c r="G171" s="2272" t="inlineStr">
        <is>
          <t>Building department</t>
        </is>
      </c>
    </row>
    <row r="172" ht="14" customHeight="1" s="1439">
      <c r="A172" s="2276">
        <f>IF(B172&lt;&gt;$D$3,"◌ Other",IF(C172="REGIONAL / ALL MUNICIPALITIES","Regional",IF(OR(ISNUMBER(SEARCH(LEFT('Property Info'!$B$17,MAX(1,FIND(",",'Property Info'!$B$17&amp;",")-1)),C172)),ISNUMBER(SEARCH('Property Info'!$B$18,C172))),"★ Active","–")))</f>
        <v/>
      </c>
      <c r="B172" s="2276" t="inlineStr">
        <is>
          <t>Adams County</t>
        </is>
      </c>
      <c r="C172" s="2276" t="inlineStr">
        <is>
          <t>Westminster</t>
        </is>
      </c>
      <c r="D172" s="2276" t="inlineStr">
        <is>
          <t>Permits</t>
        </is>
      </c>
      <c r="E172" s="2276" t="inlineStr">
        <is>
          <t>Right-of-Way Permits</t>
        </is>
      </c>
      <c r="F172" s="2277" t="inlineStr">
        <is>
          <t>https://www.westminsterco.gov/746/Right-of-Way-Permits</t>
        </is>
      </c>
      <c r="G172" s="2270" t="inlineStr">
        <is>
          <t>ROW encroachment permits</t>
        </is>
      </c>
    </row>
    <row r="173" ht="14" customHeight="1" s="1439">
      <c r="A173" s="2278">
        <f>IF(B173&lt;&gt;$D$3,"◌ Other",IF(C173="REGIONAL / ALL MUNICIPALITIES","Regional",IF(OR(ISNUMBER(SEARCH(LEFT('Property Info'!$B$17,MAX(1,FIND(",",'Property Info'!$B$17&amp;",")-1)),C173)),ISNUMBER(SEARCH('Property Info'!$B$18,C173))),"★ Active","–")))</f>
        <v/>
      </c>
      <c r="B173" s="2278" t="inlineStr">
        <is>
          <t>Adams County</t>
        </is>
      </c>
      <c r="C173" s="2278" t="inlineStr">
        <is>
          <t>Westminster</t>
        </is>
      </c>
      <c r="D173" s="2278" t="inlineStr">
        <is>
          <t>Zoning / Planning</t>
        </is>
      </c>
      <c r="E173" s="2278" t="inlineStr">
        <is>
          <t>Planning Main Page</t>
        </is>
      </c>
      <c r="F173" s="2277" t="inlineStr">
        <is>
          <t>https://www.westminsterco.gov/707/Planning</t>
        </is>
      </c>
      <c r="G173" s="2272" t="inlineStr">
        <is>
          <t>Planning department</t>
        </is>
      </c>
    </row>
    <row r="174" ht="14" customHeight="1" s="1439">
      <c r="A174" s="2276">
        <f>IF(B174&lt;&gt;$D$3,"◌ Other",IF(C174="REGIONAL / ALL MUNICIPALITIES","Regional",IF(OR(ISNUMBER(SEARCH(LEFT('Property Info'!$B$17,MAX(1,FIND(",",'Property Info'!$B$17&amp;",")-1)),C174)),ISNUMBER(SEARCH('Property Info'!$B$18,C174))),"★ Active","–")))</f>
        <v/>
      </c>
      <c r="B174" s="2276" t="inlineStr">
        <is>
          <t>Adams County</t>
        </is>
      </c>
      <c r="C174" s="2276" t="inlineStr">
        <is>
          <t>Westminster</t>
        </is>
      </c>
      <c r="D174" s="2276" t="inlineStr">
        <is>
          <t>Zoning / Planning</t>
        </is>
      </c>
      <c r="E174" s="2276" t="inlineStr">
        <is>
          <t>Develop in Westminster</t>
        </is>
      </c>
      <c r="F174" s="2277" t="inlineStr">
        <is>
          <t>https://www.westminsterco.gov/703/Develop-in-Westminster</t>
        </is>
      </c>
      <c r="G174" s="2270" t="inlineStr">
        <is>
          <t>Development guide</t>
        </is>
      </c>
    </row>
    <row r="175" ht="14" customHeight="1" s="1439">
      <c r="A175" s="2278">
        <f>IF(B175&lt;&gt;$D$3,"◌ Other",IF(C175="REGIONAL / ALL MUNICIPALITIES","Regional",IF(OR(ISNUMBER(SEARCH(LEFT('Property Info'!$B$17,MAX(1,FIND(",",'Property Info'!$B$17&amp;",")-1)),C175)),ISNUMBER(SEARCH('Property Info'!$B$18,C175))),"★ Active","–")))</f>
        <v/>
      </c>
      <c r="B175" s="2278" t="inlineStr">
        <is>
          <t>Adams County</t>
        </is>
      </c>
      <c r="C175" s="2278" t="inlineStr">
        <is>
          <t>Westminster</t>
        </is>
      </c>
      <c r="D175" s="2278" t="inlineStr">
        <is>
          <t>Zoning / Planning</t>
        </is>
      </c>
      <c r="E175" s="2278" t="inlineStr">
        <is>
          <t>Comprehensive Plan Executive Summary</t>
        </is>
      </c>
      <c r="F175" s="2277" t="inlineStr">
        <is>
          <t>https://www.westminsterco.gov/DocumentCenter/View/1467/Executive-Summary-PDF</t>
        </is>
      </c>
      <c r="G175" s="2272" t="inlineStr">
        <is>
          <t>City comprehensive plan summary</t>
        </is>
      </c>
    </row>
    <row r="176" ht="14" customHeight="1" s="1439">
      <c r="A176" s="2276">
        <f>IF(B176&lt;&gt;$D$3,"◌ Other",IF(C176="REGIONAL / ALL MUNICIPALITIES","Regional",IF(OR(ISNUMBER(SEARCH(LEFT('Property Info'!$B$17,MAX(1,FIND(",",'Property Info'!$B$17&amp;",")-1)),C176)),ISNUMBER(SEARCH('Property Info'!$B$18,C176))),"★ Active","–")))</f>
        <v/>
      </c>
      <c r="B176" s="2276" t="inlineStr">
        <is>
          <t>Adams County</t>
        </is>
      </c>
      <c r="C176" s="2276" t="inlineStr">
        <is>
          <t>Westminster</t>
        </is>
      </c>
      <c r="D176" s="2276" t="inlineStr">
        <is>
          <t>Flood Zone</t>
        </is>
      </c>
      <c r="E176" s="2276" t="inlineStr">
        <is>
          <t>FEMA Map Service Center</t>
        </is>
      </c>
      <c r="F176" s="2277" t="inlineStr">
        <is>
          <t>https://msc.fema.gov/</t>
        </is>
      </c>
      <c r="G176" s="2270" t="inlineStr">
        <is>
          <t>Address-specific FEMA FIRM lookup</t>
        </is>
      </c>
    </row>
    <row r="177" ht="14" customHeight="1" s="1439">
      <c r="A177" s="2278">
        <f>IF(B177&lt;&gt;$D$3,"◌ Other",IF(C177="REGIONAL / ALL MUNICIPALITIES","Regional",IF(OR(ISNUMBER(SEARCH(LEFT('Property Info'!$B$17,MAX(1,FIND(",",'Property Info'!$B$17&amp;",")-1)),C177)),ISNUMBER(SEARCH('Property Info'!$B$18,C177))),"★ Active","–")))</f>
        <v/>
      </c>
      <c r="B177" s="2278" t="inlineStr">
        <is>
          <t>Adams County</t>
        </is>
      </c>
      <c r="C177" s="2278" t="inlineStr">
        <is>
          <t>Westminster</t>
        </is>
      </c>
      <c r="D177" s="2278" t="inlineStr">
        <is>
          <t>Flood Zone</t>
        </is>
      </c>
      <c r="E177" s="2278" t="inlineStr">
        <is>
          <t>Adams County Floodplain (eastern Westminster)</t>
        </is>
      </c>
      <c r="F177" s="2277" t="inlineStr">
        <is>
          <t>https://adamscountyco.gov/our-county/community-economic-development/floodplain-management/</t>
        </is>
      </c>
      <c r="G177" s="2272" t="inlineStr">
        <is>
          <t>For Adams County portion</t>
        </is>
      </c>
    </row>
    <row r="178" ht="14" customHeight="1" s="1439">
      <c r="A178" s="2276">
        <f>IF(B178&lt;&gt;$D$3,"◌ Other",IF(C178="REGIONAL / ALL MUNICIPALITIES","Regional",IF(OR(ISNUMBER(SEARCH(LEFT('Property Info'!$B$17,MAX(1,FIND(",",'Property Info'!$B$17&amp;",")-1)),C178)),ISNUMBER(SEARCH('Property Info'!$B$18,C178))),"★ Active","–")))</f>
        <v/>
      </c>
      <c r="B178" s="2276" t="inlineStr">
        <is>
          <t>Adams County</t>
        </is>
      </c>
      <c r="C178" s="2276" t="inlineStr">
        <is>
          <t>Westminster</t>
        </is>
      </c>
      <c r="D178" s="2276" t="inlineStr">
        <is>
          <t>Economic Development</t>
        </is>
      </c>
      <c r="E178" s="2276" t="inlineStr">
        <is>
          <t>Westminster Economic Development</t>
        </is>
      </c>
      <c r="F178" s="2277" t="inlineStr">
        <is>
          <t>https://www.westminstereconomicdevelopment.org/</t>
        </is>
      </c>
      <c r="G178" s="2270" t="inlineStr">
        <is>
          <t>Economic development office</t>
        </is>
      </c>
    </row>
    <row r="179" ht="14" customHeight="1" s="1439">
      <c r="A179" s="2278">
        <f>IF(B179&lt;&gt;$D$3,"◌ Other",IF(C179="REGIONAL / ALL MUNICIPALITIES","Regional",IF(OR(ISNUMBER(SEARCH(LEFT('Property Info'!$B$17,MAX(1,FIND(",",'Property Info'!$B$17&amp;",")-1)),C179)),ISNUMBER(SEARCH('Property Info'!$B$18,C179))),"★ Active","–")))</f>
        <v/>
      </c>
      <c r="B179" s="2278" t="inlineStr">
        <is>
          <t>Adams County</t>
        </is>
      </c>
      <c r="C179" s="2278" t="inlineStr">
        <is>
          <t>Westminster</t>
        </is>
      </c>
      <c r="D179" s="2278" t="inlineStr">
        <is>
          <t>Economic Development</t>
        </is>
      </c>
      <c r="E179" s="2278" t="inlineStr">
        <is>
          <t>Proposed Developments Map</t>
        </is>
      </c>
      <c r="F179" s="2277" t="inlineStr">
        <is>
          <t>https://www.westminstereconomicdevelopment.org/area-maps/</t>
        </is>
      </c>
      <c r="G179" s="2272" t="inlineStr">
        <is>
          <t>Development pipeline and comp plan maps</t>
        </is>
      </c>
    </row>
    <row r="180" ht="14" customHeight="1" s="1439">
      <c r="A180" s="2276">
        <f>IF(B180&lt;&gt;$D$3,"◌ Other",IF(C180="REGIONAL / ALL MUNICIPALITIES","Regional",IF(OR(ISNUMBER(SEARCH(LEFT('Property Info'!$B$17,MAX(1,FIND(",",'Property Info'!$B$17&amp;",")-1)),C180)),ISNUMBER(SEARCH('Property Info'!$B$18,C180))),"★ Active","–")))</f>
        <v/>
      </c>
      <c r="B180" s="2276" t="inlineStr">
        <is>
          <t>Adams County</t>
        </is>
      </c>
      <c r="C180" s="2276" t="inlineStr">
        <is>
          <t>Westminster</t>
        </is>
      </c>
      <c r="D180" s="2276" t="inlineStr">
        <is>
          <t>Economic Development</t>
        </is>
      </c>
      <c r="E180" s="2276" t="inlineStr">
        <is>
          <t>Utilities &amp; Tax Info</t>
        </is>
      </c>
      <c r="F180" s="2277" t="inlineStr">
        <is>
          <t>https://www.westminstereconomicdevelopment.org/about-westminster/water-utilities-taxes/</t>
        </is>
      </c>
      <c r="G180" s="2270" t="inlineStr">
        <is>
          <t>Utility providers and tax information</t>
        </is>
      </c>
    </row>
    <row r="181" ht="14" customHeight="1" s="1439">
      <c r="A181" s="2278">
        <f>IF(B181&lt;&gt;$D$3,"◌ Other",IF(C181="REGIONAL / ALL MUNICIPALITIES","Regional",IF(OR(ISNUMBER(SEARCH(LEFT('Property Info'!$B$17,MAX(1,FIND(",",'Property Info'!$B$17&amp;",")-1)),C181)),ISNUMBER(SEARCH('Property Info'!$B$18,C181))),"★ Active","–")))</f>
        <v/>
      </c>
      <c r="B181" s="2278" t="inlineStr">
        <is>
          <t>Adams County</t>
        </is>
      </c>
      <c r="C181" s="2278" t="inlineStr">
        <is>
          <t>Westminster</t>
        </is>
      </c>
      <c r="D181" s="2278" t="inlineStr">
        <is>
          <t>Short-Term Rental</t>
        </is>
      </c>
      <c r="E181" s="2278" t="inlineStr">
        <is>
          <t>Short-Term Rentals</t>
        </is>
      </c>
      <c r="F181" s="2277" t="inlineStr">
        <is>
          <t>https://www.westminsterco.gov/Short-TermRentals</t>
        </is>
      </c>
      <c r="G181" s="2272" t="inlineStr">
        <is>
          <t>STR regulations and licensing</t>
        </is>
      </c>
    </row>
    <row r="182" ht="14" customHeight="1" s="1439">
      <c r="A182" s="2276">
        <f>IF(B182&lt;&gt;$D$3,"◌ Other",IF(C182="REGIONAL / ALL MUNICIPALITIES","Regional",IF(OR(ISNUMBER(SEARCH(LEFT('Property Info'!$B$17,MAX(1,FIND(",",'Property Info'!$B$17&amp;",")-1)),C182)),ISNUMBER(SEARCH('Property Info'!$B$18,C182))),"★ Active","–")))</f>
        <v/>
      </c>
      <c r="B182" s="2276" t="inlineStr">
        <is>
          <t>Adams County</t>
        </is>
      </c>
      <c r="C182" s="2276" t="inlineStr">
        <is>
          <t>Westminster</t>
        </is>
      </c>
      <c r="D182" s="2276" t="inlineStr">
        <is>
          <t>Crime / Safety</t>
        </is>
      </c>
      <c r="E182" s="2276" t="inlineStr">
        <is>
          <t>CrimeMapping.com (Westminster PD)</t>
        </is>
      </c>
      <c r="F182" s="2277" t="inlineStr">
        <is>
          <t>https://www.crimemapping.com/map/co/westminster</t>
        </is>
      </c>
      <c r="G182" s="2270" t="inlineStr">
        <is>
          <t>Interactive crime map</t>
        </is>
      </c>
    </row>
    <row r="183" ht="14" customHeight="1" s="1439">
      <c r="A183" s="2278">
        <f>IF(B183&lt;&gt;$D$3,"◌ Other",IF(C183="REGIONAL / ALL MUNICIPALITIES","Regional",IF(OR(ISNUMBER(SEARCH(LEFT('Property Info'!$B$17,MAX(1,FIND(",",'Property Info'!$B$17&amp;",")-1)),C183)),ISNUMBER(SEARCH('Property Info'!$B$18,C183))),"★ Active","–")))</f>
        <v/>
      </c>
      <c r="B183" s="2278" t="inlineStr">
        <is>
          <t>Adams County</t>
        </is>
      </c>
      <c r="C183" s="2278" t="inlineStr">
        <is>
          <t>Westminster</t>
        </is>
      </c>
      <c r="D183" s="2278" t="inlineStr">
        <is>
          <t>Crime / Safety</t>
        </is>
      </c>
      <c r="E183" s="2278" t="inlineStr">
        <is>
          <t>Westminster PD News / Crime Mapping</t>
        </is>
      </c>
      <c r="F183" s="2277" t="inlineStr">
        <is>
          <t>https://www.westminsterpdnews.com/crime-mapping</t>
        </is>
      </c>
      <c r="G183" s="2272" t="inlineStr">
        <is>
          <t>PD crime map</t>
        </is>
      </c>
    </row>
    <row r="184" ht="14" customHeight="1" s="1439">
      <c r="A184" s="2276">
        <f>IF(B184&lt;&gt;$D$3,"◌ Other",IF(C184="REGIONAL / ALL MUNICIPALITIES","Regional",IF(OR(ISNUMBER(SEARCH(LEFT('Property Info'!$B$17,MAX(1,FIND(",",'Property Info'!$B$17&amp;",")-1)),C184)),ISNUMBER(SEARCH('Property Info'!$B$18,C184))),"★ Active","–")))</f>
        <v/>
      </c>
      <c r="B184" s="2276" t="inlineStr">
        <is>
          <t>Adams County</t>
        </is>
      </c>
      <c r="C184" s="2276" t="inlineStr">
        <is>
          <t>Westminster</t>
        </is>
      </c>
      <c r="D184" s="2276" t="inlineStr">
        <is>
          <t>Utilities</t>
        </is>
      </c>
      <c r="E184" s="2276" t="inlineStr">
        <is>
          <t>Public Works &amp; Utilities (Water)</t>
        </is>
      </c>
      <c r="F184" s="2277" t="inlineStr">
        <is>
          <t>https://www.westminsterco.gov/water</t>
        </is>
      </c>
      <c r="G184" s="2270" t="inlineStr">
        <is>
          <t>City water utility</t>
        </is>
      </c>
    </row>
    <row r="185" ht="14" customHeight="1" s="1439">
      <c r="A185" s="2278">
        <f>IF(B185&lt;&gt;$D$3,"◌ Other",IF(C185="REGIONAL / ALL MUNICIPALITIES","Regional",IF(OR(ISNUMBER(SEARCH(LEFT('Property Info'!$B$17,MAX(1,FIND(",",'Property Info'!$B$17&amp;",")-1)),C185)),ISNUMBER(SEARCH('Property Info'!$B$18,C185))),"★ Active","–")))</f>
        <v/>
      </c>
      <c r="B185" s="2278" t="inlineStr">
        <is>
          <t>Adams County</t>
        </is>
      </c>
      <c r="C185" s="2278" t="inlineStr">
        <is>
          <t>Westminster</t>
        </is>
      </c>
      <c r="D185" s="2278" t="inlineStr">
        <is>
          <t>School Districts</t>
        </is>
      </c>
      <c r="E185" s="2278" t="inlineStr">
        <is>
          <t>Adams 12 Five Star Schools (east Westminster)</t>
        </is>
      </c>
      <c r="F185" s="2277" t="inlineStr">
        <is>
          <t>https://www.adams12.org/</t>
        </is>
      </c>
      <c r="G185" s="2272" t="inlineStr">
        <is>
          <t>Serves eastern Adams County portion</t>
        </is>
      </c>
    </row>
    <row r="186" ht="14" customHeight="1" s="1439">
      <c r="A186" s="2276">
        <f>IF(B186&lt;&gt;$D$3,"◌ Other",IF(C186="REGIONAL / ALL MUNICIPALITIES","Regional",IF(OR(ISNUMBER(SEARCH(LEFT('Property Info'!$B$17,MAX(1,FIND(",",'Property Info'!$B$17&amp;",")-1)),C186)),ISNUMBER(SEARCH('Property Info'!$B$18,C186))),"★ Active","–")))</f>
        <v/>
      </c>
      <c r="B186" s="2276" t="inlineStr">
        <is>
          <t>Adams County</t>
        </is>
      </c>
      <c r="C186" s="2276" t="inlineStr">
        <is>
          <t>Westminster</t>
        </is>
      </c>
      <c r="D186" s="2276" t="inlineStr">
        <is>
          <t>School Districts</t>
        </is>
      </c>
      <c r="E186" s="2276" t="inlineStr">
        <is>
          <t>Jefferson County Public Schools (west Westminster)</t>
        </is>
      </c>
      <c r="F186" s="2277" t="inlineStr">
        <is>
          <t>https://www.jeffcopublicschools.org/</t>
        </is>
      </c>
      <c r="G186" s="2270" t="inlineStr">
        <is>
          <t>Serves western Jefferson County portion</t>
        </is>
      </c>
    </row>
    <row r="187" ht="14" customHeight="1" s="1439">
      <c r="A187" s="2278">
        <f>IF(B187&lt;&gt;$D$3,"◌ Other",IF(C187="REGIONAL / ALL MUNICIPALITIES","Regional",IF(OR(ISNUMBER(SEARCH(LEFT('Property Info'!$B$17,MAX(1,FIND(",",'Property Info'!$B$17&amp;",")-1)),C187)),ISNUMBER(SEARCH('Property Info'!$B$18,C187))),"★ Active","–")))</f>
        <v/>
      </c>
      <c r="B187" s="2278" t="inlineStr">
        <is>
          <t>Adams County</t>
        </is>
      </c>
      <c r="C187" s="2278" t="inlineStr">
        <is>
          <t>Aurora</t>
        </is>
      </c>
      <c r="D187" s="2278" t="inlineStr">
        <is>
          <t>Property Assessment</t>
        </is>
      </c>
      <c r="E187" s="2278" t="inlineStr">
        <is>
          <t>Aurora Property Info Portal</t>
        </is>
      </c>
      <c r="F187" s="2277" t="inlineStr">
        <is>
          <t>https://ags.auroragov.org/propinfo/propinfo.html</t>
        </is>
      </c>
      <c r="G187" s="2272" t="inlineStr">
        <is>
          <t>City-run parcel info portal (all Aurora regardless of county)</t>
        </is>
      </c>
    </row>
    <row r="188" ht="14" customHeight="1" s="1439">
      <c r="A188" s="2276">
        <f>IF(B188&lt;&gt;$D$3,"◌ Other",IF(C188="REGIONAL / ALL MUNICIPALITIES","Regional",IF(OR(ISNUMBER(SEARCH(LEFT('Property Info'!$B$17,MAX(1,FIND(",",'Property Info'!$B$17&amp;",")-1)),C188)),ISNUMBER(SEARCH('Property Info'!$B$18,C188))),"★ Active","–")))</f>
        <v/>
      </c>
      <c r="B188" s="2276" t="inlineStr">
        <is>
          <t>Adams County</t>
        </is>
      </c>
      <c r="C188" s="2276" t="inlineStr">
        <is>
          <t>Aurora</t>
        </is>
      </c>
      <c r="D188" s="2276" t="inlineStr">
        <is>
          <t>Property Assessment</t>
        </is>
      </c>
      <c r="E188" s="2276" t="inlineStr">
        <is>
          <t>Aurora Property Information Page</t>
        </is>
      </c>
      <c r="F188" s="2277" t="inlineStr">
        <is>
          <t>https://www.auroragov.org/city_hall/maps/property_information</t>
        </is>
      </c>
      <c r="G188" s="2270" t="inlineStr">
        <is>
          <t>Property info map links</t>
        </is>
      </c>
    </row>
    <row r="189" ht="14" customHeight="1" s="1439">
      <c r="A189" s="2278">
        <f>IF(B189&lt;&gt;$D$3,"◌ Other",IF(C189="REGIONAL / ALL MUNICIPALITIES","Regional",IF(OR(ISNUMBER(SEARCH(LEFT('Property Info'!$B$17,MAX(1,FIND(",",'Property Info'!$B$17&amp;",")-1)),C189)),ISNUMBER(SEARCH('Property Info'!$B$18,C189))),"★ Active","–")))</f>
        <v/>
      </c>
      <c r="B189" s="2278" t="inlineStr">
        <is>
          <t>Adams County</t>
        </is>
      </c>
      <c r="C189" s="2278" t="inlineStr">
        <is>
          <t>Aurora</t>
        </is>
      </c>
      <c r="D189" s="2278" t="inlineStr">
        <is>
          <t>Property Assessment</t>
        </is>
      </c>
      <c r="E189" s="2278" t="inlineStr">
        <is>
          <t>Adams County Assessor (Adams Co. portion)</t>
        </is>
      </c>
      <c r="F189" s="2277" t="inlineStr">
        <is>
          <t>https://adcogov.org/property-look</t>
        </is>
      </c>
      <c r="G189" s="2272" t="inlineStr">
        <is>
          <t>For parcels in northern Aurora (Adams County)</t>
        </is>
      </c>
    </row>
    <row r="190" ht="14" customHeight="1" s="1439">
      <c r="A190" s="2276">
        <f>IF(B190&lt;&gt;$D$3,"◌ Other",IF(C190="REGIONAL / ALL MUNICIPALITIES","Regional",IF(OR(ISNUMBER(SEARCH(LEFT('Property Info'!$B$17,MAX(1,FIND(",",'Property Info'!$B$17&amp;",")-1)),C190)),ISNUMBER(SEARCH('Property Info'!$B$18,C190))),"★ Active","–")))</f>
        <v/>
      </c>
      <c r="B190" s="2276" t="inlineStr">
        <is>
          <t>Adams County</t>
        </is>
      </c>
      <c r="C190" s="2276" t="inlineStr">
        <is>
          <t>Aurora</t>
        </is>
      </c>
      <c r="D190" s="2276" t="inlineStr">
        <is>
          <t>Property Assessment</t>
        </is>
      </c>
      <c r="E190" s="2276" t="inlineStr">
        <is>
          <t>Arapahoe County Assessor</t>
        </is>
      </c>
      <c r="F190" s="2277" t="inlineStr">
        <is>
          <t>https://www.arapahoegov.com/assessor</t>
        </is>
      </c>
      <c r="G190" s="2270" t="inlineStr">
        <is>
          <t>For parcels in central/southern Aurora (Arapahoe County)</t>
        </is>
      </c>
    </row>
    <row r="191" ht="14" customHeight="1" s="1439">
      <c r="A191" s="2278">
        <f>IF(B191&lt;&gt;$D$3,"◌ Other",IF(C191="REGIONAL / ALL MUNICIPALITIES","Regional",IF(OR(ISNUMBER(SEARCH(LEFT('Property Info'!$B$17,MAX(1,FIND(",",'Property Info'!$B$17&amp;",")-1)),C191)),ISNUMBER(SEARCH('Property Info'!$B$18,C191))),"★ Active","–")))</f>
        <v/>
      </c>
      <c r="B191" s="2278" t="inlineStr">
        <is>
          <t>Adams County</t>
        </is>
      </c>
      <c r="C191" s="2278" t="inlineStr">
        <is>
          <t>Aurora</t>
        </is>
      </c>
      <c r="D191" s="2278" t="inlineStr">
        <is>
          <t>Property Assessment</t>
        </is>
      </c>
      <c r="E191" s="2278" t="inlineStr">
        <is>
          <t>Douglas County Assessor</t>
        </is>
      </c>
      <c r="F191" s="2277" t="inlineStr">
        <is>
          <t>https://www.douglas.co.us/assessor/</t>
        </is>
      </c>
      <c r="G191" s="2272" t="inlineStr">
        <is>
          <t>For parcels in southern Aurora (Douglas County)</t>
        </is>
      </c>
    </row>
    <row r="192" ht="14" customHeight="1" s="1439">
      <c r="A192" s="2276">
        <f>IF(B192&lt;&gt;$D$3,"◌ Other",IF(C192="REGIONAL / ALL MUNICIPALITIES","Regional",IF(OR(ISNUMBER(SEARCH(LEFT('Property Info'!$B$17,MAX(1,FIND(",",'Property Info'!$B$17&amp;",")-1)),C192)),ISNUMBER(SEARCH('Property Info'!$B$18,C192))),"★ Active","–")))</f>
        <v/>
      </c>
      <c r="B192" s="2276" t="inlineStr">
        <is>
          <t>Adams County</t>
        </is>
      </c>
      <c r="C192" s="2276" t="inlineStr">
        <is>
          <t>Aurora</t>
        </is>
      </c>
      <c r="D192" s="2276" t="inlineStr">
        <is>
          <t>Property Tax / Treasurer</t>
        </is>
      </c>
      <c r="E192" s="2276" t="inlineStr">
        <is>
          <t>Adams County Tax Payment</t>
        </is>
      </c>
      <c r="F192" s="2277" t="inlineStr">
        <is>
          <t>https://adcotax.com/treasurer/web/login.jsp</t>
        </is>
      </c>
      <c r="G192" s="2270" t="inlineStr">
        <is>
          <t>For Adams County parcels</t>
        </is>
      </c>
    </row>
    <row r="193" ht="14" customHeight="1" s="1439">
      <c r="A193" s="2278">
        <f>IF(B193&lt;&gt;$D$3,"◌ Other",IF(C193="REGIONAL / ALL MUNICIPALITIES","Regional",IF(OR(ISNUMBER(SEARCH(LEFT('Property Info'!$B$17,MAX(1,FIND(",",'Property Info'!$B$17&amp;",")-1)),C193)),ISNUMBER(SEARCH('Property Info'!$B$18,C193))),"★ Active","–")))</f>
        <v/>
      </c>
      <c r="B193" s="2278" t="inlineStr">
        <is>
          <t>Adams County</t>
        </is>
      </c>
      <c r="C193" s="2278" t="inlineStr">
        <is>
          <t>Aurora</t>
        </is>
      </c>
      <c r="D193" s="2278" t="inlineStr">
        <is>
          <t>Property Tax / Treasurer</t>
        </is>
      </c>
      <c r="E193" s="2278" t="inlineStr">
        <is>
          <t>Arapahoe County Treasurer</t>
        </is>
      </c>
      <c r="F193" s="2277" t="inlineStr">
        <is>
          <t>https://www.arapahoegov.com/1053/Treasurer</t>
        </is>
      </c>
      <c r="G193" s="2272" t="inlineStr">
        <is>
          <t>For Arapahoe County parcels</t>
        </is>
      </c>
    </row>
    <row r="194" ht="14" customHeight="1" s="1439">
      <c r="A194" s="2276">
        <f>IF(B194&lt;&gt;$D$3,"◌ Other",IF(C194="REGIONAL / ALL MUNICIPALITIES","Regional",IF(OR(ISNUMBER(SEARCH(LEFT('Property Info'!$B$17,MAX(1,FIND(",",'Property Info'!$B$17&amp;",")-1)),C194)),ISNUMBER(SEARCH('Property Info'!$B$18,C194))),"★ Active","–")))</f>
        <v/>
      </c>
      <c r="B194" s="2276" t="inlineStr">
        <is>
          <t>Adams County</t>
        </is>
      </c>
      <c r="C194" s="2276" t="inlineStr">
        <is>
          <t>Aurora</t>
        </is>
      </c>
      <c r="D194" s="2276" t="inlineStr">
        <is>
          <t>Property Tax / Treasurer</t>
        </is>
      </c>
      <c r="E194" s="2276" t="inlineStr">
        <is>
          <t>Douglas County Treasurer</t>
        </is>
      </c>
      <c r="F194" s="2277" t="inlineStr">
        <is>
          <t>https://www.douglas.co.us/treasurer/</t>
        </is>
      </c>
      <c r="G194" s="2270" t="inlineStr">
        <is>
          <t>For Douglas County parcels</t>
        </is>
      </c>
    </row>
    <row r="195" ht="14" customHeight="1" s="1439">
      <c r="A195" s="2278">
        <f>IF(B195&lt;&gt;$D$3,"◌ Other",IF(C195="REGIONAL / ALL MUNICIPALITIES","Regional",IF(OR(ISNUMBER(SEARCH(LEFT('Property Info'!$B$17,MAX(1,FIND(",",'Property Info'!$B$17&amp;",")-1)),C195)),ISNUMBER(SEARCH('Property Info'!$B$18,C195))),"★ Active","–")))</f>
        <v/>
      </c>
      <c r="B195" s="2278" t="inlineStr">
        <is>
          <t>Adams County</t>
        </is>
      </c>
      <c r="C195" s="2278" t="inlineStr">
        <is>
          <t>Aurora</t>
        </is>
      </c>
      <c r="D195" s="2278" t="inlineStr">
        <is>
          <t>Deed / Title Records</t>
        </is>
      </c>
      <c r="E195" s="2278" t="inlineStr">
        <is>
          <t>Adams Co. Landmark Web Document Search</t>
        </is>
      </c>
      <c r="F195" s="2277" t="inlineStr">
        <is>
          <t>https://recording.adcogov.org/landmarkweb</t>
        </is>
      </c>
      <c r="G195" s="2272" t="inlineStr">
        <is>
          <t>For Adams County parcels</t>
        </is>
      </c>
    </row>
    <row r="196" ht="14" customHeight="1" s="1439">
      <c r="A196" s="2276">
        <f>IF(B196&lt;&gt;$D$3,"◌ Other",IF(C196="REGIONAL / ALL MUNICIPALITIES","Regional",IF(OR(ISNUMBER(SEARCH(LEFT('Property Info'!$B$17,MAX(1,FIND(",",'Property Info'!$B$17&amp;",")-1)),C196)),ISNUMBER(SEARCH('Property Info'!$B$18,C196))),"★ Active","–")))</f>
        <v/>
      </c>
      <c r="B196" s="2276" t="inlineStr">
        <is>
          <t>Adams County</t>
        </is>
      </c>
      <c r="C196" s="2276" t="inlineStr">
        <is>
          <t>Aurora</t>
        </is>
      </c>
      <c r="D196" s="2276" t="inlineStr">
        <is>
          <t>Deed / Title Records</t>
        </is>
      </c>
      <c r="E196" s="2276" t="inlineStr">
        <is>
          <t>Arapahoe County Clerk &amp; Recorder</t>
        </is>
      </c>
      <c r="F196" s="2277" t="inlineStr">
        <is>
          <t>https://www.arapahoegov.com/1043/Clerk-Recorder</t>
        </is>
      </c>
      <c r="G196" s="2270" t="inlineStr">
        <is>
          <t>For Arapahoe County parcels</t>
        </is>
      </c>
    </row>
    <row r="197" ht="14" customHeight="1" s="1439">
      <c r="A197" s="2278">
        <f>IF(B197&lt;&gt;$D$3,"◌ Other",IF(C197="REGIONAL / ALL MUNICIPALITIES","Regional",IF(OR(ISNUMBER(SEARCH(LEFT('Property Info'!$B$17,MAX(1,FIND(",",'Property Info'!$B$17&amp;",")-1)),C197)),ISNUMBER(SEARCH('Property Info'!$B$18,C197))),"★ Active","–")))</f>
        <v/>
      </c>
      <c r="B197" s="2278" t="inlineStr">
        <is>
          <t>Adams County</t>
        </is>
      </c>
      <c r="C197" s="2278" t="inlineStr">
        <is>
          <t>Aurora</t>
        </is>
      </c>
      <c r="D197" s="2278" t="inlineStr">
        <is>
          <t>GIS / Mapping</t>
        </is>
      </c>
      <c r="E197" s="2278" t="inlineStr">
        <is>
          <t>Aurora Open Data (ArcGIS Hub)</t>
        </is>
      </c>
      <c r="F197" s="2277" t="inlineStr">
        <is>
          <t>https://data-auroraco.opendata.arcgis.com/</t>
        </is>
      </c>
      <c r="G197" s="2272" t="inlineStr">
        <is>
          <t>Downloadable GIS datasets</t>
        </is>
      </c>
    </row>
    <row r="198" ht="14" customHeight="1" s="1439">
      <c r="A198" s="2276">
        <f>IF(B198&lt;&gt;$D$3,"◌ Other",IF(C198="REGIONAL / ALL MUNICIPALITIES","Regional",IF(OR(ISNUMBER(SEARCH(LEFT('Property Info'!$B$17,MAX(1,FIND(",",'Property Info'!$B$17&amp;",")-1)),C198)),ISNUMBER(SEARCH('Property Info'!$B$18,C198))),"★ Active","–")))</f>
        <v/>
      </c>
      <c r="B198" s="2276" t="inlineStr">
        <is>
          <t>Adams County</t>
        </is>
      </c>
      <c r="C198" s="2276" t="inlineStr">
        <is>
          <t>Aurora</t>
        </is>
      </c>
      <c r="D198" s="2276" t="inlineStr">
        <is>
          <t>GIS / Mapping</t>
        </is>
      </c>
      <c r="E198" s="2276" t="inlineStr">
        <is>
          <t>Aurora Open Data Portal</t>
        </is>
      </c>
      <c r="F198" s="2277" t="inlineStr">
        <is>
          <t>https://opendata-cityofaurora.hub.arcgis.com/</t>
        </is>
      </c>
      <c r="G198" s="2270" t="inlineStr">
        <is>
          <t>Additional open data hub</t>
        </is>
      </c>
    </row>
    <row r="199" ht="14" customHeight="1" s="1439">
      <c r="A199" s="2278">
        <f>IF(B199&lt;&gt;$D$3,"◌ Other",IF(C199="REGIONAL / ALL MUNICIPALITIES","Regional",IF(OR(ISNUMBER(SEARCH(LEFT('Property Info'!$B$17,MAX(1,FIND(",",'Property Info'!$B$17&amp;",")-1)),C199)),ISNUMBER(SEARCH('Property Info'!$B$18,C199))),"★ Active","–")))</f>
        <v/>
      </c>
      <c r="B199" s="2278" t="inlineStr">
        <is>
          <t>Adams County</t>
        </is>
      </c>
      <c r="C199" s="2278" t="inlineStr">
        <is>
          <t>Aurora</t>
        </is>
      </c>
      <c r="D199" s="2278" t="inlineStr">
        <is>
          <t>GIS / Mapping</t>
        </is>
      </c>
      <c r="E199" s="2278" t="inlineStr">
        <is>
          <t>Maps Page</t>
        </is>
      </c>
      <c r="F199" s="2277" t="inlineStr">
        <is>
          <t>https://www.auroragov.org/city_hall/maps</t>
        </is>
      </c>
      <c r="G199" s="2272" t="inlineStr">
        <is>
          <t>All Aurora map portals</t>
        </is>
      </c>
    </row>
    <row r="200" ht="14" customHeight="1" s="1439">
      <c r="A200" s="2276">
        <f>IF(B200&lt;&gt;$D$3,"◌ Other",IF(C200="REGIONAL / ALL MUNICIPALITIES","Regional",IF(OR(ISNUMBER(SEARCH(LEFT('Property Info'!$B$17,MAX(1,FIND(",",'Property Info'!$B$17&amp;",")-1)),C200)),ISNUMBER(SEARCH('Property Info'!$B$18,C200))),"★ Active","–")))</f>
        <v/>
      </c>
      <c r="B200" s="2276" t="inlineStr">
        <is>
          <t>Adams County</t>
        </is>
      </c>
      <c r="C200" s="2276" t="inlineStr">
        <is>
          <t>Aurora</t>
        </is>
      </c>
      <c r="D200" s="2276" t="inlineStr">
        <is>
          <t>GIS / Mapping</t>
        </is>
      </c>
      <c r="E200" s="2276" t="inlineStr">
        <is>
          <t>Planning &amp; Zoning Maps</t>
        </is>
      </c>
      <c r="F200" s="2277" t="inlineStr">
        <is>
          <t>https://www.auroragov.org/city_hall/maps/planning_and_zoning_maps</t>
        </is>
      </c>
      <c r="G200" s="2270" t="inlineStr">
        <is>
          <t>Planning and zoning map viewer</t>
        </is>
      </c>
    </row>
    <row r="201" ht="14" customHeight="1" s="1439">
      <c r="A201" s="2278">
        <f>IF(B201&lt;&gt;$D$3,"◌ Other",IF(C201="REGIONAL / ALL MUNICIPALITIES","Regional",IF(OR(ISNUMBER(SEARCH(LEFT('Property Info'!$B$17,MAX(1,FIND(",",'Property Info'!$B$17&amp;",")-1)),C201)),ISNUMBER(SEARCH('Property Info'!$B$18,C201))),"★ Active","–")))</f>
        <v/>
      </c>
      <c r="B201" s="2278" t="inlineStr">
        <is>
          <t>Adams County</t>
        </is>
      </c>
      <c r="C201" s="2278" t="inlineStr">
        <is>
          <t>Aurora</t>
        </is>
      </c>
      <c r="D201" s="2278" t="inlineStr">
        <is>
          <t>GIS / Mapping</t>
        </is>
      </c>
      <c r="E201" s="2278" t="inlineStr">
        <is>
          <t>Development Maps</t>
        </is>
      </c>
      <c r="F201" s="2277" t="inlineStr">
        <is>
          <t>https://www.auroragov.org/city_hall/maps/development_maps</t>
        </is>
      </c>
      <c r="G201" s="2272" t="inlineStr">
        <is>
          <t>Active development and pipeline maps</t>
        </is>
      </c>
    </row>
    <row r="202" ht="14" customHeight="1" s="1439">
      <c r="A202" s="2276">
        <f>IF(B202&lt;&gt;$D$3,"◌ Other",IF(C202="REGIONAL / ALL MUNICIPALITIES","Regional",IF(OR(ISNUMBER(SEARCH(LEFT('Property Info'!$B$17,MAX(1,FIND(",",'Property Info'!$B$17&amp;",")-1)),C202)),ISNUMBER(SEARCH('Property Info'!$B$18,C202))),"★ Active","–")))</f>
        <v/>
      </c>
      <c r="B202" s="2276" t="inlineStr">
        <is>
          <t>Adams County</t>
        </is>
      </c>
      <c r="C202" s="2276" t="inlineStr">
        <is>
          <t>Aurora</t>
        </is>
      </c>
      <c r="D202" s="2276" t="inlineStr">
        <is>
          <t>Permits</t>
        </is>
      </c>
      <c r="E202" s="2276" t="inlineStr">
        <is>
          <t>Permits Main Page</t>
        </is>
      </c>
      <c r="F202" s="2277" t="inlineStr">
        <is>
          <t>https://www.auroragov.org/business_services/building_division/permits</t>
        </is>
      </c>
      <c r="G202" s="2270" t="inlineStr">
        <is>
          <t>Building permit info</t>
        </is>
      </c>
    </row>
    <row r="203" ht="14" customHeight="1" s="1439">
      <c r="A203" s="2278">
        <f>IF(B203&lt;&gt;$D$3,"◌ Other",IF(C203="REGIONAL / ALL MUNICIPALITIES","Regional",IF(OR(ISNUMBER(SEARCH(LEFT('Property Info'!$B$17,MAX(1,FIND(",",'Property Info'!$B$17&amp;",")-1)),C203)),ISNUMBER(SEARCH('Property Info'!$B$18,C203))),"★ Active","–")))</f>
        <v/>
      </c>
      <c r="B203" s="2278" t="inlineStr">
        <is>
          <t>Adams County</t>
        </is>
      </c>
      <c r="C203" s="2278" t="inlineStr">
        <is>
          <t>Aurora</t>
        </is>
      </c>
      <c r="D203" s="2278" t="inlineStr">
        <is>
          <t>Permits</t>
        </is>
      </c>
      <c r="E203" s="2278" t="inlineStr">
        <is>
          <t>Licensing &amp; Permits Maps</t>
        </is>
      </c>
      <c r="F203" s="2277" t="inlineStr">
        <is>
          <t>https://www.auroragov.org/city_hall/maps/licensing_and_permits_maps</t>
        </is>
      </c>
      <c r="G203" s="2272" t="inlineStr">
        <is>
          <t>Permit map viewer</t>
        </is>
      </c>
    </row>
    <row r="204" ht="14" customHeight="1" s="1439">
      <c r="A204" s="2276">
        <f>IF(B204&lt;&gt;$D$3,"◌ Other",IF(C204="REGIONAL / ALL MUNICIPALITIES","Regional",IF(OR(ISNUMBER(SEARCH(LEFT('Property Info'!$B$17,MAX(1,FIND(",",'Property Info'!$B$17&amp;",")-1)),C204)),ISNUMBER(SEARCH('Property Info'!$B$18,C204))),"★ Active","–")))</f>
        <v/>
      </c>
      <c r="B204" s="2276" t="inlineStr">
        <is>
          <t>Adams County</t>
        </is>
      </c>
      <c r="C204" s="2276" t="inlineStr">
        <is>
          <t>Aurora</t>
        </is>
      </c>
      <c r="D204" s="2276" t="inlineStr">
        <is>
          <t>Permits</t>
        </is>
      </c>
      <c r="E204" s="2276" t="inlineStr">
        <is>
          <t>Building Permit Statistics</t>
        </is>
      </c>
      <c r="F204" s="2277" t="inlineStr">
        <is>
          <t>https://www.auroragov.org/business_services/building_division/building_permit_statistics</t>
        </is>
      </c>
      <c r="G204" s="2270" t="inlineStr">
        <is>
          <t>Permit issuance stats and trends</t>
        </is>
      </c>
    </row>
    <row r="205" ht="14" customHeight="1" s="1439">
      <c r="A205" s="2278">
        <f>IF(B205&lt;&gt;$D$3,"◌ Other",IF(C205="REGIONAL / ALL MUNICIPALITIES","Regional",IF(OR(ISNUMBER(SEARCH(LEFT('Property Info'!$B$17,MAX(1,FIND(",",'Property Info'!$B$17&amp;",")-1)),C205)),ISNUMBER(SEARCH('Property Info'!$B$18,C205))),"★ Active","–")))</f>
        <v/>
      </c>
      <c r="B205" s="2278" t="inlineStr">
        <is>
          <t>Adams County</t>
        </is>
      </c>
      <c r="C205" s="2278" t="inlineStr">
        <is>
          <t>Aurora</t>
        </is>
      </c>
      <c r="D205" s="2278" t="inlineStr">
        <is>
          <t>Permits</t>
        </is>
      </c>
      <c r="E205" s="2278" t="inlineStr">
        <is>
          <t>Aurora Experience Permit Map (ArcGIS)</t>
        </is>
      </c>
      <c r="F205" s="2277" t="inlineStr">
        <is>
          <t>https://experience.arcgis.com/experience/25e68ba47119437cb4bf6bdeea6fbea4</t>
        </is>
      </c>
      <c r="G205" s="2272" t="inlineStr">
        <is>
          <t>Interactive permit activity map</t>
        </is>
      </c>
    </row>
    <row r="206" ht="14" customHeight="1" s="1439">
      <c r="A206" s="2276">
        <f>IF(B206&lt;&gt;$D$3,"◌ Other",IF(C206="REGIONAL / ALL MUNICIPALITIES","Regional",IF(OR(ISNUMBER(SEARCH(LEFT('Property Info'!$B$17,MAX(1,FIND(",",'Property Info'!$B$17&amp;",")-1)),C206)),ISNUMBER(SEARCH('Property Info'!$B$18,C206))),"★ Active","–")))</f>
        <v/>
      </c>
      <c r="B206" s="2276" t="inlineStr">
        <is>
          <t>Adams County</t>
        </is>
      </c>
      <c r="C206" s="2276" t="inlineStr">
        <is>
          <t>Aurora</t>
        </is>
      </c>
      <c r="D206" s="2276" t="inlineStr">
        <is>
          <t>Zoning / Planning</t>
        </is>
      </c>
      <c r="E206" s="2276" t="inlineStr">
        <is>
          <t>Zoning Navigator</t>
        </is>
      </c>
      <c r="F206" s="2277" t="inlineStr">
        <is>
          <t>https://zoning.auroragov.org/</t>
        </is>
      </c>
      <c r="G206" s="2270" t="inlineStr">
        <is>
          <t>Primary zoning lookup tool — address-based</t>
        </is>
      </c>
    </row>
    <row r="207" ht="14" customHeight="1" s="1439">
      <c r="A207" s="2278">
        <f>IF(B207&lt;&gt;$D$3,"◌ Other",IF(C207="REGIONAL / ALL MUNICIPALITIES","Regional",IF(OR(ISNUMBER(SEARCH(LEFT('Property Info'!$B$17,MAX(1,FIND(",",'Property Info'!$B$17&amp;",")-1)),C207)),ISNUMBER(SEARCH('Property Info'!$B$18,C207))),"★ Active","–")))</f>
        <v/>
      </c>
      <c r="B207" s="2278" t="inlineStr">
        <is>
          <t>Adams County</t>
        </is>
      </c>
      <c r="C207" s="2278" t="inlineStr">
        <is>
          <t>Aurora</t>
        </is>
      </c>
      <c r="D207" s="2278" t="inlineStr">
        <is>
          <t>Zoning / Planning</t>
        </is>
      </c>
      <c r="E207" s="2278" t="inlineStr">
        <is>
          <t>Planning &amp; Zoning Maps</t>
        </is>
      </c>
      <c r="F207" s="2277" t="inlineStr">
        <is>
          <t>https://www.auroragov.org/city_hall/maps/planning_and_zoning_maps</t>
        </is>
      </c>
      <c r="G207" s="2272" t="inlineStr">
        <is>
          <t>Planning and zoning map viewer</t>
        </is>
      </c>
    </row>
    <row r="208" ht="14" customHeight="1" s="1439">
      <c r="A208" s="2276">
        <f>IF(B208&lt;&gt;$D$3,"◌ Other",IF(C208="REGIONAL / ALL MUNICIPALITIES","Regional",IF(OR(ISNUMBER(SEARCH(LEFT('Property Info'!$B$17,MAX(1,FIND(",",'Property Info'!$B$17&amp;",")-1)),C208)),ISNUMBER(SEARCH('Property Info'!$B$18,C208))),"★ Active","–")))</f>
        <v/>
      </c>
      <c r="B208" s="2276" t="inlineStr">
        <is>
          <t>Adams County</t>
        </is>
      </c>
      <c r="C208" s="2276" t="inlineStr">
        <is>
          <t>Aurora</t>
        </is>
      </c>
      <c r="D208" s="2276" t="inlineStr">
        <is>
          <t>Zoning / Planning</t>
        </is>
      </c>
      <c r="E208" s="2276" t="inlineStr">
        <is>
          <t>Comprehensive Plan PlaceTypes (ArcGIS)</t>
        </is>
      </c>
      <c r="F208" s="2277" t="inlineStr">
        <is>
          <t>https://data-auroraco.opendata.arcgis.com/datasets/9cfb0cffe16b41b68e38bcafbc4c037a_153/about</t>
        </is>
      </c>
      <c r="G208" s="2270" t="inlineStr">
        <is>
          <t>Future land use / place types dataset</t>
        </is>
      </c>
    </row>
    <row r="209" ht="14" customHeight="1" s="1439">
      <c r="A209" s="2278">
        <f>IF(B209&lt;&gt;$D$3,"◌ Other",IF(C209="REGIONAL / ALL MUNICIPALITIES","Regional",IF(OR(ISNUMBER(SEARCH(LEFT('Property Info'!$B$17,MAX(1,FIND(",",'Property Info'!$B$17&amp;",")-1)),C209)),ISNUMBER(SEARCH('Property Info'!$B$18,C209))),"★ Active","–")))</f>
        <v/>
      </c>
      <c r="B209" s="2278" t="inlineStr">
        <is>
          <t>Adams County</t>
        </is>
      </c>
      <c r="C209" s="2278" t="inlineStr">
        <is>
          <t>Aurora</t>
        </is>
      </c>
      <c r="D209" s="2278" t="inlineStr">
        <is>
          <t>Flood Zone</t>
        </is>
      </c>
      <c r="E209" s="2278" t="inlineStr">
        <is>
          <t>FEMA Map Service Center</t>
        </is>
      </c>
      <c r="F209" s="2277" t="inlineStr">
        <is>
          <t>https://msc.fema.gov/</t>
        </is>
      </c>
      <c r="G209" s="2272" t="inlineStr">
        <is>
          <t>Address-specific FEMA FIRM lookup</t>
        </is>
      </c>
    </row>
    <row r="210" ht="14" customHeight="1" s="1439">
      <c r="A210" s="2276">
        <f>IF(B210&lt;&gt;$D$3,"◌ Other",IF(C210="REGIONAL / ALL MUNICIPALITIES","Regional",IF(OR(ISNUMBER(SEARCH(LEFT('Property Info'!$B$17,MAX(1,FIND(",",'Property Info'!$B$17&amp;",")-1)),C210)),ISNUMBER(SEARCH('Property Info'!$B$18,C210))),"★ Active","–")))</f>
        <v/>
      </c>
      <c r="B210" s="2276" t="inlineStr">
        <is>
          <t>Adams County</t>
        </is>
      </c>
      <c r="C210" s="2276" t="inlineStr">
        <is>
          <t>Aurora</t>
        </is>
      </c>
      <c r="D210" s="2276" t="inlineStr">
        <is>
          <t>Flood Zone</t>
        </is>
      </c>
      <c r="E210" s="2276" t="inlineStr">
        <is>
          <t>Colorado Hazard Mapping / RiskMAP</t>
        </is>
      </c>
      <c r="F210" s="2277" t="inlineStr">
        <is>
          <t>https://coloradohazardmapping.com/hazardMapping/floodplainMapping</t>
        </is>
      </c>
      <c r="G210" s="2270" t="inlineStr">
        <is>
          <t>State-level flood mapping portal</t>
        </is>
      </c>
    </row>
    <row r="211" ht="14" customHeight="1" s="1439">
      <c r="A211" s="2278">
        <f>IF(B211&lt;&gt;$D$3,"◌ Other",IF(C211="REGIONAL / ALL MUNICIPALITIES","Regional",IF(OR(ISNUMBER(SEARCH(LEFT('Property Info'!$B$17,MAX(1,FIND(",",'Property Info'!$B$17&amp;",")-1)),C211)),ISNUMBER(SEARCH('Property Info'!$B$18,C211))),"★ Active","–")))</f>
        <v/>
      </c>
      <c r="B211" s="2278" t="inlineStr">
        <is>
          <t>Adams County</t>
        </is>
      </c>
      <c r="C211" s="2278" t="inlineStr">
        <is>
          <t>Aurora</t>
        </is>
      </c>
      <c r="D211" s="2278" t="inlineStr">
        <is>
          <t>Economic Development</t>
        </is>
      </c>
      <c r="E211" s="2278" t="inlineStr">
        <is>
          <t>Economic &amp; Business Development</t>
        </is>
      </c>
      <c r="F211" s="2277" t="inlineStr">
        <is>
          <t>https://www.auroragov.org/business_services/economic___business_development</t>
        </is>
      </c>
      <c r="G211" s="2272" t="inlineStr">
        <is>
          <t>City economic development office</t>
        </is>
      </c>
    </row>
    <row r="212" ht="14" customHeight="1" s="1439">
      <c r="A212" s="2276">
        <f>IF(B212&lt;&gt;$D$3,"◌ Other",IF(C212="REGIONAL / ALL MUNICIPALITIES","Regional",IF(OR(ISNUMBER(SEARCH(LEFT('Property Info'!$B$17,MAX(1,FIND(",",'Property Info'!$B$17&amp;",")-1)),C212)),ISNUMBER(SEARCH('Property Info'!$B$18,C212))),"★ Active","–")))</f>
        <v/>
      </c>
      <c r="B212" s="2276" t="inlineStr">
        <is>
          <t>Adams County</t>
        </is>
      </c>
      <c r="C212" s="2276" t="inlineStr">
        <is>
          <t>Aurora</t>
        </is>
      </c>
      <c r="D212" s="2276" t="inlineStr">
        <is>
          <t>Crime / Safety</t>
        </is>
      </c>
      <c r="E212" s="2276" t="inlineStr">
        <is>
          <t>Crime Data Portal</t>
        </is>
      </c>
      <c r="F212" s="2277" t="inlineStr">
        <is>
          <t>https://www.auroragov.org/residents/public_safety/police/crime_data</t>
        </is>
      </c>
      <c r="G212" s="2270" t="inlineStr">
        <is>
          <t>Transparency and accountability crime data</t>
        </is>
      </c>
    </row>
    <row r="213" ht="14" customHeight="1" s="1439">
      <c r="A213" s="2278">
        <f>IF(B213&lt;&gt;$D$3,"◌ Other",IF(C213="REGIONAL / ALL MUNICIPALITIES","Regional",IF(OR(ISNUMBER(SEARCH(LEFT('Property Info'!$B$17,MAX(1,FIND(",",'Property Info'!$B$17&amp;",")-1)),C213)),ISNUMBER(SEARCH('Property Info'!$B$18,C213))),"★ Active","–")))</f>
        <v/>
      </c>
      <c r="B213" s="2278" t="inlineStr">
        <is>
          <t>Adams County</t>
        </is>
      </c>
      <c r="C213" s="2278" t="inlineStr">
        <is>
          <t>Aurora</t>
        </is>
      </c>
      <c r="D213" s="2278" t="inlineStr">
        <is>
          <t>Crime / Safety</t>
        </is>
      </c>
      <c r="E213" s="2278" t="inlineStr">
        <is>
          <t>Police and Fire Maps</t>
        </is>
      </c>
      <c r="F213" s="2277" t="inlineStr">
        <is>
          <t>https://www.auroragov.org/city_hall/maps/police_and_fire_maps</t>
        </is>
      </c>
      <c r="G213" s="2272" t="inlineStr">
        <is>
          <t>PD/fire district maps</t>
        </is>
      </c>
    </row>
    <row r="214" ht="14" customHeight="1" s="1439">
      <c r="A214" s="2276">
        <f>IF(B214&lt;&gt;$D$3,"◌ Other",IF(C214="REGIONAL / ALL MUNICIPALITIES","Regional",IF(OR(ISNUMBER(SEARCH(LEFT('Property Info'!$B$17,MAX(1,FIND(",",'Property Info'!$B$17&amp;",")-1)),C214)),ISNUMBER(SEARCH('Property Info'!$B$18,C214))),"★ Active","–")))</f>
        <v/>
      </c>
      <c r="B214" s="2276" t="inlineStr">
        <is>
          <t>Adams County</t>
        </is>
      </c>
      <c r="C214" s="2276" t="inlineStr">
        <is>
          <t>Aurora</t>
        </is>
      </c>
      <c r="D214" s="2276" t="inlineStr">
        <is>
          <t>Demographics</t>
        </is>
      </c>
      <c r="E214" s="2276" t="inlineStr">
        <is>
          <t>Data &amp; Demographics</t>
        </is>
      </c>
      <c r="F214" s="2277" t="inlineStr">
        <is>
          <t>https://www.auroragov.org/city_hall/about_aurora/data___demographics</t>
        </is>
      </c>
      <c r="G214" s="2270" t="inlineStr">
        <is>
          <t>City demographic and statistical data</t>
        </is>
      </c>
    </row>
    <row r="215" ht="14" customHeight="1" s="1439">
      <c r="A215" s="2278">
        <f>IF(B215&lt;&gt;$D$3,"◌ Other",IF(C215="REGIONAL / ALL MUNICIPALITIES","Regional",IF(OR(ISNUMBER(SEARCH(LEFT('Property Info'!$B$17,MAX(1,FIND(",",'Property Info'!$B$17&amp;",")-1)),C215)),ISNUMBER(SEARCH('Property Info'!$B$18,C215))),"★ Active","–")))</f>
        <v/>
      </c>
      <c r="B215" s="2278" t="inlineStr">
        <is>
          <t>Adams County</t>
        </is>
      </c>
      <c r="C215" s="2278" t="inlineStr">
        <is>
          <t>Aurora</t>
        </is>
      </c>
      <c r="D215" s="2278" t="inlineStr">
        <is>
          <t>Short-Term Rental</t>
        </is>
      </c>
      <c r="E215" s="2278" t="inlineStr">
        <is>
          <t>STR Info / FAQ</t>
        </is>
      </c>
      <c r="F215" s="2277" t="inlineStr">
        <is>
          <t>https://www.auroragov.org/common/pages/GetFile.ashx?key=0Fc6ARWp</t>
        </is>
      </c>
      <c r="G215" s="2272" t="inlineStr">
        <is>
          <t>STR rules: primary residence only; $43 initial / $26 renewal; 8% lodger's tax</t>
        </is>
      </c>
    </row>
    <row r="216" ht="14" customHeight="1" s="1439">
      <c r="A216" s="2276">
        <f>IF(B216&lt;&gt;$D$3,"◌ Other",IF(C216="REGIONAL / ALL MUNICIPALITIES","Regional",IF(OR(ISNUMBER(SEARCH(LEFT('Property Info'!$B$17,MAX(1,FIND(",",'Property Info'!$B$17&amp;",")-1)),C216)),ISNUMBER(SEARCH('Property Info'!$B$18,C216))),"★ Active","–")))</f>
        <v/>
      </c>
      <c r="B216" s="2276" t="inlineStr">
        <is>
          <t>Adams County</t>
        </is>
      </c>
      <c r="C216" s="2276" t="inlineStr">
        <is>
          <t>Aurora</t>
        </is>
      </c>
      <c r="D216" s="2276" t="inlineStr">
        <is>
          <t>School Districts</t>
        </is>
      </c>
      <c r="E216" s="2276" t="inlineStr">
        <is>
          <t>Aurora Public Schools</t>
        </is>
      </c>
      <c r="F216" s="2277" t="inlineStr">
        <is>
          <t>https://www.aurorak12.org/</t>
        </is>
      </c>
      <c r="G216" s="2270" t="inlineStr">
        <is>
          <t>Primary district for most of Aurora</t>
        </is>
      </c>
    </row>
    <row r="217" ht="14" customHeight="1" s="1439">
      <c r="A217" s="2278">
        <f>IF(B217&lt;&gt;$D$3,"◌ Other",IF(C217="REGIONAL / ALL MUNICIPALITIES","Regional",IF(OR(ISNUMBER(SEARCH(LEFT('Property Info'!$B$17,MAX(1,FIND(",",'Property Info'!$B$17&amp;",")-1)),C217)),ISNUMBER(SEARCH('Property Info'!$B$18,C217))),"★ Active","–")))</f>
        <v/>
      </c>
      <c r="B217" s="2278" t="inlineStr">
        <is>
          <t>Adams County</t>
        </is>
      </c>
      <c r="C217" s="2278" t="inlineStr">
        <is>
          <t>Aurora</t>
        </is>
      </c>
      <c r="D217" s="2278" t="inlineStr">
        <is>
          <t>School Districts</t>
        </is>
      </c>
      <c r="E217" s="2278" t="inlineStr">
        <is>
          <t>Cherry Creek School District</t>
        </is>
      </c>
      <c r="F217" s="2277" t="inlineStr">
        <is>
          <t>https://www.cherrycreekschools.org/</t>
        </is>
      </c>
      <c r="G217" s="2272" t="inlineStr">
        <is>
          <t>Serves parts of Aurora (Arapahoe Co. portion)</t>
        </is>
      </c>
    </row>
    <row r="218" ht="14" customHeight="1" s="1439">
      <c r="A218" s="2276">
        <f>IF(B218&lt;&gt;$D$3,"◌ Other",IF(C218="REGIONAL / ALL MUNICIPALITIES","Regional",IF(OR(ISNUMBER(SEARCH(LEFT('Property Info'!$B$17,MAX(1,FIND(",",'Property Info'!$B$17&amp;",")-1)),C218)),ISNUMBER(SEARCH('Property Info'!$B$18,C218))),"★ Active","–")))</f>
        <v/>
      </c>
      <c r="B218" s="2276" t="inlineStr">
        <is>
          <t>Adams County</t>
        </is>
      </c>
      <c r="C218" s="2276" t="inlineStr">
        <is>
          <t>Aurora</t>
        </is>
      </c>
      <c r="D218" s="2276" t="inlineStr">
        <is>
          <t>School Districts</t>
        </is>
      </c>
      <c r="E218" s="2276" t="inlineStr">
        <is>
          <t>Adams 12 Five Star Schools</t>
        </is>
      </c>
      <c r="F218" s="2277" t="inlineStr">
        <is>
          <t>https://www.adams12.org/</t>
        </is>
      </c>
      <c r="G218" s="2270" t="inlineStr">
        <is>
          <t>Serves northern Aurora (Adams Co. portion)</t>
        </is>
      </c>
    </row>
    <row r="219" ht="14" customHeight="1" s="1439">
      <c r="A219" s="2278">
        <f>IF(B219&lt;&gt;$D$3,"◌ Other",IF(C219="REGIONAL / ALL MUNICIPALITIES","Regional",IF(OR(ISNUMBER(SEARCH(LEFT('Property Info'!$B$17,MAX(1,FIND(",",'Property Info'!$B$17&amp;",")-1)),C219)),ISNUMBER(SEARCH('Property Info'!$B$18,C219))),"★ Active","–")))</f>
        <v/>
      </c>
      <c r="B219" s="2278" t="inlineStr">
        <is>
          <t>Adams County</t>
        </is>
      </c>
      <c r="C219" s="2278" t="inlineStr">
        <is>
          <t>Bennett</t>
        </is>
      </c>
      <c r="D219" s="2278" t="inlineStr">
        <is>
          <t>Property Assessment</t>
        </is>
      </c>
      <c r="E219" s="2278" t="inlineStr">
        <is>
          <t>Adams County Assessor (Property Lookup)</t>
        </is>
      </c>
      <c r="F219" s="2277" t="inlineStr">
        <is>
          <t>https://adcogov.org/property-look</t>
        </is>
      </c>
      <c r="G219" s="2272" t="inlineStr">
        <is>
          <t>Bennett is fully within Adams County</t>
        </is>
      </c>
    </row>
    <row r="220" ht="14" customHeight="1" s="1439">
      <c r="A220" s="2276">
        <f>IF(B220&lt;&gt;$D$3,"◌ Other",IF(C220="REGIONAL / ALL MUNICIPALITIES","Regional",IF(OR(ISNUMBER(SEARCH(LEFT('Property Info'!$B$17,MAX(1,FIND(",",'Property Info'!$B$17&amp;",")-1)),C220)),ISNUMBER(SEARCH('Property Info'!$B$18,C220))),"★ Active","–")))</f>
        <v/>
      </c>
      <c r="B220" s="2276" t="inlineStr">
        <is>
          <t>Adams County</t>
        </is>
      </c>
      <c r="C220" s="2276" t="inlineStr">
        <is>
          <t>Bennett</t>
        </is>
      </c>
      <c r="D220" s="2276" t="inlineStr">
        <is>
          <t>Property Tax / Treasurer</t>
        </is>
      </c>
      <c r="E220" s="2276" t="inlineStr">
        <is>
          <t>Online Tax Payment</t>
        </is>
      </c>
      <c r="F220" s="2277" t="inlineStr">
        <is>
          <t>https://adcotax.com/treasurer/web/login.jsp</t>
        </is>
      </c>
      <c r="G220" s="2270" t="inlineStr">
        <is>
          <t>Adams County tax payment portal</t>
        </is>
      </c>
    </row>
    <row r="221" ht="14" customHeight="1" s="1439">
      <c r="A221" s="2278">
        <f>IF(B221&lt;&gt;$D$3,"◌ Other",IF(C221="REGIONAL / ALL MUNICIPALITIES","Regional",IF(OR(ISNUMBER(SEARCH(LEFT('Property Info'!$B$17,MAX(1,FIND(",",'Property Info'!$B$17&amp;",")-1)),C221)),ISNUMBER(SEARCH('Property Info'!$B$18,C221))),"★ Active","–")))</f>
        <v/>
      </c>
      <c r="B221" s="2278" t="inlineStr">
        <is>
          <t>Adams County</t>
        </is>
      </c>
      <c r="C221" s="2278" t="inlineStr">
        <is>
          <t>Bennett</t>
        </is>
      </c>
      <c r="D221" s="2278" t="inlineStr">
        <is>
          <t>Property Tax / Treasurer</t>
        </is>
      </c>
      <c r="E221" s="2278" t="inlineStr">
        <is>
          <t>Property Tax Inquiry</t>
        </is>
      </c>
      <c r="F221" s="2277" t="inlineStr">
        <is>
          <t>https://adcotax.com/treasurer/web/loginPOST.jsp?guest=true</t>
        </is>
      </c>
      <c r="G221" s="2272" t="inlineStr">
        <is>
          <t>Tax account search — balances and payment history (guest access, no login required)</t>
        </is>
      </c>
    </row>
    <row r="222" ht="14" customHeight="1" s="1439">
      <c r="A222" s="2276">
        <f>IF(B222&lt;&gt;$D$3,"◌ Other",IF(C222="REGIONAL / ALL MUNICIPALITIES","Regional",IF(OR(ISNUMBER(SEARCH(LEFT('Property Info'!$B$17,MAX(1,FIND(",",'Property Info'!$B$17&amp;",")-1)),C222)),ISNUMBER(SEARCH('Property Info'!$B$18,C222))),"★ Active","–")))</f>
        <v/>
      </c>
      <c r="B222" s="2276" t="inlineStr">
        <is>
          <t>Adams County</t>
        </is>
      </c>
      <c r="C222" s="2276" t="inlineStr">
        <is>
          <t>Bennett</t>
        </is>
      </c>
      <c r="D222" s="2276" t="inlineStr">
        <is>
          <t>Deed / Title Records</t>
        </is>
      </c>
      <c r="E222" s="2276" t="inlineStr">
        <is>
          <t>Landmark Web Document Search</t>
        </is>
      </c>
      <c r="F222" s="2277" t="inlineStr">
        <is>
          <t>https://recording.adcogov.org/landmarkweb</t>
        </is>
      </c>
      <c r="G222" s="2270" t="inlineStr">
        <is>
          <t>Adams County deed/title records</t>
        </is>
      </c>
    </row>
    <row r="223" ht="14" customHeight="1" s="1439">
      <c r="A223" s="2278">
        <f>IF(B223&lt;&gt;$D$3,"◌ Other",IF(C223="REGIONAL / ALL MUNICIPALITIES","Regional",IF(OR(ISNUMBER(SEARCH(LEFT('Property Info'!$B$17,MAX(1,FIND(",",'Property Info'!$B$17&amp;",")-1)),C223)),ISNUMBER(SEARCH('Property Info'!$B$18,C223))),"★ Active","–")))</f>
        <v/>
      </c>
      <c r="B223" s="2278" t="inlineStr">
        <is>
          <t>Adams County</t>
        </is>
      </c>
      <c r="C223" s="2278" t="inlineStr">
        <is>
          <t>Bennett</t>
        </is>
      </c>
      <c r="D223" s="2278" t="inlineStr">
        <is>
          <t>GIS / Mapping</t>
        </is>
      </c>
      <c r="E223" s="2278" t="inlineStr">
        <is>
          <t>Bennett Zoning Map</t>
        </is>
      </c>
      <c r="F223" s="2277" t="inlineStr">
        <is>
          <t>https://www.bennettco.gov/business/page/bennett-zoning-map</t>
        </is>
      </c>
      <c r="G223" s="2272" t="inlineStr">
        <is>
          <t>Official zoning map</t>
        </is>
      </c>
    </row>
    <row r="224" ht="14" customHeight="1" s="1439">
      <c r="A224" s="2276">
        <f>IF(B224&lt;&gt;$D$3,"◌ Other",IF(C224="REGIONAL / ALL MUNICIPALITIES","Regional",IF(OR(ISNUMBER(SEARCH(LEFT('Property Info'!$B$17,MAX(1,FIND(",",'Property Info'!$B$17&amp;",")-1)),C224)),ISNUMBER(SEARCH('Property Info'!$B$18,C224))),"★ Active","–")))</f>
        <v/>
      </c>
      <c r="B224" s="2276" t="inlineStr">
        <is>
          <t>Adams County</t>
        </is>
      </c>
      <c r="C224" s="2276" t="inlineStr">
        <is>
          <t>Bennett</t>
        </is>
      </c>
      <c r="D224" s="2276" t="inlineStr">
        <is>
          <t>GIS / Mapping</t>
        </is>
      </c>
      <c r="E224" s="2276" t="inlineStr">
        <is>
          <t>Interactive ArcGIS Map</t>
        </is>
      </c>
      <c r="F224" s="2277" t="inlineStr">
        <is>
          <t>https://www.arcgis.com/apps/webappviewer/index.html?id=d36fe1b73c514d29ba9b6d2d818e183e</t>
        </is>
      </c>
      <c r="G224" s="2270" t="inlineStr">
        <is>
          <t>Interactive city map</t>
        </is>
      </c>
    </row>
    <row r="225" ht="14" customHeight="1" s="1439">
      <c r="A225" s="2278">
        <f>IF(B225&lt;&gt;$D$3,"◌ Other",IF(C225="REGIONAL / ALL MUNICIPALITIES","Regional",IF(OR(ISNUMBER(SEARCH(LEFT('Property Info'!$B$17,MAX(1,FIND(",",'Property Info'!$B$17&amp;",")-1)),C225)),ISNUMBER(SEARCH('Property Info'!$B$18,C225))),"★ Active","–")))</f>
        <v/>
      </c>
      <c r="B225" s="2278" t="inlineStr">
        <is>
          <t>Adams County</t>
        </is>
      </c>
      <c r="C225" s="2278" t="inlineStr">
        <is>
          <t>Bennett</t>
        </is>
      </c>
      <c r="D225" s="2278" t="inlineStr">
        <is>
          <t>GIS / Mapping</t>
        </is>
      </c>
      <c r="E225" s="2278" t="inlineStr">
        <is>
          <t>2021 Comp Plan (ArcGIS Experience)</t>
        </is>
      </c>
      <c r="F225" s="2277" t="inlineStr">
        <is>
          <t>https://experience.arcgis.com/experience/3d3babff4d9e4ac998d13ed805412374</t>
        </is>
      </c>
      <c r="G225" s="2272" t="inlineStr">
        <is>
          <t>Comprehensive plan interactive viewer</t>
        </is>
      </c>
    </row>
    <row r="226" ht="14" customHeight="1" s="1439">
      <c r="A226" s="2276">
        <f>IF(B226&lt;&gt;$D$3,"◌ Other",IF(C226="REGIONAL / ALL MUNICIPALITIES","Regional",IF(OR(ISNUMBER(SEARCH(LEFT('Property Info'!$B$17,MAX(1,FIND(",",'Property Info'!$B$17&amp;",")-1)),C226)),ISNUMBER(SEARCH('Property Info'!$B$18,C226))),"★ Active","–")))</f>
        <v/>
      </c>
      <c r="B226" s="2276" t="inlineStr">
        <is>
          <t>Adams County</t>
        </is>
      </c>
      <c r="C226" s="2276" t="inlineStr">
        <is>
          <t>Bennett</t>
        </is>
      </c>
      <c r="D226" s="2276" t="inlineStr">
        <is>
          <t>Permits</t>
        </is>
      </c>
      <c r="E226" s="2276" t="inlineStr">
        <is>
          <t>Building Department</t>
        </is>
      </c>
      <c r="F226" s="2277" t="inlineStr">
        <is>
          <t>https://www.bennettco.gov/community-development/page/building-department</t>
        </is>
      </c>
      <c r="G226" s="2270" t="inlineStr">
        <is>
          <t>Building permits info</t>
        </is>
      </c>
    </row>
    <row r="227" ht="14" customHeight="1" s="1439">
      <c r="A227" s="2278">
        <f>IF(B227&lt;&gt;$D$3,"◌ Other",IF(C227="REGIONAL / ALL MUNICIPALITIES","Regional",IF(OR(ISNUMBER(SEARCH(LEFT('Property Info'!$B$17,MAX(1,FIND(",",'Property Info'!$B$17&amp;",")-1)),C227)),ISNUMBER(SEARCH('Property Info'!$B$18,C227))),"★ Active","–")))</f>
        <v/>
      </c>
      <c r="B227" s="2278" t="inlineStr">
        <is>
          <t>Adams County</t>
        </is>
      </c>
      <c r="C227" s="2278" t="inlineStr">
        <is>
          <t>Bennett</t>
        </is>
      </c>
      <c r="D227" s="2278" t="inlineStr">
        <is>
          <t>Permits</t>
        </is>
      </c>
      <c r="E227" s="2278" t="inlineStr">
        <is>
          <t>SmartGov Public Portal</t>
        </is>
      </c>
      <c r="F227" s="2277" t="inlineStr">
        <is>
          <t>https://twn-bennett-co.smartgovcommunity.com/</t>
        </is>
      </c>
      <c r="G227" s="2272" t="inlineStr">
        <is>
          <t>Online permit applications and search</t>
        </is>
      </c>
    </row>
    <row r="228" ht="14" customHeight="1" s="1439">
      <c r="A228" s="2276">
        <f>IF(B228&lt;&gt;$D$3,"◌ Other",IF(C228="REGIONAL / ALL MUNICIPALITIES","Regional",IF(OR(ISNUMBER(SEARCH(LEFT('Property Info'!$B$17,MAX(1,FIND(",",'Property Info'!$B$17&amp;",")-1)),C228)),ISNUMBER(SEARCH('Property Info'!$B$18,C228))),"★ Active","–")))</f>
        <v/>
      </c>
      <c r="B228" s="2276" t="inlineStr">
        <is>
          <t>Adams County</t>
        </is>
      </c>
      <c r="C228" s="2276" t="inlineStr">
        <is>
          <t>Bennett</t>
        </is>
      </c>
      <c r="D228" s="2276" t="inlineStr">
        <is>
          <t>Permits</t>
        </is>
      </c>
      <c r="E228" s="2276" t="inlineStr">
        <is>
          <t>Development Page</t>
        </is>
      </c>
      <c r="F228" s="2277" t="inlineStr">
        <is>
          <t>https://www.bennettco.gov/development</t>
        </is>
      </c>
      <c r="G228" s="2270" t="inlineStr">
        <is>
          <t>Development resources</t>
        </is>
      </c>
    </row>
    <row r="229" ht="14" customHeight="1" s="1439">
      <c r="A229" s="2278">
        <f>IF(B229&lt;&gt;$D$3,"◌ Other",IF(C229="REGIONAL / ALL MUNICIPALITIES","Regional",IF(OR(ISNUMBER(SEARCH(LEFT('Property Info'!$B$17,MAX(1,FIND(",",'Property Info'!$B$17&amp;",")-1)),C229)),ISNUMBER(SEARCH('Property Info'!$B$18,C229))),"★ Active","–")))</f>
        <v/>
      </c>
      <c r="B229" s="2278" t="inlineStr">
        <is>
          <t>Adams County</t>
        </is>
      </c>
      <c r="C229" s="2278" t="inlineStr">
        <is>
          <t>Bennett</t>
        </is>
      </c>
      <c r="D229" s="2278" t="inlineStr">
        <is>
          <t>Zoning / Planning</t>
        </is>
      </c>
      <c r="E229" s="2278" t="inlineStr">
        <is>
          <t>Planning and Zoning</t>
        </is>
      </c>
      <c r="F229" s="2277" t="inlineStr">
        <is>
          <t>https://www.bennettco.gov/planning-economic-development/page/planning-and-zoning</t>
        </is>
      </c>
      <c r="G229" s="2272" t="inlineStr">
        <is>
          <t>Zoning department</t>
        </is>
      </c>
    </row>
    <row r="230" ht="14" customHeight="1" s="1439">
      <c r="A230" s="2276">
        <f>IF(B230&lt;&gt;$D$3,"◌ Other",IF(C230="REGIONAL / ALL MUNICIPALITIES","Regional",IF(OR(ISNUMBER(SEARCH(LEFT('Property Info'!$B$17,MAX(1,FIND(",",'Property Info'!$B$17&amp;",")-1)),C230)),ISNUMBER(SEARCH('Property Info'!$B$18,C230))),"★ Active","–")))</f>
        <v/>
      </c>
      <c r="B230" s="2276" t="inlineStr">
        <is>
          <t>Adams County</t>
        </is>
      </c>
      <c r="C230" s="2276" t="inlineStr">
        <is>
          <t>Bennett</t>
        </is>
      </c>
      <c r="D230" s="2276" t="inlineStr">
        <is>
          <t>Zoning / Planning</t>
        </is>
      </c>
      <c r="E230" s="2276" t="inlineStr">
        <is>
          <t>Planning &amp; Economic Development Dept</t>
        </is>
      </c>
      <c r="F230" s="2277" t="inlineStr">
        <is>
          <t>https://www.bennettco.gov/planning-economic-development</t>
        </is>
      </c>
      <c r="G230" s="2270" t="inlineStr">
        <is>
          <t>Planning and econ dev combined</t>
        </is>
      </c>
    </row>
    <row r="231" ht="14" customHeight="1" s="1439">
      <c r="A231" s="2278">
        <f>IF(B231&lt;&gt;$D$3,"◌ Other",IF(C231="REGIONAL / ALL MUNICIPALITIES","Regional",IF(OR(ISNUMBER(SEARCH(LEFT('Property Info'!$B$17,MAX(1,FIND(",",'Property Info'!$B$17&amp;",")-1)),C231)),ISNUMBER(SEARCH('Property Info'!$B$18,C231))),"★ Active","–")))</f>
        <v/>
      </c>
      <c r="B231" s="2278" t="inlineStr">
        <is>
          <t>Adams County</t>
        </is>
      </c>
      <c r="C231" s="2278" t="inlineStr">
        <is>
          <t>Bennett</t>
        </is>
      </c>
      <c r="D231" s="2278" t="inlineStr">
        <is>
          <t>Flood Zone</t>
        </is>
      </c>
      <c r="E231" s="2278" t="inlineStr">
        <is>
          <t>FEMA Map Service Center</t>
        </is>
      </c>
      <c r="F231" s="2277" t="inlineStr">
        <is>
          <t>https://msc.fema.gov/</t>
        </is>
      </c>
      <c r="G231" s="2272" t="inlineStr">
        <is>
          <t>Address-specific FEMA FIRM lookup</t>
        </is>
      </c>
    </row>
    <row r="232" ht="14" customHeight="1" s="1439">
      <c r="A232" s="2276">
        <f>IF(B232&lt;&gt;$D$3,"◌ Other",IF(C232="REGIONAL / ALL MUNICIPALITIES","Regional",IF(OR(ISNUMBER(SEARCH(LEFT('Property Info'!$B$17,MAX(1,FIND(",",'Property Info'!$B$17&amp;",")-1)),C232)),ISNUMBER(SEARCH('Property Info'!$B$18,C232))),"★ Active","–")))</f>
        <v/>
      </c>
      <c r="B232" s="2276" t="inlineStr">
        <is>
          <t>Adams County</t>
        </is>
      </c>
      <c r="C232" s="2276" t="inlineStr">
        <is>
          <t>Bennett</t>
        </is>
      </c>
      <c r="D232" s="2276" t="inlineStr">
        <is>
          <t>Flood Zone</t>
        </is>
      </c>
      <c r="E232" s="2276" t="inlineStr">
        <is>
          <t>Adams County Floodplain Management</t>
        </is>
      </c>
      <c r="F232" s="2277" t="inlineStr">
        <is>
          <t>https://adamscountyco.gov/our-county/community-economic-development/floodplain-management/</t>
        </is>
      </c>
      <c r="G232" s="2270" t="inlineStr">
        <is>
          <t>County floodplain resources</t>
        </is>
      </c>
    </row>
    <row r="233" ht="14" customHeight="1" s="1439">
      <c r="A233" s="2278">
        <f>IF(B233&lt;&gt;$D$3,"◌ Other",IF(C233="REGIONAL / ALL MUNICIPALITIES","Regional",IF(OR(ISNUMBER(SEARCH(LEFT('Property Info'!$B$17,MAX(1,FIND(",",'Property Info'!$B$17&amp;",")-1)),C233)),ISNUMBER(SEARCH('Property Info'!$B$18,C233))),"★ Active","–")))</f>
        <v/>
      </c>
      <c r="B233" s="2278" t="inlineStr">
        <is>
          <t>Adams County</t>
        </is>
      </c>
      <c r="C233" s="2278" t="inlineStr">
        <is>
          <t>Bennett</t>
        </is>
      </c>
      <c r="D233" s="2278" t="inlineStr">
        <is>
          <t>Economic Development</t>
        </is>
      </c>
      <c r="E233" s="2278" t="inlineStr">
        <is>
          <t>Why Bennett (Econ Dev Portal)</t>
        </is>
      </c>
      <c r="F233" s="2277" t="inlineStr">
        <is>
          <t>https://whybennett.colorado.gov/</t>
        </is>
      </c>
      <c r="G233" s="2272" t="inlineStr">
        <is>
          <t>Business attraction and site selection</t>
        </is>
      </c>
    </row>
    <row r="234" ht="14" customHeight="1" s="1439">
      <c r="A234" s="2276">
        <f>IF(B234&lt;&gt;$D$3,"◌ Other",IF(C234="REGIONAL / ALL MUNICIPALITIES","Regional",IF(OR(ISNUMBER(SEARCH(LEFT('Property Info'!$B$17,MAX(1,FIND(",",'Property Info'!$B$17&amp;",")-1)),C234)),ISNUMBER(SEARCH('Property Info'!$B$18,C234))),"★ Active","–")))</f>
        <v/>
      </c>
      <c r="B234" s="2276" t="inlineStr">
        <is>
          <t>Adams County</t>
        </is>
      </c>
      <c r="C234" s="2276" t="inlineStr">
        <is>
          <t>Bennett</t>
        </is>
      </c>
      <c r="D234" s="2276" t="inlineStr">
        <is>
          <t>Economic Development</t>
        </is>
      </c>
      <c r="E234" s="2276" t="inlineStr">
        <is>
          <t>Infrastructure &amp; Utilities (Why Bennett)</t>
        </is>
      </c>
      <c r="F234" s="2277" t="inlineStr">
        <is>
          <t>https://whybennett.colorado.gov/infrastructure-and-utilities</t>
        </is>
      </c>
      <c r="G234" s="2270" t="inlineStr">
        <is>
          <t>Utility and infrastructure info for investors</t>
        </is>
      </c>
    </row>
    <row r="235" ht="14" customHeight="1" s="1439">
      <c r="A235" s="2278">
        <f>IF(B235&lt;&gt;$D$3,"◌ Other",IF(C235="REGIONAL / ALL MUNICIPALITIES","Regional",IF(OR(ISNUMBER(SEARCH(LEFT('Property Info'!$B$17,MAX(1,FIND(",",'Property Info'!$B$17&amp;",")-1)),C235)),ISNUMBER(SEARCH('Property Info'!$B$18,C235))),"★ Active","–")))</f>
        <v/>
      </c>
      <c r="B235" s="2278" t="inlineStr">
        <is>
          <t>Adams County</t>
        </is>
      </c>
      <c r="C235" s="2278" t="inlineStr">
        <is>
          <t>Bennett</t>
        </is>
      </c>
      <c r="D235" s="2278" t="inlineStr">
        <is>
          <t>Utilities</t>
        </is>
      </c>
      <c r="E235" s="2278" t="inlineStr">
        <is>
          <t>Utilities</t>
        </is>
      </c>
      <c r="F235" s="2277" t="inlineStr">
        <is>
          <t>https://www.bennettco.gov/site-selection/page/utilities</t>
        </is>
      </c>
      <c r="G235" s="2272" t="inlineStr">
        <is>
          <t>Town water/wastewater utilities</t>
        </is>
      </c>
    </row>
    <row r="236" ht="14" customHeight="1" s="1439">
      <c r="A236" s="2276">
        <f>IF(B236&lt;&gt;$D$3,"◌ Other",IF(C236="REGIONAL / ALL MUNICIPALITIES","Regional",IF(OR(ISNUMBER(SEARCH(LEFT('Property Info'!$B$17,MAX(1,FIND(",",'Property Info'!$B$17&amp;",")-1)),C236)),ISNUMBER(SEARCH('Property Info'!$B$18,C236))),"★ Active","–")))</f>
        <v/>
      </c>
      <c r="B236" s="2276" t="inlineStr">
        <is>
          <t>Adams County</t>
        </is>
      </c>
      <c r="C236" s="2276" t="inlineStr">
        <is>
          <t>Bennett</t>
        </is>
      </c>
      <c r="D236" s="2276" t="inlineStr">
        <is>
          <t>School Districts</t>
        </is>
      </c>
      <c r="E236" s="2276" t="inlineStr">
        <is>
          <t>Bennett School District 29J</t>
        </is>
      </c>
      <c r="F236" s="2277" t="inlineStr">
        <is>
          <t>https://www.bsd29j.com/</t>
        </is>
      </c>
      <c r="G236" s="2270" t="inlineStr">
        <is>
          <t>Local school district for Bennett</t>
        </is>
      </c>
    </row>
    <row r="237" ht="14" customHeight="1" s="1439">
      <c r="A237" s="2278">
        <f>IF(B237&lt;&gt;$D$3,"◌ Other",IF(C237="REGIONAL / ALL MUNICIPALITIES","Regional",IF(OR(ISNUMBER(SEARCH(LEFT('Property Info'!$B$17,MAX(1,FIND(",",'Property Info'!$B$17&amp;",")-1)),C237)),ISNUMBER(SEARCH('Property Info'!$B$18,C237))),"★ Active","–")))</f>
        <v/>
      </c>
      <c r="B237" s="2278" t="inlineStr">
        <is>
          <t>Adams County</t>
        </is>
      </c>
      <c r="C237" s="2278" t="inlineStr">
        <is>
          <t>Lochbuie</t>
        </is>
      </c>
      <c r="D237" s="2278" t="inlineStr">
        <is>
          <t>Property Assessment</t>
        </is>
      </c>
      <c r="E237" s="2278" t="inlineStr">
        <is>
          <t>Adams County Assessor (Adams Co. portion)</t>
        </is>
      </c>
      <c r="F237" s="2277" t="inlineStr">
        <is>
          <t>https://adcogov.org/property-look</t>
        </is>
      </c>
      <c r="G237" s="2272" t="inlineStr">
        <is>
          <t>For Adams County parcels in Lochbuie</t>
        </is>
      </c>
    </row>
    <row r="238" ht="14" customHeight="1" s="1439">
      <c r="A238" s="2276">
        <f>IF(B238&lt;&gt;$D$3,"◌ Other",IF(C238="REGIONAL / ALL MUNICIPALITIES","Regional",IF(OR(ISNUMBER(SEARCH(LEFT('Property Info'!$B$17,MAX(1,FIND(",",'Property Info'!$B$17&amp;",")-1)),C238)),ISNUMBER(SEARCH('Property Info'!$B$18,C238))),"★ Active","–")))</f>
        <v/>
      </c>
      <c r="B238" s="2276" t="inlineStr">
        <is>
          <t>Adams County</t>
        </is>
      </c>
      <c r="C238" s="2276" t="inlineStr">
        <is>
          <t>Lochbuie</t>
        </is>
      </c>
      <c r="D238" s="2276" t="inlineStr">
        <is>
          <t>Property Assessment</t>
        </is>
      </c>
      <c r="E238" s="2276" t="inlineStr">
        <is>
          <t>Weld County Assessor (Weld Co. portion)</t>
        </is>
      </c>
      <c r="F238" s="2277" t="inlineStr">
        <is>
          <t>https://www.weld.gov/Government/Departments/Assessor/Property-Data-Search</t>
        </is>
      </c>
      <c r="G238" s="2270" t="inlineStr">
        <is>
          <t>For Weld County parcels in Lochbuie</t>
        </is>
      </c>
    </row>
    <row r="239" ht="14" customHeight="1" s="1439">
      <c r="A239" s="2278">
        <f>IF(B239&lt;&gt;$D$3,"◌ Other",IF(C239="REGIONAL / ALL MUNICIPALITIES","Regional",IF(OR(ISNUMBER(SEARCH(LEFT('Property Info'!$B$17,MAX(1,FIND(",",'Property Info'!$B$17&amp;",")-1)),C239)),ISNUMBER(SEARCH('Property Info'!$B$18,C239))),"★ Active","–")))</f>
        <v/>
      </c>
      <c r="B239" s="2278" t="inlineStr">
        <is>
          <t>Adams County</t>
        </is>
      </c>
      <c r="C239" s="2278" t="inlineStr">
        <is>
          <t>Lochbuie</t>
        </is>
      </c>
      <c r="D239" s="2278" t="inlineStr">
        <is>
          <t>Property Tax / Treasurer</t>
        </is>
      </c>
      <c r="E239" s="2278" t="inlineStr">
        <is>
          <t>Adams County Tax Payment (Adams Co. portion)</t>
        </is>
      </c>
      <c r="F239" s="2277" t="inlineStr">
        <is>
          <t>https://adcotax.com/treasurer/web/login.jsp</t>
        </is>
      </c>
      <c r="G239" s="2272" t="inlineStr">
        <is>
          <t>For Adams County parcels</t>
        </is>
      </c>
    </row>
    <row r="240" ht="14" customHeight="1" s="1439">
      <c r="A240" s="2276">
        <f>IF(B240&lt;&gt;$D$3,"◌ Other",IF(C240="REGIONAL / ALL MUNICIPALITIES","Regional",IF(OR(ISNUMBER(SEARCH(LEFT('Property Info'!$B$17,MAX(1,FIND(",",'Property Info'!$B$17&amp;",")-1)),C240)),ISNUMBER(SEARCH('Property Info'!$B$18,C240))),"★ Active","–")))</f>
        <v/>
      </c>
      <c r="B240" s="2276" t="inlineStr">
        <is>
          <t>Adams County</t>
        </is>
      </c>
      <c r="C240" s="2276" t="inlineStr">
        <is>
          <t>Lochbuie</t>
        </is>
      </c>
      <c r="D240" s="2276" t="inlineStr">
        <is>
          <t>Property Tax / Treasurer</t>
        </is>
      </c>
      <c r="E240" s="2276" t="inlineStr">
        <is>
          <t>Weld County Treasurer (Weld Co. portion)</t>
        </is>
      </c>
      <c r="F240" s="2277" t="inlineStr">
        <is>
          <t>https://www.weldgov.com/departments/treasurer</t>
        </is>
      </c>
      <c r="G240" s="2270" t="inlineStr">
        <is>
          <t>For Weld County parcels</t>
        </is>
      </c>
    </row>
    <row r="241" ht="14" customHeight="1" s="1439">
      <c r="A241" s="2278">
        <f>IF(B241&lt;&gt;$D$3,"◌ Other",IF(C241="REGIONAL / ALL MUNICIPALITIES","Regional",IF(OR(ISNUMBER(SEARCH(LEFT('Property Info'!$B$17,MAX(1,FIND(",",'Property Info'!$B$17&amp;",")-1)),C241)),ISNUMBER(SEARCH('Property Info'!$B$18,C241))),"★ Active","–")))</f>
        <v/>
      </c>
      <c r="B241" s="2278" t="inlineStr">
        <is>
          <t>Adams County</t>
        </is>
      </c>
      <c r="C241" s="2278" t="inlineStr">
        <is>
          <t>Lochbuie</t>
        </is>
      </c>
      <c r="D241" s="2278" t="inlineStr">
        <is>
          <t>Deed / Title Records</t>
        </is>
      </c>
      <c r="E241" s="2278" t="inlineStr">
        <is>
          <t>Adams Co. Landmark Web Document Search</t>
        </is>
      </c>
      <c r="F241" s="2277" t="inlineStr">
        <is>
          <t>https://recording.adcogov.org/landmarkweb</t>
        </is>
      </c>
      <c r="G241" s="2272" t="inlineStr">
        <is>
          <t>For Adams County parcels</t>
        </is>
      </c>
    </row>
    <row r="242" ht="14" customHeight="1" s="1439">
      <c r="A242" s="2276">
        <f>IF(B242&lt;&gt;$D$3,"◌ Other",IF(C242="REGIONAL / ALL MUNICIPALITIES","Regional",IF(OR(ISNUMBER(SEARCH(LEFT('Property Info'!$B$17,MAX(1,FIND(",",'Property Info'!$B$17&amp;",")-1)),C242)),ISNUMBER(SEARCH('Property Info'!$B$18,C242))),"★ Active","–")))</f>
        <v/>
      </c>
      <c r="B242" s="2276" t="inlineStr">
        <is>
          <t>Adams County</t>
        </is>
      </c>
      <c r="C242" s="2276" t="inlineStr">
        <is>
          <t>Lochbuie</t>
        </is>
      </c>
      <c r="D242" s="2276" t="inlineStr">
        <is>
          <t>Deed / Title Records</t>
        </is>
      </c>
      <c r="E242" s="2276" t="inlineStr">
        <is>
          <t>Weld County Clerk &amp; Recorder</t>
        </is>
      </c>
      <c r="F242" s="2277" t="inlineStr">
        <is>
          <t>https://www.weld.gov/Government/Departments/Clerk-Recorder</t>
        </is>
      </c>
      <c r="G242" s="2270" t="inlineStr">
        <is>
          <t>For Weld County parcels</t>
        </is>
      </c>
    </row>
    <row r="243" ht="14" customHeight="1" s="1439">
      <c r="A243" s="2278">
        <f>IF(B243&lt;&gt;$D$3,"◌ Other",IF(C243="REGIONAL / ALL MUNICIPALITIES","Regional",IF(OR(ISNUMBER(SEARCH(LEFT('Property Info'!$B$17,MAX(1,FIND(",",'Property Info'!$B$17&amp;",")-1)),C243)),ISNUMBER(SEARCH('Property Info'!$B$18,C243))),"★ Active","–")))</f>
        <v/>
      </c>
      <c r="B243" s="2278" t="inlineStr">
        <is>
          <t>Adams County</t>
        </is>
      </c>
      <c r="C243" s="2278" t="inlineStr">
        <is>
          <t>Lochbuie</t>
        </is>
      </c>
      <c r="D243" s="2278" t="inlineStr">
        <is>
          <t>GIS / Mapping</t>
        </is>
      </c>
      <c r="E243" s="2278" t="inlineStr">
        <is>
          <t>Zoning Map</t>
        </is>
      </c>
      <c r="F243" s="2277" t="inlineStr">
        <is>
          <t>https://www.lochbuie.org/administration/page/zoning-map</t>
        </is>
      </c>
      <c r="G243" s="2272" t="inlineStr">
        <is>
          <t>Official town zoning map</t>
        </is>
      </c>
    </row>
    <row r="244" ht="14" customHeight="1" s="1439">
      <c r="A244" s="2276">
        <f>IF(B244&lt;&gt;$D$3,"◌ Other",IF(C244="REGIONAL / ALL MUNICIPALITIES","Regional",IF(OR(ISNUMBER(SEARCH(LEFT('Property Info'!$B$17,MAX(1,FIND(",",'Property Info'!$B$17&amp;",")-1)),C244)),ISNUMBER(SEARCH('Property Info'!$B$18,C244))),"★ Active","–")))</f>
        <v/>
      </c>
      <c r="B244" s="2276" t="inlineStr">
        <is>
          <t>Adams County</t>
        </is>
      </c>
      <c r="C244" s="2276" t="inlineStr">
        <is>
          <t>Lochbuie</t>
        </is>
      </c>
      <c r="D244" s="2276" t="inlineStr">
        <is>
          <t>Permits</t>
        </is>
      </c>
      <c r="E244" s="2276" t="inlineStr">
        <is>
          <t>Building Permits &amp; Inspections</t>
        </is>
      </c>
      <c r="F244" s="2277" t="inlineStr">
        <is>
          <t>https://www.lochbuie.org/community-dev/page/building-permits-and-inspections</t>
        </is>
      </c>
      <c r="G244" s="2270" t="inlineStr">
        <is>
          <t>Building permits (contracted to SAFEbuilt)</t>
        </is>
      </c>
    </row>
    <row r="245" ht="14" customHeight="1" s="1439">
      <c r="A245" s="2278">
        <f>IF(B245&lt;&gt;$D$3,"◌ Other",IF(C245="REGIONAL / ALL MUNICIPALITIES","Regional",IF(OR(ISNUMBER(SEARCH(LEFT('Property Info'!$B$17,MAX(1,FIND(",",'Property Info'!$B$17&amp;",")-1)),C245)),ISNUMBER(SEARCH('Property Info'!$B$18,C245))),"★ Active","–")))</f>
        <v/>
      </c>
      <c r="B245" s="2278" t="inlineStr">
        <is>
          <t>Adams County</t>
        </is>
      </c>
      <c r="C245" s="2278" t="inlineStr">
        <is>
          <t>Lochbuie</t>
        </is>
      </c>
      <c r="D245" s="2278" t="inlineStr">
        <is>
          <t>Permits</t>
        </is>
      </c>
      <c r="E245" s="2278" t="inlineStr">
        <is>
          <t>Do I Need a Permit?</t>
        </is>
      </c>
      <c r="F245" s="2277" t="inlineStr">
        <is>
          <t>https://www.lochbuie.org/community-dev/page/do-i-need-permit</t>
        </is>
      </c>
      <c r="G245" s="2272" t="inlineStr">
        <is>
          <t>Permit requirement guide</t>
        </is>
      </c>
    </row>
    <row r="246" ht="14" customHeight="1" s="1439">
      <c r="A246" s="2276">
        <f>IF(B246&lt;&gt;$D$3,"◌ Other",IF(C246="REGIONAL / ALL MUNICIPALITIES","Regional",IF(OR(ISNUMBER(SEARCH(LEFT('Property Info'!$B$17,MAX(1,FIND(",",'Property Info'!$B$17&amp;",")-1)),C246)),ISNUMBER(SEARCH('Property Info'!$B$18,C246))),"★ Active","–")))</f>
        <v/>
      </c>
      <c r="B246" s="2276" t="inlineStr">
        <is>
          <t>Adams County</t>
        </is>
      </c>
      <c r="C246" s="2276" t="inlineStr">
        <is>
          <t>Lochbuie</t>
        </is>
      </c>
      <c r="D246" s="2276" t="inlineStr">
        <is>
          <t>Permits</t>
        </is>
      </c>
      <c r="E246" s="2276" t="inlineStr">
        <is>
          <t>Building Guides &amp; Checklists</t>
        </is>
      </c>
      <c r="F246" s="2277" t="inlineStr">
        <is>
          <t>https://www.lochbuie.org/building/page/guides-and-checklists</t>
        </is>
      </c>
      <c r="G246" s="2270" t="inlineStr">
        <is>
          <t>Application checklists</t>
        </is>
      </c>
    </row>
    <row r="247" ht="14" customHeight="1" s="1439">
      <c r="A247" s="2278">
        <f>IF(B247&lt;&gt;$D$3,"◌ Other",IF(C247="REGIONAL / ALL MUNICIPALITIES","Regional",IF(OR(ISNUMBER(SEARCH(LEFT('Property Info'!$B$17,MAX(1,FIND(",",'Property Info'!$B$17&amp;",")-1)),C247)),ISNUMBER(SEARCH('Property Info'!$B$18,C247))),"★ Active","–")))</f>
        <v/>
      </c>
      <c r="B247" s="2278" t="inlineStr">
        <is>
          <t>Adams County</t>
        </is>
      </c>
      <c r="C247" s="2278" t="inlineStr">
        <is>
          <t>Lochbuie</t>
        </is>
      </c>
      <c r="D247" s="2278" t="inlineStr">
        <is>
          <t>Zoning / Planning</t>
        </is>
      </c>
      <c r="E247" s="2278" t="inlineStr">
        <is>
          <t>Current Planning</t>
        </is>
      </c>
      <c r="F247" s="2277" t="inlineStr">
        <is>
          <t>https://www.lochbuie.org/community-dev/page/current-planning</t>
        </is>
      </c>
      <c r="G247" s="2272" t="inlineStr">
        <is>
          <t>Active planning applications</t>
        </is>
      </c>
    </row>
    <row r="248" ht="14" customHeight="1" s="1439">
      <c r="A248" s="2276">
        <f>IF(B248&lt;&gt;$D$3,"◌ Other",IF(C248="REGIONAL / ALL MUNICIPALITIES","Regional",IF(OR(ISNUMBER(SEARCH(LEFT('Property Info'!$B$17,MAX(1,FIND(",",'Property Info'!$B$17&amp;",")-1)),C248)),ISNUMBER(SEARCH('Property Info'!$B$18,C248))),"★ Active","–")))</f>
        <v/>
      </c>
      <c r="B248" s="2276" t="inlineStr">
        <is>
          <t>Adams County</t>
        </is>
      </c>
      <c r="C248" s="2276" t="inlineStr">
        <is>
          <t>Lochbuie</t>
        </is>
      </c>
      <c r="D248" s="2276" t="inlineStr">
        <is>
          <t>Zoning / Planning</t>
        </is>
      </c>
      <c r="E248" s="2276" t="inlineStr">
        <is>
          <t>Municipal Code (Municode)</t>
        </is>
      </c>
      <c r="F248" s="2277" t="inlineStr">
        <is>
          <t>https://library.municode.com/co/lochbuie/codes/municipal_code</t>
        </is>
      </c>
      <c r="G248" s="2270" t="inlineStr">
        <is>
          <t>Full zoning and municipal code</t>
        </is>
      </c>
    </row>
    <row r="249" ht="14" customHeight="1" s="1439">
      <c r="A249" s="2278">
        <f>IF(B249&lt;&gt;$D$3,"◌ Other",IF(C249="REGIONAL / ALL MUNICIPALITIES","Regional",IF(OR(ISNUMBER(SEARCH(LEFT('Property Info'!$B$17,MAX(1,FIND(",",'Property Info'!$B$17&amp;",")-1)),C249)),ISNUMBER(SEARCH('Property Info'!$B$18,C249))),"★ Active","–")))</f>
        <v/>
      </c>
      <c r="B249" s="2278" t="inlineStr">
        <is>
          <t>Adams County</t>
        </is>
      </c>
      <c r="C249" s="2278" t="inlineStr">
        <is>
          <t>Lochbuie</t>
        </is>
      </c>
      <c r="D249" s="2278" t="inlineStr">
        <is>
          <t>Flood Zone</t>
        </is>
      </c>
      <c r="E249" s="2278" t="inlineStr">
        <is>
          <t>FEMA Map Service Center</t>
        </is>
      </c>
      <c r="F249" s="2277" t="inlineStr">
        <is>
          <t>https://msc.fema.gov/</t>
        </is>
      </c>
      <c r="G249" s="2272" t="inlineStr">
        <is>
          <t>Address-specific FEMA FIRM lookup</t>
        </is>
      </c>
    </row>
    <row r="250" ht="14" customHeight="1" s="1439">
      <c r="A250" s="2276">
        <f>IF(B250&lt;&gt;$D$3,"◌ Other",IF(C250="REGIONAL / ALL MUNICIPALITIES","Regional",IF(OR(ISNUMBER(SEARCH(LEFT('Property Info'!$B$17,MAX(1,FIND(",",'Property Info'!$B$17&amp;",")-1)),C250)),ISNUMBER(SEARCH('Property Info'!$B$18,C250))),"★ Active","–")))</f>
        <v/>
      </c>
      <c r="B250" s="2276" t="inlineStr">
        <is>
          <t>Adams County</t>
        </is>
      </c>
      <c r="C250" s="2276" t="inlineStr">
        <is>
          <t>Lochbuie</t>
        </is>
      </c>
      <c r="D250" s="2276" t="inlineStr">
        <is>
          <t>Flood Zone</t>
        </is>
      </c>
      <c r="E250" s="2276" t="inlineStr">
        <is>
          <t>Adams County Floodplain (Adams portion)</t>
        </is>
      </c>
      <c r="F250" s="2277" t="inlineStr">
        <is>
          <t>https://adamscountyco.gov/our-county/community-economic-development/floodplain-management/</t>
        </is>
      </c>
      <c r="G250" s="2270" t="inlineStr">
        <is>
          <t>County floodplain resources for Adams Co. portion</t>
        </is>
      </c>
    </row>
    <row r="251" ht="14" customHeight="1" s="1439">
      <c r="A251" s="2278">
        <f>IF(B251&lt;&gt;$D$3,"◌ Other",IF(C251="REGIONAL / ALL MUNICIPALITIES","Regional",IF(OR(ISNUMBER(SEARCH(LEFT('Property Info'!$B$17,MAX(1,FIND(",",'Property Info'!$B$17&amp;",")-1)),C251)),ISNUMBER(SEARCH('Property Info'!$B$18,C251))),"★ Active","–")))</f>
        <v/>
      </c>
      <c r="B251" s="2278" t="inlineStr">
        <is>
          <t>Adams County</t>
        </is>
      </c>
      <c r="C251" s="2278" t="inlineStr">
        <is>
          <t>Lochbuie</t>
        </is>
      </c>
      <c r="D251" s="2278" t="inlineStr">
        <is>
          <t>School Districts</t>
        </is>
      </c>
      <c r="E251" s="2278" t="inlineStr">
        <is>
          <t>School District 27J</t>
        </is>
      </c>
      <c r="F251" s="2277" t="inlineStr">
        <is>
          <t>https://www.sd27j.org/</t>
        </is>
      </c>
      <c r="G251" s="2272" t="inlineStr">
        <is>
          <t>Primary school district for Lochbuie</t>
        </is>
      </c>
    </row>
    <row r="252" ht="14" customHeight="1" s="1439">
      <c r="A252" s="2276">
        <f>IF(B252&lt;&gt;$D$3,"◌ Other",IF(C252="REGIONAL / ALL MUNICIPALITIES","Regional",IF(OR(ISNUMBER(SEARCH(LEFT('Property Info'!$B$17,MAX(1,FIND(",",'Property Info'!$B$17&amp;",")-1)),C252)),ISNUMBER(SEARCH('Property Info'!$B$18,C252))),"★ Active","–")))</f>
        <v/>
      </c>
      <c r="B252" s="2276" t="inlineStr">
        <is>
          <t>Adams County</t>
        </is>
      </c>
      <c r="C252" s="2276" t="inlineStr">
        <is>
          <t>Arvada</t>
        </is>
      </c>
      <c r="D252" s="2276" t="inlineStr">
        <is>
          <t>Property Assessment</t>
        </is>
      </c>
      <c r="E252" s="2276" t="inlineStr">
        <is>
          <t>Adams County Assessor (small Adams Co. portion)</t>
        </is>
      </c>
      <c r="F252" s="2277" t="inlineStr">
        <is>
          <t>https://adcogov.org/property-look</t>
        </is>
      </c>
      <c r="G252" s="2270" t="inlineStr">
        <is>
          <t>For the small eastern Adams County portion of Arvada</t>
        </is>
      </c>
    </row>
    <row r="253" ht="14" customHeight="1" s="1439">
      <c r="A253" s="2278">
        <f>IF(B253&lt;&gt;$D$3,"◌ Other",IF(C253="REGIONAL / ALL MUNICIPALITIES","Regional",IF(OR(ISNUMBER(SEARCH(LEFT('Property Info'!$B$17,MAX(1,FIND(",",'Property Info'!$B$17&amp;",")-1)),C253)),ISNUMBER(SEARCH('Property Info'!$B$18,C253))),"★ Active","–")))</f>
        <v/>
      </c>
      <c r="B253" s="2278" t="inlineStr">
        <is>
          <t>Adams County</t>
        </is>
      </c>
      <c r="C253" s="2278" t="inlineStr">
        <is>
          <t>Arvada</t>
        </is>
      </c>
      <c r="D253" s="2278" t="inlineStr">
        <is>
          <t>Property Assessment</t>
        </is>
      </c>
      <c r="E253" s="2278" t="inlineStr">
        <is>
          <t>Jefferson County Assessor (primary)</t>
        </is>
      </c>
      <c r="F253" s="2277" t="inlineStr">
        <is>
          <t>https://propertysearch.jeffco.us/</t>
        </is>
      </c>
      <c r="G253" s="2272" t="inlineStr">
        <is>
          <t>For the primary Jefferson County portion of Arvada</t>
        </is>
      </c>
    </row>
    <row r="254" ht="14" customHeight="1" s="1439">
      <c r="A254" s="2276">
        <f>IF(B254&lt;&gt;$D$3,"◌ Other",IF(C254="REGIONAL / ALL MUNICIPALITIES","Regional",IF(OR(ISNUMBER(SEARCH(LEFT('Property Info'!$B$17,MAX(1,FIND(",",'Property Info'!$B$17&amp;",")-1)),C254)),ISNUMBER(SEARCH('Property Info'!$B$18,C254))),"★ Active","–")))</f>
        <v/>
      </c>
      <c r="B254" s="2276" t="inlineStr">
        <is>
          <t>Adams County</t>
        </is>
      </c>
      <c r="C254" s="2276" t="inlineStr">
        <is>
          <t>Arvada</t>
        </is>
      </c>
      <c r="D254" s="2276" t="inlineStr">
        <is>
          <t>Property Tax / Treasurer</t>
        </is>
      </c>
      <c r="E254" s="2276" t="inlineStr">
        <is>
          <t>Jefferson County Treasurer (primary)</t>
        </is>
      </c>
      <c r="F254" s="2277" t="inlineStr">
        <is>
          <t>https://jeffco.us/1293/Treasurer</t>
        </is>
      </c>
      <c r="G254" s="2270" t="inlineStr">
        <is>
          <t>For Jefferson County parcels</t>
        </is>
      </c>
    </row>
    <row r="255" ht="14" customHeight="1" s="1439">
      <c r="A255" s="2278">
        <f>IF(B255&lt;&gt;$D$3,"◌ Other",IF(C255="REGIONAL / ALL MUNICIPALITIES","Regional",IF(OR(ISNUMBER(SEARCH(LEFT('Property Info'!$B$17,MAX(1,FIND(",",'Property Info'!$B$17&amp;",")-1)),C255)),ISNUMBER(SEARCH('Property Info'!$B$18,C255))),"★ Active","–")))</f>
        <v/>
      </c>
      <c r="B255" s="2278" t="inlineStr">
        <is>
          <t>Adams County</t>
        </is>
      </c>
      <c r="C255" s="2278" t="inlineStr">
        <is>
          <t>Arvada</t>
        </is>
      </c>
      <c r="D255" s="2278" t="inlineStr">
        <is>
          <t>Property Tax / Treasurer</t>
        </is>
      </c>
      <c r="E255" s="2278" t="inlineStr">
        <is>
          <t>Adams County Tax Payment (Adams Co. portion)</t>
        </is>
      </c>
      <c r="F255" s="2277" t="inlineStr">
        <is>
          <t>https://adcotax.com/treasurer/web/login.jsp</t>
        </is>
      </c>
      <c r="G255" s="2272" t="inlineStr">
        <is>
          <t>For Adams County parcels</t>
        </is>
      </c>
    </row>
    <row r="256" ht="14" customHeight="1" s="1439">
      <c r="A256" s="2276">
        <f>IF(B256&lt;&gt;$D$3,"◌ Other",IF(C256="REGIONAL / ALL MUNICIPALITIES","Regional",IF(OR(ISNUMBER(SEARCH(LEFT('Property Info'!$B$17,MAX(1,FIND(",",'Property Info'!$B$17&amp;",")-1)),C256)),ISNUMBER(SEARCH('Property Info'!$B$18,C256))),"★ Active","–")))</f>
        <v/>
      </c>
      <c r="B256" s="2276" t="inlineStr">
        <is>
          <t>Adams County</t>
        </is>
      </c>
      <c r="C256" s="2276" t="inlineStr">
        <is>
          <t>Arvada</t>
        </is>
      </c>
      <c r="D256" s="2276" t="inlineStr">
        <is>
          <t>Deed / Title Records</t>
        </is>
      </c>
      <c r="E256" s="2276" t="inlineStr">
        <is>
          <t>Jefferson County Clerk &amp; Recorder</t>
        </is>
      </c>
      <c r="F256" s="2277" t="inlineStr">
        <is>
          <t>https://www.jeffco.us/1288/Clerk-Recorder</t>
        </is>
      </c>
      <c r="G256" s="2270" t="inlineStr">
        <is>
          <t>For Jefferson County parcels</t>
        </is>
      </c>
    </row>
    <row r="257" ht="14" customHeight="1" s="1439">
      <c r="A257" s="2278">
        <f>IF(B257&lt;&gt;$D$3,"◌ Other",IF(C257="REGIONAL / ALL MUNICIPALITIES","Regional",IF(OR(ISNUMBER(SEARCH(LEFT('Property Info'!$B$17,MAX(1,FIND(",",'Property Info'!$B$17&amp;",")-1)),C257)),ISNUMBER(SEARCH('Property Info'!$B$18,C257))),"★ Active","–")))</f>
        <v/>
      </c>
      <c r="B257" s="2278" t="inlineStr">
        <is>
          <t>Adams County</t>
        </is>
      </c>
      <c r="C257" s="2278" t="inlineStr">
        <is>
          <t>Arvada</t>
        </is>
      </c>
      <c r="D257" s="2278" t="inlineStr">
        <is>
          <t>Deed / Title Records</t>
        </is>
      </c>
      <c r="E257" s="2278" t="inlineStr">
        <is>
          <t>Adams Co. Landmark Web Document Search</t>
        </is>
      </c>
      <c r="F257" s="2277" t="inlineStr">
        <is>
          <t>https://recording.adcogov.org/landmarkweb</t>
        </is>
      </c>
      <c r="G257" s="2272" t="inlineStr">
        <is>
          <t>For Adams County parcels</t>
        </is>
      </c>
    </row>
    <row r="258" ht="14" customHeight="1" s="1439">
      <c r="A258" s="2276">
        <f>IF(B258&lt;&gt;$D$3,"◌ Other",IF(C258="REGIONAL / ALL MUNICIPALITIES","Regional",IF(OR(ISNUMBER(SEARCH(LEFT('Property Info'!$B$17,MAX(1,FIND(",",'Property Info'!$B$17&amp;",")-1)),C258)),ISNUMBER(SEARCH('Property Info'!$B$18,C258))),"★ Active","–")))</f>
        <v/>
      </c>
      <c r="B258" s="2276" t="inlineStr">
        <is>
          <t>Adams County</t>
        </is>
      </c>
      <c r="C258" s="2276" t="inlineStr">
        <is>
          <t>Arvada</t>
        </is>
      </c>
      <c r="D258" s="2276" t="inlineStr">
        <is>
          <t>GIS / Mapping</t>
        </is>
      </c>
      <c r="E258" s="2276" t="inlineStr">
        <is>
          <t>Arvada Open Data / GIS Hub (ArcGIS)</t>
        </is>
      </c>
      <c r="F258" s="2277" t="inlineStr">
        <is>
          <t>https://gis-arvada.opendata.arcgis.com/</t>
        </is>
      </c>
      <c r="G258" s="2270" t="inlineStr">
        <is>
          <t>Downloadable GIS datasets including parcels</t>
        </is>
      </c>
    </row>
    <row r="259" ht="14" customHeight="1" s="1439">
      <c r="A259" s="2278">
        <f>IF(B259&lt;&gt;$D$3,"◌ Other",IF(C259="REGIONAL / ALL MUNICIPALITIES","Regional",IF(OR(ISNUMBER(SEARCH(LEFT('Property Info'!$B$17,MAX(1,FIND(",",'Property Info'!$B$17&amp;",")-1)),C259)),ISNUMBER(SEARCH('Property Info'!$B$18,C259))),"★ Active","–")))</f>
        <v/>
      </c>
      <c r="B259" s="2278" t="inlineStr">
        <is>
          <t>Adams County</t>
        </is>
      </c>
      <c r="C259" s="2278" t="inlineStr">
        <is>
          <t>Arvada</t>
        </is>
      </c>
      <c r="D259" s="2278" t="inlineStr">
        <is>
          <t>GIS / Mapping</t>
        </is>
      </c>
      <c r="E259" s="2278" t="inlineStr">
        <is>
          <t>Maps and Property Search</t>
        </is>
      </c>
      <c r="F259" s="2277" t="inlineStr">
        <is>
          <t>https://www.arvadaco.gov/702/Maps-and-Property-Search</t>
        </is>
      </c>
      <c r="G259" s="2272" t="inlineStr">
        <is>
          <t>City map and property portal</t>
        </is>
      </c>
    </row>
    <row r="260" ht="14" customHeight="1" s="1439">
      <c r="A260" s="2276">
        <f>IF(B260&lt;&gt;$D$3,"◌ Other",IF(C260="REGIONAL / ALL MUNICIPALITIES","Regional",IF(OR(ISNUMBER(SEARCH(LEFT('Property Info'!$B$17,MAX(1,FIND(",",'Property Info'!$B$17&amp;",")-1)),C260)),ISNUMBER(SEARCH('Property Info'!$B$18,C260))),"★ Active","–")))</f>
        <v/>
      </c>
      <c r="B260" s="2276" t="inlineStr">
        <is>
          <t>Adams County</t>
        </is>
      </c>
      <c r="C260" s="2276" t="inlineStr">
        <is>
          <t>Arvada</t>
        </is>
      </c>
      <c r="D260" s="2276" t="inlineStr">
        <is>
          <t>GIS / Mapping</t>
        </is>
      </c>
      <c r="E260" s="2276" t="inlineStr">
        <is>
          <t>Economic Development Maps</t>
        </is>
      </c>
      <c r="F260" s="2277" t="inlineStr">
        <is>
          <t>https://arvadaeconomicdevelopment.org/intel/maps/</t>
        </is>
      </c>
      <c r="G260" s="2270" t="inlineStr">
        <is>
          <t>Development pipeline and market maps</t>
        </is>
      </c>
    </row>
    <row r="261" ht="14" customHeight="1" s="1439">
      <c r="A261" s="2278">
        <f>IF(B261&lt;&gt;$D$3,"◌ Other",IF(C261="REGIONAL / ALL MUNICIPALITIES","Regional",IF(OR(ISNUMBER(SEARCH(LEFT('Property Info'!$B$17,MAX(1,FIND(",",'Property Info'!$B$17&amp;",")-1)),C261)),ISNUMBER(SEARCH('Property Info'!$B$18,C261))),"★ Active","–")))</f>
        <v/>
      </c>
      <c r="B261" s="2278" t="inlineStr">
        <is>
          <t>Adams County</t>
        </is>
      </c>
      <c r="C261" s="2278" t="inlineStr">
        <is>
          <t>Arvada</t>
        </is>
      </c>
      <c r="D261" s="2278" t="inlineStr">
        <is>
          <t>Permits</t>
        </is>
      </c>
      <c r="E261" s="2278" t="inlineStr">
        <is>
          <t>eTRAKiT Portal</t>
        </is>
      </c>
      <c r="F261" s="2277" t="inlineStr">
        <is>
          <t>https://arvadapermits.org/</t>
        </is>
      </c>
      <c r="G261" s="2272" t="inlineStr">
        <is>
          <t>Online permit search and applications</t>
        </is>
      </c>
    </row>
    <row r="262" ht="14" customHeight="1" s="1439">
      <c r="A262" s="2276">
        <f>IF(B262&lt;&gt;$D$3,"◌ Other",IF(C262="REGIONAL / ALL MUNICIPALITIES","Regional",IF(OR(ISNUMBER(SEARCH(LEFT('Property Info'!$B$17,MAX(1,FIND(",",'Property Info'!$B$17&amp;",")-1)),C262)),ISNUMBER(SEARCH('Property Info'!$B$18,C262))),"★ Active","–")))</f>
        <v/>
      </c>
      <c r="B262" s="2276" t="inlineStr">
        <is>
          <t>Adams County</t>
        </is>
      </c>
      <c r="C262" s="2276" t="inlineStr">
        <is>
          <t>Arvada</t>
        </is>
      </c>
      <c r="D262" s="2276" t="inlineStr">
        <is>
          <t>Permits</t>
        </is>
      </c>
      <c r="E262" s="2276" t="inlineStr">
        <is>
          <t>Building Permits Page</t>
        </is>
      </c>
      <c r="F262" s="2277" t="inlineStr">
        <is>
          <t>https://www.arvadaco.gov/332/Building-Permits</t>
        </is>
      </c>
      <c r="G262" s="2270" t="inlineStr">
        <is>
          <t>Building permit info</t>
        </is>
      </c>
    </row>
    <row r="263" ht="14" customHeight="1" s="1439">
      <c r="A263" s="2278">
        <f>IF(B263&lt;&gt;$D$3,"◌ Other",IF(C263="REGIONAL / ALL MUNICIPALITIES","Regional",IF(OR(ISNUMBER(SEARCH(LEFT('Property Info'!$B$17,MAX(1,FIND(",",'Property Info'!$B$17&amp;",")-1)),C263)),ISNUMBER(SEARCH('Property Info'!$B$18,C263))),"★ Active","–")))</f>
        <v/>
      </c>
      <c r="B263" s="2278" t="inlineStr">
        <is>
          <t>Adams County</t>
        </is>
      </c>
      <c r="C263" s="2278" t="inlineStr">
        <is>
          <t>Arvada</t>
        </is>
      </c>
      <c r="D263" s="2278" t="inlineStr">
        <is>
          <t>Permits</t>
        </is>
      </c>
      <c r="E263" s="2278" t="inlineStr">
        <is>
          <t>Check Permit Status / Schedule Inspection</t>
        </is>
      </c>
      <c r="F263" s="2277" t="inlineStr">
        <is>
          <t>https://www.arvadaco.gov/729/Check-the-Status-of-a-Permit-Schedule-a-</t>
        </is>
      </c>
      <c r="G263" s="2272" t="inlineStr">
        <is>
          <t>Permit status and inspection scheduling</t>
        </is>
      </c>
    </row>
    <row r="264" ht="14" customHeight="1" s="1439">
      <c r="A264" s="2276">
        <f>IF(B264&lt;&gt;$D$3,"◌ Other",IF(C264="REGIONAL / ALL MUNICIPALITIES","Regional",IF(OR(ISNUMBER(SEARCH(LEFT('Property Info'!$B$17,MAX(1,FIND(",",'Property Info'!$B$17&amp;",")-1)),C264)),ISNUMBER(SEARCH('Property Info'!$B$18,C264))),"★ Active","–")))</f>
        <v/>
      </c>
      <c r="B264" s="2276" t="inlineStr">
        <is>
          <t>Adams County</t>
        </is>
      </c>
      <c r="C264" s="2276" t="inlineStr">
        <is>
          <t>Arvada</t>
        </is>
      </c>
      <c r="D264" s="2276" t="inlineStr">
        <is>
          <t>Permits</t>
        </is>
      </c>
      <c r="E264" s="2276" t="inlineStr">
        <is>
          <t>eTRAKiT Permit Search</t>
        </is>
      </c>
      <c r="F264" s="2277" t="inlineStr">
        <is>
          <t>https://permits.arvada.org/etrakit3/Search/permit.aspx</t>
        </is>
      </c>
      <c r="G264" s="2270" t="inlineStr">
        <is>
          <t>Direct permit lookup</t>
        </is>
      </c>
    </row>
    <row r="265" ht="14" customHeight="1" s="1439">
      <c r="A265" s="2278">
        <f>IF(B265&lt;&gt;$D$3,"◌ Other",IF(C265="REGIONAL / ALL MUNICIPALITIES","Regional",IF(OR(ISNUMBER(SEARCH(LEFT('Property Info'!$B$17,MAX(1,FIND(",",'Property Info'!$B$17&amp;",")-1)),C265)),ISNUMBER(SEARCH('Property Info'!$B$18,C265))),"★ Active","–")))</f>
        <v/>
      </c>
      <c r="B265" s="2278" t="inlineStr">
        <is>
          <t>Adams County</t>
        </is>
      </c>
      <c r="C265" s="2278" t="inlineStr">
        <is>
          <t>Arvada</t>
        </is>
      </c>
      <c r="D265" s="2278" t="inlineStr">
        <is>
          <t>Zoning / Planning</t>
        </is>
      </c>
      <c r="E265" s="2278" t="inlineStr">
        <is>
          <t>Zoning Main Page</t>
        </is>
      </c>
      <c r="F265" s="2277" t="inlineStr">
        <is>
          <t>https://www.arvadaco.gov/168/Zoning</t>
        </is>
      </c>
      <c r="G265" s="2272" t="inlineStr">
        <is>
          <t>Zoning department with interactive zoning district map</t>
        </is>
      </c>
    </row>
    <row r="266" ht="14" customHeight="1" s="1439">
      <c r="A266" s="2276">
        <f>IF(B266&lt;&gt;$D$3,"◌ Other",IF(C266="REGIONAL / ALL MUNICIPALITIES","Regional",IF(OR(ISNUMBER(SEARCH(LEFT('Property Info'!$B$17,MAX(1,FIND(",",'Property Info'!$B$17&amp;",")-1)),C266)),ISNUMBER(SEARCH('Property Info'!$B$18,C266))),"★ Active","–")))</f>
        <v/>
      </c>
      <c r="B266" s="2276" t="inlineStr">
        <is>
          <t>Adams County</t>
        </is>
      </c>
      <c r="C266" s="2276" t="inlineStr">
        <is>
          <t>Arvada</t>
        </is>
      </c>
      <c r="D266" s="2276" t="inlineStr">
        <is>
          <t>Zoning / Planning</t>
        </is>
      </c>
      <c r="E266" s="2276" t="inlineStr">
        <is>
          <t>Speak Up Arvada (Community / Planning)</t>
        </is>
      </c>
      <c r="F266" s="2277" t="inlineStr">
        <is>
          <t>https://speakup.arvadaco.gov/</t>
        </is>
      </c>
      <c r="G266" s="2270" t="inlineStr">
        <is>
          <t>Community engagement for planning and comprehensive plan</t>
        </is>
      </c>
    </row>
    <row r="267" ht="14" customHeight="1" s="1439">
      <c r="A267" s="2278">
        <f>IF(B267&lt;&gt;$D$3,"◌ Other",IF(C267="REGIONAL / ALL MUNICIPALITIES","Regional",IF(OR(ISNUMBER(SEARCH(LEFT('Property Info'!$B$17,MAX(1,FIND(",",'Property Info'!$B$17&amp;",")-1)),C267)),ISNUMBER(SEARCH('Property Info'!$B$18,C267))),"★ Active","–")))</f>
        <v/>
      </c>
      <c r="B267" s="2278" t="inlineStr">
        <is>
          <t>Adams County</t>
        </is>
      </c>
      <c r="C267" s="2278" t="inlineStr">
        <is>
          <t>Arvada</t>
        </is>
      </c>
      <c r="D267" s="2278" t="inlineStr">
        <is>
          <t>Flood Zone</t>
        </is>
      </c>
      <c r="E267" s="2278" t="inlineStr">
        <is>
          <t>Jefferson County Floodplain (primary)</t>
        </is>
      </c>
      <c r="F267" s="2277" t="inlineStr">
        <is>
          <t>https://www.jeffco.us/2019/Flood-Mapping-and-Information</t>
        </is>
      </c>
      <c r="G267" s="2272" t="inlineStr">
        <is>
          <t>For Jefferson County portion</t>
        </is>
      </c>
    </row>
    <row r="268" ht="14" customHeight="1" s="1439">
      <c r="A268" s="2276">
        <f>IF(B268&lt;&gt;$D$3,"◌ Other",IF(C268="REGIONAL / ALL MUNICIPALITIES","Regional",IF(OR(ISNUMBER(SEARCH(LEFT('Property Info'!$B$17,MAX(1,FIND(",",'Property Info'!$B$17&amp;",")-1)),C268)),ISNUMBER(SEARCH('Property Info'!$B$18,C268))),"★ Active","–")))</f>
        <v/>
      </c>
      <c r="B268" s="2276" t="inlineStr">
        <is>
          <t>Adams County</t>
        </is>
      </c>
      <c r="C268" s="2276" t="inlineStr">
        <is>
          <t>Arvada</t>
        </is>
      </c>
      <c r="D268" s="2276" t="inlineStr">
        <is>
          <t>Flood Zone</t>
        </is>
      </c>
      <c r="E268" s="2276" t="inlineStr">
        <is>
          <t>Adams County Floodplain (Adams portion)</t>
        </is>
      </c>
      <c r="F268" s="2277" t="inlineStr">
        <is>
          <t>https://adamscountyco.gov/our-county/community-economic-development/floodplain-management/</t>
        </is>
      </c>
      <c r="G268" s="2270" t="inlineStr">
        <is>
          <t>For Adams County portion</t>
        </is>
      </c>
    </row>
    <row r="269" ht="14" customHeight="1" s="1439">
      <c r="A269" s="2278">
        <f>IF(B269&lt;&gt;$D$3,"◌ Other",IF(C269="REGIONAL / ALL MUNICIPALITIES","Regional",IF(OR(ISNUMBER(SEARCH(LEFT('Property Info'!$B$17,MAX(1,FIND(",",'Property Info'!$B$17&amp;",")-1)),C269)),ISNUMBER(SEARCH('Property Info'!$B$18,C269))),"★ Active","–")))</f>
        <v/>
      </c>
      <c r="B269" s="2278" t="inlineStr">
        <is>
          <t>Adams County</t>
        </is>
      </c>
      <c r="C269" s="2278" t="inlineStr">
        <is>
          <t>Arvada</t>
        </is>
      </c>
      <c r="D269" s="2278" t="inlineStr">
        <is>
          <t>Flood Zone</t>
        </is>
      </c>
      <c r="E269" s="2278" t="inlineStr">
        <is>
          <t>FEMA Map Service Center</t>
        </is>
      </c>
      <c r="F269" s="2277" t="inlineStr">
        <is>
          <t>https://msc.fema.gov/</t>
        </is>
      </c>
      <c r="G269" s="2272" t="inlineStr">
        <is>
          <t>Address-specific FEMA FIRM lookup</t>
        </is>
      </c>
    </row>
    <row r="270" ht="14" customHeight="1" s="1439">
      <c r="A270" s="2276">
        <f>IF(B270&lt;&gt;$D$3,"◌ Other",IF(C270="REGIONAL / ALL MUNICIPALITIES","Regional",IF(OR(ISNUMBER(SEARCH(LEFT('Property Info'!$B$17,MAX(1,FIND(",",'Property Info'!$B$17&amp;",")-1)),C270)),ISNUMBER(SEARCH('Property Info'!$B$18,C270))),"★ Active","–")))</f>
        <v/>
      </c>
      <c r="B270" s="2276" t="inlineStr">
        <is>
          <t>Adams County</t>
        </is>
      </c>
      <c r="C270" s="2276" t="inlineStr">
        <is>
          <t>Arvada</t>
        </is>
      </c>
      <c r="D270" s="2276" t="inlineStr">
        <is>
          <t>Economic Development</t>
        </is>
      </c>
      <c r="E270" s="2276" t="inlineStr">
        <is>
          <t>Arvada Economic Development Association</t>
        </is>
      </c>
      <c r="F270" s="2277" t="inlineStr">
        <is>
          <t>https://arvadaeconomicdevelopment.org/</t>
        </is>
      </c>
      <c r="G270" s="2270" t="inlineStr">
        <is>
          <t>City economic development organization</t>
        </is>
      </c>
    </row>
    <row r="271" ht="14" customHeight="1" s="1439">
      <c r="A271" s="2278">
        <f>IF(B271&lt;&gt;$D$3,"◌ Other",IF(C271="REGIONAL / ALL MUNICIPALITIES","Regional",IF(OR(ISNUMBER(SEARCH(LEFT('Property Info'!$B$17,MAX(1,FIND(",",'Property Info'!$B$17&amp;",")-1)),C271)),ISNUMBER(SEARCH('Property Info'!$B$18,C271))),"★ Active","–")))</f>
        <v/>
      </c>
      <c r="B271" s="2278" t="inlineStr">
        <is>
          <t>Adams County</t>
        </is>
      </c>
      <c r="C271" s="2278" t="inlineStr">
        <is>
          <t>Arvada</t>
        </is>
      </c>
      <c r="D271" s="2278" t="inlineStr">
        <is>
          <t>Short-Term Rental</t>
        </is>
      </c>
      <c r="E271" s="2278" t="inlineStr">
        <is>
          <t>STR License</t>
        </is>
      </c>
      <c r="F271" s="2277" t="inlineStr">
        <is>
          <t>https://www.arvadaco.gov/</t>
        </is>
      </c>
      <c r="G271" s="2272" t="inlineStr">
        <is>
          <t>Annual license required; $350 fee</t>
        </is>
      </c>
    </row>
    <row r="272" ht="14" customHeight="1" s="1439">
      <c r="A272" s="2276">
        <f>IF(B272&lt;&gt;$D$3,"◌ Other",IF(C272="REGIONAL / ALL MUNICIPALITIES","Regional",IF(OR(ISNUMBER(SEARCH(LEFT('Property Info'!$B$17,MAX(1,FIND(",",'Property Info'!$B$17&amp;",")-1)),C272)),ISNUMBER(SEARCH('Property Info'!$B$18,C272))),"★ Active","–")))</f>
        <v/>
      </c>
      <c r="B272" s="2276" t="inlineStr">
        <is>
          <t>Adams County</t>
        </is>
      </c>
      <c r="C272" s="2276" t="inlineStr">
        <is>
          <t>Arvada</t>
        </is>
      </c>
      <c r="D272" s="2276" t="inlineStr">
        <is>
          <t>Crime / Safety</t>
        </is>
      </c>
      <c r="E272" s="2276" t="inlineStr">
        <is>
          <t>Crime Maps &amp; Statistics</t>
        </is>
      </c>
      <c r="F272" s="2277" t="inlineStr">
        <is>
          <t>https://www.arvadaco.gov/538/Crime-Maps-Statistics</t>
        </is>
      </c>
      <c r="G272" s="2270" t="inlineStr">
        <is>
          <t>LexisNexis Community Crime Map</t>
        </is>
      </c>
    </row>
    <row r="273" ht="14" customHeight="1" s="1439">
      <c r="A273" s="2278">
        <f>IF(B273&lt;&gt;$D$3,"◌ Other",IF(C273="REGIONAL / ALL MUNICIPALITIES","Regional",IF(OR(ISNUMBER(SEARCH(LEFT('Property Info'!$B$17,MAX(1,FIND(",",'Property Info'!$B$17&amp;",")-1)),C273)),ISNUMBER(SEARCH('Property Info'!$B$18,C273))),"★ Active","–")))</f>
        <v/>
      </c>
      <c r="B273" s="2278" t="inlineStr">
        <is>
          <t>Adams County</t>
        </is>
      </c>
      <c r="C273" s="2278" t="inlineStr">
        <is>
          <t>Arvada</t>
        </is>
      </c>
      <c r="D273" s="2278" t="inlineStr">
        <is>
          <t>School Districts</t>
        </is>
      </c>
      <c r="E273" s="2278" t="inlineStr">
        <is>
          <t>Jefferson County Public Schools (primary)</t>
        </is>
      </c>
      <c r="F273" s="2277" t="inlineStr">
        <is>
          <t>https://www.jeffcopublicschools.org/</t>
        </is>
      </c>
      <c r="G273" s="2272" t="inlineStr">
        <is>
          <t>Primary district for most of Arvada</t>
        </is>
      </c>
    </row>
    <row r="274" ht="14" customHeight="1" s="1439">
      <c r="A274" s="2276">
        <f>IF(B274&lt;&gt;$D$3,"◌ Other",IF(C274="REGIONAL / ALL MUNICIPALITIES","Regional",IF(OR(ISNUMBER(SEARCH(LEFT('Property Info'!$B$17,MAX(1,FIND(",",'Property Info'!$B$17&amp;",")-1)),C274)),ISNUMBER(SEARCH('Property Info'!$B$18,C274))),"★ Active","–")))</f>
        <v/>
      </c>
      <c r="B274" s="2276" t="inlineStr">
        <is>
          <t>Adams County</t>
        </is>
      </c>
      <c r="C274" s="2276" t="inlineStr">
        <is>
          <t>Arvada</t>
        </is>
      </c>
      <c r="D274" s="2276" t="inlineStr">
        <is>
          <t>School Districts</t>
        </is>
      </c>
      <c r="E274" s="2276" t="inlineStr">
        <is>
          <t>Adams 12 Five Star Schools (Adams Co. portion)</t>
        </is>
      </c>
      <c r="F274" s="2277" t="inlineStr">
        <is>
          <t>https://www.adams12.org/</t>
        </is>
      </c>
      <c r="G274" s="2270" t="inlineStr">
        <is>
          <t>For the small Adams County portion</t>
        </is>
      </c>
    </row>
    <row r="275" ht="14" customHeight="1" s="1439">
      <c r="A275" s="2278">
        <f>IF(B275&lt;&gt;$D$3,"◌ Other",IF(C275="REGIONAL / ALL MUNICIPALITIES","Regional",IF(OR(ISNUMBER(SEARCH(LEFT('Property Info'!$B$17,MAX(1,FIND(",",'Property Info'!$B$17&amp;",")-1)),C275)),ISNUMBER(SEARCH('Property Info'!$B$18,C275))),"★ Active","–")))</f>
        <v/>
      </c>
      <c r="B275" s="2278" t="inlineStr">
        <is>
          <t>Adams County</t>
        </is>
      </c>
      <c r="C275" s="2278" t="inlineStr">
        <is>
          <t>REGIONAL / ALL MUNICIPALITIES</t>
        </is>
      </c>
      <c r="D275" s="2278" t="inlineStr">
        <is>
          <t>Property Assessment</t>
        </is>
      </c>
      <c r="E275" s="2278" t="inlineStr">
        <is>
          <t>Adams County Assessor — Main</t>
        </is>
      </c>
      <c r="F275" s="2277" t="inlineStr">
        <is>
          <t>https://adcogov.org/assessor</t>
        </is>
      </c>
      <c r="G275" s="2272" t="inlineStr">
        <is>
          <t>Covers all Adams County parcels regardless of city</t>
        </is>
      </c>
    </row>
    <row r="276" ht="14" customHeight="1" s="1439">
      <c r="A276" s="2276">
        <f>IF(B276&lt;&gt;$D$3,"◌ Other",IF(C276="REGIONAL / ALL MUNICIPALITIES","Regional",IF(OR(ISNUMBER(SEARCH(LEFT('Property Info'!$B$17,MAX(1,FIND(",",'Property Info'!$B$17&amp;",")-1)),C276)),ISNUMBER(SEARCH('Property Info'!$B$18,C276))),"★ Active","–")))</f>
        <v/>
      </c>
      <c r="B276" s="2276" t="inlineStr">
        <is>
          <t>Adams County</t>
        </is>
      </c>
      <c r="C276" s="2276" t="inlineStr">
        <is>
          <t>REGIONAL / ALL MUNICIPALITIES</t>
        </is>
      </c>
      <c r="D276" s="2276" t="inlineStr">
        <is>
          <t>Deed / Title Records</t>
        </is>
      </c>
      <c r="E276" s="2276" t="inlineStr">
        <is>
          <t>Adams County Clerk &amp; Recorder</t>
        </is>
      </c>
      <c r="F276" s="2277" t="inlineStr">
        <is>
          <t>https://adcogov.org/recording</t>
        </is>
      </c>
      <c r="G276" s="2270" t="inlineStr">
        <is>
          <t>Official deeds and recording office</t>
        </is>
      </c>
    </row>
    <row r="277" ht="14" customHeight="1" s="1439">
      <c r="A277" s="2278">
        <f>IF(B277&lt;&gt;$D$3,"◌ Other",IF(C277="REGIONAL / ALL MUNICIPALITIES","Regional",IF(OR(ISNUMBER(SEARCH(LEFT('Property Info'!$B$17,MAX(1,FIND(",",'Property Info'!$B$17&amp;",")-1)),C277)),ISNUMBER(SEARCH('Property Info'!$B$18,C277))),"★ Active","–")))</f>
        <v/>
      </c>
      <c r="B277" s="2278" t="inlineStr">
        <is>
          <t>Adams County</t>
        </is>
      </c>
      <c r="C277" s="2278" t="inlineStr">
        <is>
          <t>REGIONAL / ALL MUNICIPALITIES</t>
        </is>
      </c>
      <c r="D277" s="2278" t="inlineStr">
        <is>
          <t>Deed / Title Records</t>
        </is>
      </c>
      <c r="E277" s="2278" t="inlineStr">
        <is>
          <t>Landmark Web Document Search</t>
        </is>
      </c>
      <c r="F277" s="2277" t="inlineStr">
        <is>
          <t>https://recording.adcogov.org/landmarkweb</t>
        </is>
      </c>
      <c r="G277" s="2272" t="inlineStr">
        <is>
          <t>Grantor/Grantee search for all Adams County</t>
        </is>
      </c>
    </row>
    <row r="278" ht="14" customHeight="1" s="1439">
      <c r="A278" s="2276">
        <f>IF(B278&lt;&gt;$D$3,"◌ Other",IF(C278="REGIONAL / ALL MUNICIPALITIES","Regional",IF(OR(ISNUMBER(SEARCH(LEFT('Property Info'!$B$17,MAX(1,FIND(",",'Property Info'!$B$17&amp;",")-1)),C278)),ISNUMBER(SEARCH('Property Info'!$B$18,C278))),"★ Active","–")))</f>
        <v/>
      </c>
      <c r="B278" s="2276" t="inlineStr">
        <is>
          <t>Adams County</t>
        </is>
      </c>
      <c r="C278" s="2276" t="inlineStr">
        <is>
          <t>REGIONAL / ALL MUNICIPALITIES</t>
        </is>
      </c>
      <c r="D278" s="2276" t="inlineStr">
        <is>
          <t>GIS / Mapping</t>
        </is>
      </c>
      <c r="E278" s="2276" t="inlineStr">
        <is>
          <t>Adams County Open Data Hub</t>
        </is>
      </c>
      <c r="F278" s="2277" t="inlineStr">
        <is>
          <t>https://data-adcogov.opendata.arcgis.com/</t>
        </is>
      </c>
      <c r="G278" s="2270" t="inlineStr">
        <is>
          <t>County-wide GIS datasets</t>
        </is>
      </c>
    </row>
    <row r="279" ht="14" customHeight="1" s="1439">
      <c r="A279" s="2278">
        <f>IF(B279&lt;&gt;$D$3,"◌ Other",IF(C279="REGIONAL / ALL MUNICIPALITIES","Regional",IF(OR(ISNUMBER(SEARCH(LEFT('Property Info'!$B$17,MAX(1,FIND(",",'Property Info'!$B$17&amp;",")-1)),C279)),ISNUMBER(SEARCH('Property Info'!$B$18,C279))),"★ Active","–")))</f>
        <v/>
      </c>
      <c r="B279" s="2278" t="inlineStr">
        <is>
          <t>Adams County</t>
        </is>
      </c>
      <c r="C279" s="2278" t="inlineStr">
        <is>
          <t>REGIONAL / ALL MUNICIPALITIES</t>
        </is>
      </c>
      <c r="D279" s="2278" t="inlineStr">
        <is>
          <t>GIS / Mapping</t>
        </is>
      </c>
      <c r="E279" s="2278" t="inlineStr">
        <is>
          <t>DRCOG Regional Data Catalog</t>
        </is>
      </c>
      <c r="F279" s="2277" t="inlineStr">
        <is>
          <t>https://data.drcog.org/</t>
        </is>
      </c>
      <c r="G279" s="2272" t="inlineStr">
        <is>
          <t>Metro Denver regional data</t>
        </is>
      </c>
    </row>
    <row r="280" ht="14" customHeight="1" s="1439">
      <c r="A280" s="2276">
        <f>IF(B280&lt;&gt;$D$3,"◌ Other",IF(C280="REGIONAL / ALL MUNICIPALITIES","Regional",IF(OR(ISNUMBER(SEARCH(LEFT('Property Info'!$B$17,MAX(1,FIND(",",'Property Info'!$B$17&amp;",")-1)),C280)),ISNUMBER(SEARCH('Property Info'!$B$18,C280))),"★ Active","–")))</f>
        <v/>
      </c>
      <c r="B280" s="2276" t="inlineStr">
        <is>
          <t>Adams County</t>
        </is>
      </c>
      <c r="C280" s="2276" t="inlineStr">
        <is>
          <t>REGIONAL / ALL MUNICIPALITIES</t>
        </is>
      </c>
      <c r="D280" s="2276" t="inlineStr">
        <is>
          <t>GIS / Mapping</t>
        </is>
      </c>
      <c r="E280" s="2276" t="inlineStr">
        <is>
          <t>DRCOG Data &amp; Maps</t>
        </is>
      </c>
      <c r="F280" s="2277" t="inlineStr">
        <is>
          <t>https://www.drcog.org/data-maps-modeling</t>
        </is>
      </c>
      <c r="G280" s="2270" t="inlineStr">
        <is>
          <t>Regional planning maps</t>
        </is>
      </c>
    </row>
    <row r="281" ht="14" customHeight="1" s="1439">
      <c r="A281" s="2278">
        <f>IF(B281&lt;&gt;$D$3,"◌ Other",IF(C281="REGIONAL / ALL MUNICIPALITIES","Regional",IF(OR(ISNUMBER(SEARCH(LEFT('Property Info'!$B$17,MAX(1,FIND(",",'Property Info'!$B$17&amp;",")-1)),C281)),ISNUMBER(SEARCH('Property Info'!$B$18,C281))),"★ Active","–")))</f>
        <v/>
      </c>
      <c r="B281" s="2278" t="inlineStr">
        <is>
          <t>Adams County</t>
        </is>
      </c>
      <c r="C281" s="2278" t="inlineStr">
        <is>
          <t>REGIONAL / ALL MUNICIPALITIES</t>
        </is>
      </c>
      <c r="D281" s="2278" t="inlineStr">
        <is>
          <t>GIS / Mapping</t>
        </is>
      </c>
      <c r="E281" s="2278" t="inlineStr">
        <is>
          <t>DRCOG Community Profiles</t>
        </is>
      </c>
      <c r="F281" s="2277" t="inlineStr">
        <is>
          <t>https://www.drcog.org/data-maps-modeling/community-profiles</t>
        </is>
      </c>
      <c r="G281" s="2272" t="inlineStr">
        <is>
          <t>Demographic and growth profiles by municipality</t>
        </is>
      </c>
    </row>
    <row r="282" ht="14" customHeight="1" s="1439">
      <c r="A282" s="2276">
        <f>IF(B282&lt;&gt;$D$3,"◌ Other",IF(C282="REGIONAL / ALL MUNICIPALITIES","Regional",IF(OR(ISNUMBER(SEARCH(LEFT('Property Info'!$B$17,MAX(1,FIND(",",'Property Info'!$B$17&amp;",")-1)),C282)),ISNUMBER(SEARCH('Property Info'!$B$18,C282))),"★ Active","–")))</f>
        <v/>
      </c>
      <c r="B282" s="2276" t="inlineStr">
        <is>
          <t>Adams County</t>
        </is>
      </c>
      <c r="C282" s="2276" t="inlineStr">
        <is>
          <t>REGIONAL / ALL MUNICIPALITIES</t>
        </is>
      </c>
      <c r="D282" s="2276" t="inlineStr">
        <is>
          <t>GIS / Mapping</t>
        </is>
      </c>
      <c r="E282" s="2276" t="inlineStr">
        <is>
          <t>Colorado Geospatial Portal</t>
        </is>
      </c>
      <c r="F282" s="2277" t="inlineStr">
        <is>
          <t>https://geodata.colorado.gov/</t>
        </is>
      </c>
      <c r="G282" s="2270" t="inlineStr">
        <is>
          <t>Statewide GIS data portal</t>
        </is>
      </c>
    </row>
    <row r="283" ht="14" customHeight="1" s="1439">
      <c r="A283" s="2278">
        <f>IF(B283&lt;&gt;$D$3,"◌ Other",IF(C283="REGIONAL / ALL MUNICIPALITIES","Regional",IF(OR(ISNUMBER(SEARCH(LEFT('Property Info'!$B$17,MAX(1,FIND(",",'Property Info'!$B$17&amp;",")-1)),C283)),ISNUMBER(SEARCH('Property Info'!$B$18,C283))),"★ Active","–")))</f>
        <v/>
      </c>
      <c r="B283" s="2278" t="inlineStr">
        <is>
          <t>Adams County</t>
        </is>
      </c>
      <c r="C283" s="2278" t="inlineStr">
        <is>
          <t>REGIONAL / ALL MUNICIPALITIES</t>
        </is>
      </c>
      <c r="D283" s="2278" t="inlineStr">
        <is>
          <t>GIS / Mapping</t>
        </is>
      </c>
      <c r="E283" s="2278" t="inlineStr">
        <is>
          <t>Colorado Division of Water Resources GIS</t>
        </is>
      </c>
      <c r="F283" s="2277" t="inlineStr">
        <is>
          <t>https://dwr.colorado.gov/services/data-information/gis</t>
        </is>
      </c>
      <c r="G283" s="2272" t="inlineStr">
        <is>
          <t>Water rights and irrigation GIS data</t>
        </is>
      </c>
    </row>
    <row r="284" ht="14" customHeight="1" s="1439">
      <c r="A284" s="2276">
        <f>IF(B284&lt;&gt;$D$3,"◌ Other",IF(C284="REGIONAL / ALL MUNICIPALITIES","Regional",IF(OR(ISNUMBER(SEARCH(LEFT('Property Info'!$B$17,MAX(1,FIND(",",'Property Info'!$B$17&amp;",")-1)),C284)),ISNUMBER(SEARCH('Property Info'!$B$18,C284))),"★ Active","–")))</f>
        <v/>
      </c>
      <c r="B284" s="2276" t="inlineStr">
        <is>
          <t>Adams County</t>
        </is>
      </c>
      <c r="C284" s="2276" t="inlineStr">
        <is>
          <t>REGIONAL / ALL MUNICIPALITIES</t>
        </is>
      </c>
      <c r="D284" s="2276" t="inlineStr">
        <is>
          <t>Traffic / Transportation</t>
        </is>
      </c>
      <c r="E284" s="2276" t="inlineStr">
        <is>
          <t>CDOT Traffic Data (Open Data)</t>
        </is>
      </c>
      <c r="F284" s="2312" t="inlineStr">
        <is>
          <t>https://data-cdot.opendata.arcgis.com/</t>
        </is>
      </c>
      <c r="G284" s="2270" t="inlineStr">
        <is>
          <t>Traffic counts &amp; highway data — OTIS moving June 2026, use CDOT Open Data portal</t>
        </is>
      </c>
    </row>
    <row r="285" ht="14" customHeight="1" s="1439">
      <c r="A285" s="2278">
        <f>IF(B285&lt;&gt;$D$3,"◌ Other",IF(C285="REGIONAL / ALL MUNICIPALITIES","Regional",IF(OR(ISNUMBER(SEARCH(LEFT('Property Info'!$B$17,MAX(1,FIND(",",'Property Info'!$B$17&amp;",")-1)),C285)),ISNUMBER(SEARCH('Property Info'!$B$18,C285))),"★ Active","–")))</f>
        <v/>
      </c>
      <c r="B285" s="2278" t="inlineStr">
        <is>
          <t>Adams County</t>
        </is>
      </c>
      <c r="C285" s="2278" t="inlineStr">
        <is>
          <t>REGIONAL / ALL MUNICIPALITIES</t>
        </is>
      </c>
      <c r="D285" s="2278" t="inlineStr">
        <is>
          <t>Traffic / Transportation</t>
        </is>
      </c>
      <c r="E285" s="2278" t="inlineStr">
        <is>
          <t>CDOT Open Data (ArcGIS)</t>
        </is>
      </c>
      <c r="F285" s="2277" t="inlineStr">
        <is>
          <t>https://data-cdot.opendata.arcgis.com/</t>
        </is>
      </c>
      <c r="G285" s="2272" t="inlineStr">
        <is>
          <t>Statewide transportation datasets</t>
        </is>
      </c>
    </row>
    <row r="286" ht="14" customHeight="1" s="1439">
      <c r="A286" s="2276">
        <f>IF(B286&lt;&gt;$D$3,"◌ Other",IF(C286="REGIONAL / ALL MUNICIPALITIES","Regional",IF(OR(ISNUMBER(SEARCH(LEFT('Property Info'!$B$17,MAX(1,FIND(",",'Property Info'!$B$17&amp;",")-1)),C286)),ISNUMBER(SEARCH('Property Info'!$B$18,C286))),"★ Active","–")))</f>
        <v/>
      </c>
      <c r="B286" s="2276" t="inlineStr">
        <is>
          <t>Adams County</t>
        </is>
      </c>
      <c r="C286" s="2276" t="inlineStr">
        <is>
          <t>REGIONAL / ALL MUNICIPALITIES</t>
        </is>
      </c>
      <c r="D286" s="2276" t="inlineStr">
        <is>
          <t>Traffic / Transportation</t>
        </is>
      </c>
      <c r="E286" s="2276" t="inlineStr">
        <is>
          <t>CDOT Highway Traffic Counts Dataset</t>
        </is>
      </c>
      <c r="F286" s="2277" t="inlineStr">
        <is>
          <t>https://data-cdot.opendata.arcgis.com/datasets/highways-traffic-counts/about</t>
        </is>
      </c>
      <c r="G286" s="2270" t="inlineStr">
        <is>
          <t>Downloadable traffic count dataset</t>
        </is>
      </c>
    </row>
    <row r="287" ht="14" customHeight="1" s="1439">
      <c r="A287" s="2278">
        <f>IF(B287&lt;&gt;$D$3,"◌ Other",IF(C287="REGIONAL / ALL MUNICIPALITIES","Regional",IF(OR(ISNUMBER(SEARCH(LEFT('Property Info'!$B$17,MAX(1,FIND(",",'Property Info'!$B$17&amp;",")-1)),C287)),ISNUMBER(SEARCH('Property Info'!$B$18,C287))),"★ Active","–")))</f>
        <v/>
      </c>
      <c r="B287" s="2278" t="inlineStr">
        <is>
          <t>Adams County</t>
        </is>
      </c>
      <c r="C287" s="2278" t="inlineStr">
        <is>
          <t>REGIONAL / ALL MUNICIPALITIES</t>
        </is>
      </c>
      <c r="D287" s="2278" t="inlineStr">
        <is>
          <t>Entity / Ownership Lookup</t>
        </is>
      </c>
      <c r="E287" s="2278" t="inlineStr">
        <is>
          <t>Colorado Secretary of State — Business Entity Search</t>
        </is>
      </c>
      <c r="F287" s="2277" t="inlineStr">
        <is>
          <t>https://www.sos.state.co.us/biz/BusinessEntityCriteriaExt.do</t>
        </is>
      </c>
      <c r="G287" s="2272" t="inlineStr">
        <is>
          <t>Look up LLCs and ownership entities</t>
        </is>
      </c>
    </row>
    <row r="288" ht="14" customHeight="1" s="1439">
      <c r="A288" s="2276">
        <f>IF(B288&lt;&gt;$D$3,"◌ Other",IF(C288="REGIONAL / ALL MUNICIPALITIES","Regional",IF(OR(ISNUMBER(SEARCH(LEFT('Property Info'!$B$17,MAX(1,FIND(",",'Property Info'!$B$17&amp;",")-1)),C288)),ISNUMBER(SEARCH('Property Info'!$B$18,C288))),"★ Active","–")))</f>
        <v/>
      </c>
      <c r="B288" s="2276" t="inlineStr">
        <is>
          <t>Adams County</t>
        </is>
      </c>
      <c r="C288" s="2276" t="inlineStr">
        <is>
          <t>REGIONAL / ALL MUNICIPALITIES</t>
        </is>
      </c>
      <c r="D288" s="2276" t="inlineStr">
        <is>
          <t>Entity / Ownership Lookup</t>
        </is>
      </c>
      <c r="E288" s="2276" t="inlineStr">
        <is>
          <t>Colorado Secretary of State — Advanced Search</t>
        </is>
      </c>
      <c r="F288" s="2277" t="inlineStr">
        <is>
          <t>https://www.sos.state.co.us/biz/AdvancedSearchCriteria.do</t>
        </is>
      </c>
      <c r="G288" s="2270" t="inlineStr">
        <is>
          <t>Advanced entity search</t>
        </is>
      </c>
    </row>
    <row r="289" ht="14" customHeight="1" s="1439">
      <c r="A289" s="2278">
        <f>IF(B289&lt;&gt;$D$3,"◌ Other",IF(C289="REGIONAL / ALL MUNICIPALITIES","Regional",IF(OR(ISNUMBER(SEARCH(LEFT('Property Info'!$B$17,MAX(1,FIND(",",'Property Info'!$B$17&amp;",")-1)),C289)),ISNUMBER(SEARCH('Property Info'!$B$18,C289))),"★ Active","–")))</f>
        <v/>
      </c>
      <c r="B289" s="2278" t="inlineStr">
        <is>
          <t>Adams County</t>
        </is>
      </c>
      <c r="C289" s="2278" t="inlineStr">
        <is>
          <t>REGIONAL / ALL MUNICIPALITIES</t>
        </is>
      </c>
      <c r="D289" s="2278" t="inlineStr">
        <is>
          <t>Licensing / Regulation</t>
        </is>
      </c>
      <c r="E289" s="2278" t="inlineStr">
        <is>
          <t>Colorado Division of Real Estate (DORA)</t>
        </is>
      </c>
      <c r="F289" s="2277" t="inlineStr">
        <is>
          <t>https://dre.colorado.gov/</t>
        </is>
      </c>
      <c r="G289" s="2272" t="inlineStr">
        <is>
          <t>State real estate license lookups and regulations</t>
        </is>
      </c>
    </row>
    <row r="290" ht="14" customHeight="1" s="1439">
      <c r="A290" s="2276">
        <f>IF(B290&lt;&gt;$D$3,"◌ Other",IF(C290="REGIONAL / ALL MUNICIPALITIES","Regional",IF(OR(ISNUMBER(SEARCH(LEFT('Property Info'!$B$17,MAX(1,FIND(",",'Property Info'!$B$17&amp;",")-1)),C290)),ISNUMBER(SEARCH('Property Info'!$B$18,C290))),"★ Active","–")))</f>
        <v/>
      </c>
      <c r="B290" s="2276" t="inlineStr">
        <is>
          <t>Adams County</t>
        </is>
      </c>
      <c r="C290" s="2276" t="inlineStr">
        <is>
          <t>REGIONAL / ALL MUNICIPALITIES</t>
        </is>
      </c>
      <c r="D290" s="2276" t="inlineStr">
        <is>
          <t>Licensing / Regulation</t>
        </is>
      </c>
      <c r="E290" s="2276" t="inlineStr">
        <is>
          <t>Colorado CORA (Open Records Act) — SOS</t>
        </is>
      </c>
      <c r="F290" s="2277" t="inlineStr">
        <is>
          <t>https://www.sos.state.co.us/pubs/info_center/cora.html</t>
        </is>
      </c>
      <c r="G290" s="2270" t="inlineStr">
        <is>
          <t>How to make public records requests</t>
        </is>
      </c>
    </row>
    <row r="291" ht="14" customHeight="1" s="1439">
      <c r="A291" s="2278">
        <f>IF(B291&lt;&gt;$D$3,"◌ Other",IF(C291="REGIONAL / ALL MUNICIPALITIES","Regional",IF(OR(ISNUMBER(SEARCH(LEFT('Property Info'!$B$17,MAX(1,FIND(",",'Property Info'!$B$17&amp;",")-1)),C291)),ISNUMBER(SEARCH('Property Info'!$B$18,C291))),"★ Active","–")))</f>
        <v/>
      </c>
      <c r="B291" s="2278" t="inlineStr">
        <is>
          <t>Adams County</t>
        </is>
      </c>
      <c r="C291" s="2278" t="inlineStr">
        <is>
          <t>REGIONAL / ALL MUNICIPALITIES</t>
        </is>
      </c>
      <c r="D291" s="2278" t="inlineStr">
        <is>
          <t>Flood Zone</t>
        </is>
      </c>
      <c r="E291" s="2278" t="inlineStr">
        <is>
          <t>FEMA Map Service Center</t>
        </is>
      </c>
      <c r="F291" s="2277" t="inlineStr">
        <is>
          <t>https://msc.fema.gov/</t>
        </is>
      </c>
      <c r="G291" s="2272" t="inlineStr">
        <is>
          <t>FEMA FIRM — address-specific flood zone lookup</t>
        </is>
      </c>
    </row>
    <row r="292" ht="14" customHeight="1" s="1439">
      <c r="A292" s="2276">
        <f>IF(B292&lt;&gt;$D$3,"◌ Other",IF(C292="REGIONAL / ALL MUNICIPALITIES","Regional",IF(OR(ISNUMBER(SEARCH(LEFT('Property Info'!$B$17,MAX(1,FIND(",",'Property Info'!$B$17&amp;",")-1)),C292)),ISNUMBER(SEARCH('Property Info'!$B$18,C292))),"★ Active","–")))</f>
        <v/>
      </c>
      <c r="B292" s="2276" t="inlineStr">
        <is>
          <t>Adams County</t>
        </is>
      </c>
      <c r="C292" s="2276" t="inlineStr">
        <is>
          <t>REGIONAL / ALL MUNICIPALITIES</t>
        </is>
      </c>
      <c r="D292" s="2276" t="inlineStr">
        <is>
          <t>Flood Zone</t>
        </is>
      </c>
      <c r="E292" s="2276" t="inlineStr">
        <is>
          <t>Colorado Hazard Mapping / RiskMAP</t>
        </is>
      </c>
      <c r="F292" s="2277" t="inlineStr">
        <is>
          <t>https://coloradohazardmapping.com/hazardMapping/floodplainMapping</t>
        </is>
      </c>
      <c r="G292" s="2270" t="inlineStr">
        <is>
          <t>State-level flood mapping portal</t>
        </is>
      </c>
    </row>
    <row r="293" ht="14" customHeight="1" s="1439">
      <c r="A293" s="2278">
        <f>IF(B293&lt;&gt;$D$3,"◌ Other",IF(C293="REGIONAL / ALL MUNICIPALITIES","Regional",IF(OR(ISNUMBER(SEARCH(LEFT('Property Info'!$B$17,MAX(1,FIND(",",'Property Info'!$B$17&amp;",")-1)),C293)),ISNUMBER(SEARCH('Property Info'!$B$18,C293))),"★ Active","–")))</f>
        <v/>
      </c>
      <c r="B293" s="2278" t="inlineStr">
        <is>
          <t>Adams County</t>
        </is>
      </c>
      <c r="C293" s="2278" t="inlineStr">
        <is>
          <t>REGIONAL / ALL MUNICIPALITIES</t>
        </is>
      </c>
      <c r="D293" s="2278" t="inlineStr">
        <is>
          <t>MLS / Listings</t>
        </is>
      </c>
      <c r="E293" s="2278" t="inlineStr">
        <is>
          <t>REcolorado MLS (licensed professionals)</t>
        </is>
      </c>
      <c r="F293" s="2277" t="inlineStr">
        <is>
          <t>https://recolorado.com/</t>
        </is>
      </c>
      <c r="G293" s="2272" t="inlineStr">
        <is>
          <t>Primary Denver metro MLS</t>
        </is>
      </c>
    </row>
    <row r="294" ht="14" customHeight="1" s="1439">
      <c r="A294" s="2276">
        <f>IF(B294&lt;&gt;$D$3,"◌ Other",IF(C294="REGIONAL / ALL MUNICIPALITIES","Regional",IF(OR(ISNUMBER(SEARCH(LEFT('Property Info'!$B$17,MAX(1,FIND(",",'Property Info'!$B$17&amp;",")-1)),C294)),ISNUMBER(SEARCH('Property Info'!$B$18,C294))),"★ Active","–")))</f>
        <v/>
      </c>
      <c r="B294" s="2276" t="inlineStr">
        <is>
          <t>Adams County</t>
        </is>
      </c>
      <c r="C294" s="2276" t="inlineStr">
        <is>
          <t>REGIONAL / ALL MUNICIPALITIES</t>
        </is>
      </c>
      <c r="D294" s="2276" t="inlineStr">
        <is>
          <t>MLS / Listings</t>
        </is>
      </c>
      <c r="E294" s="2276" t="inlineStr">
        <is>
          <t>ColoProperty.com (public listings portal)</t>
        </is>
      </c>
      <c r="F294" s="2277" t="inlineStr">
        <is>
          <t>https://coloproperty.com/</t>
        </is>
      </c>
      <c r="G294" s="2270" t="inlineStr">
        <is>
          <t>Public-facing MLS listings</t>
        </is>
      </c>
    </row>
    <row r="295" ht="14" customHeight="1" s="1439">
      <c r="A295" s="2278">
        <f>IF(B295&lt;&gt;$D$3,"◌ Other",IF(C295="REGIONAL / ALL MUNICIPALITIES","Regional",IF(OR(ISNUMBER(SEARCH(LEFT('Property Info'!$B$17,MAX(1,FIND(",",'Property Info'!$B$17&amp;",")-1)),C295)),ISNUMBER(SEARCH('Property Info'!$B$18,C295))),"★ Active","–")))</f>
        <v/>
      </c>
      <c r="B295" s="2278" t="inlineStr">
        <is>
          <t>Adams County</t>
        </is>
      </c>
      <c r="C295" s="2278" t="inlineStr">
        <is>
          <t>REGIONAL / ALL MUNICIPALITIES</t>
        </is>
      </c>
      <c r="D295" s="2278" t="inlineStr">
        <is>
          <t>MLS / Listings</t>
        </is>
      </c>
      <c r="E295" s="2278" t="inlineStr">
        <is>
          <t>IRES MLS</t>
        </is>
      </c>
      <c r="F295" s="2277" t="inlineStr">
        <is>
          <t>https://iresmls.com/</t>
        </is>
      </c>
      <c r="G295" s="2272" t="inlineStr">
        <is>
          <t>Northern Colorado MLS</t>
        </is>
      </c>
    </row>
    <row r="296" ht="14" customHeight="1" s="1439">
      <c r="A296" s="2276">
        <f>IF(B296&lt;&gt;$D$3,"◌ Other",IF(C296="REGIONAL / ALL MUNICIPALITIES","Regional",IF(OR(ISNUMBER(SEARCH(LEFT('Property Info'!$B$17,MAX(1,FIND(",",'Property Info'!$B$17&amp;",")-1)),C296)),ISNUMBER(SEARCH('Property Info'!$B$18,C296))),"★ Active","–")))</f>
        <v/>
      </c>
      <c r="B296" s="2276" t="inlineStr">
        <is>
          <t>Adams County</t>
        </is>
      </c>
      <c r="C296" s="2276" t="inlineStr">
        <is>
          <t>REGIONAL / ALL MUNICIPALITIES</t>
        </is>
      </c>
      <c r="D296" s="2276" t="inlineStr">
        <is>
          <t>School Districts</t>
        </is>
      </c>
      <c r="E296" s="2276" t="inlineStr">
        <is>
          <t>Adams 12 Five Star Schools</t>
        </is>
      </c>
      <c r="F296" s="2277" t="inlineStr">
        <is>
          <t>https://www.adams12.org/</t>
        </is>
      </c>
      <c r="G296" s="2270" t="inlineStr">
        <is>
          <t>Serves Brighton,  Commerce City,  Federal Heights,  Northglenn,  Thornton,  Westminster (Adams Co. portion)</t>
        </is>
      </c>
    </row>
    <row r="297" ht="14" customHeight="1" s="1439">
      <c r="A297" s="2278">
        <f>IF(B297&lt;&gt;$D$3,"◌ Other",IF(C297="REGIONAL / ALL MUNICIPALITIES","Regional",IF(OR(ISNUMBER(SEARCH(LEFT('Property Info'!$B$17,MAX(1,FIND(",",'Property Info'!$B$17&amp;",")-1)),C297)),ISNUMBER(SEARCH('Property Info'!$B$18,C297))),"★ Active","–")))</f>
        <v/>
      </c>
      <c r="B297" s="2278" t="inlineStr">
        <is>
          <t>Adams County</t>
        </is>
      </c>
      <c r="C297" s="2278" t="inlineStr">
        <is>
          <t>REGIONAL / ALL MUNICIPALITIES</t>
        </is>
      </c>
      <c r="D297" s="2278" t="inlineStr">
        <is>
          <t>School Districts</t>
        </is>
      </c>
      <c r="E297" s="2278" t="inlineStr">
        <is>
          <t>School District 27J (Brighton)</t>
        </is>
      </c>
      <c r="F297" s="2277" t="inlineStr">
        <is>
          <t>https://www.sd27j.org/</t>
        </is>
      </c>
      <c r="G297" s="2272" t="inlineStr">
        <is>
          <t>Serves Brighton,  northeast Thornton,  Lochbuie</t>
        </is>
      </c>
    </row>
    <row r="298" ht="14" customHeight="1" s="1439">
      <c r="A298" s="2276">
        <f>IF(B298&lt;&gt;$D$3,"◌ Other",IF(C298="REGIONAL / ALL MUNICIPALITIES","Regional",IF(OR(ISNUMBER(SEARCH(LEFT('Property Info'!$B$17,MAX(1,FIND(",",'Property Info'!$B$17&amp;",")-1)),C298)),ISNUMBER(SEARCH('Property Info'!$B$18,C298))),"★ Active","–")))</f>
        <v/>
      </c>
      <c r="B298" s="2276" t="inlineStr">
        <is>
          <t>Adams County</t>
        </is>
      </c>
      <c r="C298" s="2276" t="inlineStr">
        <is>
          <t>REGIONAL / ALL MUNICIPALITIES</t>
        </is>
      </c>
      <c r="D298" s="2276" t="inlineStr">
        <is>
          <t>School Districts</t>
        </is>
      </c>
      <c r="E298" s="2276" t="inlineStr">
        <is>
          <t>Mapleton School District 1</t>
        </is>
      </c>
      <c r="F298" s="2277" t="inlineStr">
        <is>
          <t>https://www.mapleton.us/</t>
        </is>
      </c>
      <c r="G298" s="2270" t="inlineStr">
        <is>
          <t>Serves portions of Commerce City and unincorporated Adams County</t>
        </is>
      </c>
    </row>
    <row r="299" ht="14" customHeight="1" s="1439">
      <c r="A299" s="2278">
        <f>IF(B299&lt;&gt;$D$3,"◌ Other",IF(C299="REGIONAL / ALL MUNICIPALITIES","Regional",IF(OR(ISNUMBER(SEARCH(LEFT('Property Info'!$B$17,MAX(1,FIND(",",'Property Info'!$B$17&amp;",")-1)),C299)),ISNUMBER(SEARCH('Property Info'!$B$18,C299))),"★ Active","–")))</f>
        <v/>
      </c>
      <c r="B299" s="2278" t="inlineStr">
        <is>
          <t>Adams County</t>
        </is>
      </c>
      <c r="C299" s="2278" t="inlineStr">
        <is>
          <t>REGIONAL / ALL MUNICIPALITIES</t>
        </is>
      </c>
      <c r="D299" s="2278" t="inlineStr">
        <is>
          <t>School Districts</t>
        </is>
      </c>
      <c r="E299" s="2278" t="inlineStr">
        <is>
          <t>Aurora Public Schools</t>
        </is>
      </c>
      <c r="F299" s="2277" t="inlineStr">
        <is>
          <t>https://www.aurorak12.org/</t>
        </is>
      </c>
      <c r="G299" s="2272" t="inlineStr">
        <is>
          <t>Serves Aurora</t>
        </is>
      </c>
    </row>
    <row r="300" ht="14" customHeight="1" s="1439">
      <c r="A300" s="2276">
        <f>IF(B300&lt;&gt;$D$3,"◌ Other",IF(C300="REGIONAL / ALL MUNICIPALITIES","Regional",IF(OR(ISNUMBER(SEARCH(LEFT('Property Info'!$B$17,MAX(1,FIND(",",'Property Info'!$B$17&amp;",")-1)),C300)),ISNUMBER(SEARCH('Property Info'!$B$18,C300))),"★ Active","–")))</f>
        <v/>
      </c>
      <c r="B300" s="2276" t="inlineStr">
        <is>
          <t>Adams County</t>
        </is>
      </c>
      <c r="C300" s="2276" t="inlineStr">
        <is>
          <t>REGIONAL / ALL MUNICIPALITIES</t>
        </is>
      </c>
      <c r="D300" s="2276" t="inlineStr">
        <is>
          <t>School Districts</t>
        </is>
      </c>
      <c r="E300" s="2276" t="inlineStr">
        <is>
          <t>Cherry Creek School District</t>
        </is>
      </c>
      <c r="F300" s="2277" t="inlineStr">
        <is>
          <t>https://www.cherrycreekschools.org/</t>
        </is>
      </c>
      <c r="G300" s="2270" t="inlineStr">
        <is>
          <t>Serves parts of Aurora (Arapahoe Co. portion)</t>
        </is>
      </c>
    </row>
    <row r="301" ht="14" customHeight="1" s="1439">
      <c r="A301" s="2278">
        <f>IF(B301&lt;&gt;$D$3,"◌ Other",IF(C301="REGIONAL / ALL MUNICIPALITIES","Regional",IF(OR(ISNUMBER(SEARCH(LEFT('Property Info'!$B$17,MAX(1,FIND(",",'Property Info'!$B$17&amp;",")-1)),C301)),ISNUMBER(SEARCH('Property Info'!$B$18,C301))),"★ Active","–")))</f>
        <v/>
      </c>
      <c r="B301" s="2278" t="inlineStr">
        <is>
          <t>Adams County</t>
        </is>
      </c>
      <c r="C301" s="2278" t="inlineStr">
        <is>
          <t>REGIONAL / ALL MUNICIPALITIES</t>
        </is>
      </c>
      <c r="D301" s="2278" t="inlineStr">
        <is>
          <t>School Districts</t>
        </is>
      </c>
      <c r="E301" s="2278" t="inlineStr">
        <is>
          <t>Bennett School District 29J</t>
        </is>
      </c>
      <c r="F301" s="2277" t="inlineStr">
        <is>
          <t>https://www.bsd29j.com/</t>
        </is>
      </c>
      <c r="G301" s="2272" t="inlineStr">
        <is>
          <t>Serves Bennett</t>
        </is>
      </c>
    </row>
    <row r="302" ht="14" customHeight="1" s="1439">
      <c r="A302" s="2276">
        <f>IF(B302&lt;&gt;$D$3,"◌ Other",IF(C302="REGIONAL / ALL MUNICIPALITIES","Regional",IF(OR(ISNUMBER(SEARCH(LEFT('Property Info'!$B$17,MAX(1,FIND(",",'Property Info'!$B$17&amp;",")-1)),C302)),ISNUMBER(SEARCH('Property Info'!$B$18,C302))),"★ Active","–")))</f>
        <v/>
      </c>
      <c r="B302" s="2276" t="inlineStr">
        <is>
          <t>Adams County</t>
        </is>
      </c>
      <c r="C302" s="2276" t="inlineStr">
        <is>
          <t>REGIONAL / ALL MUNICIPALITIES</t>
        </is>
      </c>
      <c r="D302" s="2276" t="inlineStr">
        <is>
          <t>School Districts</t>
        </is>
      </c>
      <c r="E302" s="2276" t="inlineStr">
        <is>
          <t>Jefferson County Public Schools</t>
        </is>
      </c>
      <c r="F302" s="2277" t="inlineStr">
        <is>
          <t>https://www.jeffcopublicschools.org/</t>
        </is>
      </c>
      <c r="G302" s="2270" t="inlineStr">
        <is>
          <t>Serves Westminster and Arvada (Jefferson Co. portions)</t>
        </is>
      </c>
    </row>
    <row r="303" ht="14" customHeight="1" s="1439">
      <c r="A303" s="2278">
        <f>IF(B303&lt;&gt;$D$3,"◌ Other",IF(C303="REGIONAL / ALL MUNICIPALITIES","Regional",IF(OR(ISNUMBER(SEARCH(LEFT('Property Info'!$B$17,MAX(1,FIND(",",'Property Info'!$B$17&amp;",")-1)),C303)),ISNUMBER(SEARCH('Property Info'!$B$18,C303))),"★ Active","–")))</f>
        <v/>
      </c>
      <c r="B303" s="2278" t="inlineStr">
        <is>
          <t>Boulder County</t>
        </is>
      </c>
      <c r="C303" s="2278" t="inlineStr">
        <is>
          <t>Boulder County (Unincorporated)</t>
        </is>
      </c>
      <c r="D303" s="2278" t="inlineStr">
        <is>
          <t>Property Assessment</t>
        </is>
      </c>
      <c r="E303" s="2278" t="inlineStr">
        <is>
          <t>Assessor's Office</t>
        </is>
      </c>
      <c r="F303" s="2277" t="inlineStr">
        <is>
          <t>https://bouldercounty.gov/departments/assessor/</t>
        </is>
      </c>
      <c r="G303" s="2272" t="inlineStr">
        <is>
          <t>Main Boulder County Assessor page</t>
        </is>
      </c>
    </row>
    <row r="304" ht="14" customHeight="1" s="1439">
      <c r="A304" s="2276">
        <f>IF(B304&lt;&gt;$D$3,"◌ Other",IF(C304="REGIONAL / ALL MUNICIPALITIES","Regional",IF(OR(ISNUMBER(SEARCH(LEFT('Property Info'!$B$17,MAX(1,FIND(",",'Property Info'!$B$17&amp;",")-1)),C304)),ISNUMBER(SEARCH('Property Info'!$B$18,C304))),"★ Active","–")))</f>
        <v/>
      </c>
      <c r="B304" s="2276" t="inlineStr">
        <is>
          <t>Boulder County</t>
        </is>
      </c>
      <c r="C304" s="2276" t="inlineStr">
        <is>
          <t>Boulder County (Unincorporated)</t>
        </is>
      </c>
      <c r="D304" s="2276" t="inlineStr">
        <is>
          <t>Property Assessment</t>
        </is>
      </c>
      <c r="E304" s="2276" t="inlineStr">
        <is>
          <t>Property Search (Parcel Lookup)</t>
        </is>
      </c>
      <c r="F304" s="2277" t="inlineStr">
        <is>
          <t>https://maps.bouldercounty.org/boco/PropertySearch/</t>
        </is>
      </c>
      <c r="G304" s="2270" t="inlineStr">
        <is>
          <t>Primary parcel/property search tool for all of Boulder County</t>
        </is>
      </c>
    </row>
    <row r="305" ht="14" customHeight="1" s="1439">
      <c r="A305" s="2278">
        <f>IF(B305&lt;&gt;$D$3,"◌ Other",IF(C305="REGIONAL / ALL MUNICIPALITIES","Regional",IF(OR(ISNUMBER(SEARCH(LEFT('Property Info'!$B$17,MAX(1,FIND(",",'Property Info'!$B$17&amp;",")-1)),C305)),ISNUMBER(SEARCH('Property Info'!$B$18,C305))),"★ Active","–")))</f>
        <v/>
      </c>
      <c r="B305" s="2278" t="inlineStr">
        <is>
          <t>Boulder County</t>
        </is>
      </c>
      <c r="C305" s="2278" t="inlineStr">
        <is>
          <t>Boulder County (Unincorporated)</t>
        </is>
      </c>
      <c r="D305" s="2278" t="inlineStr">
        <is>
          <t>Property Assessment</t>
        </is>
      </c>
      <c r="E305" s="2278" t="inlineStr">
        <is>
          <t>Assessor Property Data (Open Data Hub)</t>
        </is>
      </c>
      <c r="F305" s="2277" t="inlineStr">
        <is>
          <t>https://opendata-bouldercounty.hub.arcgis.com/documents/d39100d04be34354b97ad52874f5e7d4</t>
        </is>
      </c>
      <c r="G305" s="2272" t="inlineStr">
        <is>
          <t>Downloadable assessor property dataset</t>
        </is>
      </c>
    </row>
    <row r="306" ht="14" customHeight="1" s="1439">
      <c r="A306" s="2276">
        <f>IF(B306&lt;&gt;$D$3,"◌ Other",IF(C306="REGIONAL / ALL MUNICIPALITIES","Regional",IF(OR(ISNUMBER(SEARCH(LEFT('Property Info'!$B$17,MAX(1,FIND(",",'Property Info'!$B$17&amp;",")-1)),C306)),ISNUMBER(SEARCH('Property Info'!$B$18,C306))),"★ Active","–")))</f>
        <v/>
      </c>
      <c r="B306" s="2276" t="inlineStr">
        <is>
          <t>Boulder County</t>
        </is>
      </c>
      <c r="C306" s="2276" t="inlineStr">
        <is>
          <t>Boulder County (Unincorporated)</t>
        </is>
      </c>
      <c r="D306" s="2276" t="inlineStr">
        <is>
          <t>Property Tax / Treasurer</t>
        </is>
      </c>
      <c r="E306" s="2276" t="inlineStr">
        <is>
          <t>Treasurer Web (Tax Search &amp; Payment)</t>
        </is>
      </c>
      <c r="F306" s="2277" t="inlineStr">
        <is>
          <t>https://treasurer.bouldercounty.org/treasurer/web/</t>
        </is>
      </c>
      <c r="G306" s="2270" t="inlineStr">
        <is>
          <t>Look up tax balances, payment history; pay online</t>
        </is>
      </c>
    </row>
    <row r="307" ht="14" customHeight="1" s="1439">
      <c r="A307" s="2278">
        <f>IF(B307&lt;&gt;$D$3,"◌ Other",IF(C307="REGIONAL / ALL MUNICIPALITIES","Regional",IF(OR(ISNUMBER(SEARCH(LEFT('Property Info'!$B$17,MAX(1,FIND(",",'Property Info'!$B$17&amp;",")-1)),C307)),ISNUMBER(SEARCH('Property Info'!$B$18,C307))),"★ Active","–")))</f>
        <v/>
      </c>
      <c r="B307" s="2278" t="inlineStr">
        <is>
          <t>Boulder County</t>
        </is>
      </c>
      <c r="C307" s="2278" t="inlineStr">
        <is>
          <t>Boulder County (Unincorporated)</t>
        </is>
      </c>
      <c r="D307" s="2278" t="inlineStr">
        <is>
          <t>Property Tax / Treasurer</t>
        </is>
      </c>
      <c r="E307" s="2278" t="inlineStr">
        <is>
          <t>Treasurer's Office Main Page</t>
        </is>
      </c>
      <c r="F307" s="2277" t="inlineStr">
        <is>
          <t>https://bouldercounty.gov/departments/treasurer/</t>
        </is>
      </c>
      <c r="G307" s="2272" t="inlineStr">
        <is>
          <t>Boulder County Treasurer office information</t>
        </is>
      </c>
    </row>
    <row r="308" ht="14" customHeight="1" s="1439">
      <c r="A308" s="2276">
        <f>IF(B308&lt;&gt;$D$3,"◌ Other",IF(C308="REGIONAL / ALL MUNICIPALITIES","Regional",IF(OR(ISNUMBER(SEARCH(LEFT('Property Info'!$B$17,MAX(1,FIND(",",'Property Info'!$B$17&amp;",")-1)),C308)),ISNUMBER(SEARCH('Property Info'!$B$18,C308))),"★ Active","–")))</f>
        <v/>
      </c>
      <c r="B308" s="2276" t="inlineStr">
        <is>
          <t>Boulder County</t>
        </is>
      </c>
      <c r="C308" s="2276" t="inlineStr">
        <is>
          <t>Boulder County (Unincorporated)</t>
        </is>
      </c>
      <c r="D308" s="2276" t="inlineStr">
        <is>
          <t>Property Tax / Treasurer</t>
        </is>
      </c>
      <c r="E308" s="2276" t="inlineStr">
        <is>
          <t>DOLA Division of Property Taxation</t>
        </is>
      </c>
      <c r="F308" s="2277" t="inlineStr">
        <is>
          <t>https://dpt.colorado.gov/locality/boulder-county-assessor</t>
        </is>
      </c>
      <c r="G308" s="2270" t="inlineStr">
        <is>
          <t>Colorado state-level property tax data for Boulder County</t>
        </is>
      </c>
    </row>
    <row r="309" ht="14" customHeight="1" s="1439">
      <c r="A309" s="2278">
        <f>IF(B309&lt;&gt;$D$3,"◌ Other",IF(C309="REGIONAL / ALL MUNICIPALITIES","Regional",IF(OR(ISNUMBER(SEARCH(LEFT('Property Info'!$B$17,MAX(1,FIND(",",'Property Info'!$B$17&amp;",")-1)),C309)),ISNUMBER(SEARCH('Property Info'!$B$18,C309))),"★ Active","–")))</f>
        <v/>
      </c>
      <c r="B309" s="2278" t="inlineStr">
        <is>
          <t>Boulder County</t>
        </is>
      </c>
      <c r="C309" s="2278" t="inlineStr">
        <is>
          <t>Boulder County (Unincorporated)</t>
        </is>
      </c>
      <c r="D309" s="2278" t="inlineStr">
        <is>
          <t>Deed / Title Records</t>
        </is>
      </c>
      <c r="E309" s="2278" t="inlineStr">
        <is>
          <t>Clerk &amp; Recorder Main Page</t>
        </is>
      </c>
      <c r="F309" s="2277" t="inlineStr">
        <is>
          <t>https://bouldercounty.gov/departments/clerk-recorder/</t>
        </is>
      </c>
      <c r="G309" s="2272" t="inlineStr">
        <is>
          <t>Official recording office for all of Boulder County</t>
        </is>
      </c>
    </row>
    <row r="310" ht="14" customHeight="1" s="1439">
      <c r="A310" s="2276">
        <f>IF(B310&lt;&gt;$D$3,"◌ Other",IF(C310="REGIONAL / ALL MUNICIPALITIES","Regional",IF(OR(ISNUMBER(SEARCH(LEFT('Property Info'!$B$17,MAX(1,FIND(",",'Property Info'!$B$17&amp;",")-1)),C310)),ISNUMBER(SEARCH('Property Info'!$B$18,C310))),"★ Active","–")))</f>
        <v/>
      </c>
      <c r="B310" s="2276" t="inlineStr">
        <is>
          <t>Boulder County</t>
        </is>
      </c>
      <c r="C310" s="2276" t="inlineStr">
        <is>
          <t>Boulder County (Unincorporated)</t>
        </is>
      </c>
      <c r="D310" s="2276" t="inlineStr">
        <is>
          <t>Deed / Title Records</t>
        </is>
      </c>
      <c r="E310" s="2276" t="inlineStr">
        <is>
          <t>Official Record Search (PublicSearch)</t>
        </is>
      </c>
      <c r="F310" s="2277" t="inlineStr">
        <is>
          <t>https://boulder.co.publicsearch.us/</t>
        </is>
      </c>
      <c r="G310" s="2270" t="inlineStr">
        <is>
          <t>Grantor/Grantee deed and document search</t>
        </is>
      </c>
    </row>
    <row r="311" ht="14" customHeight="1" s="1439">
      <c r="A311" s="2278">
        <f>IF(B311&lt;&gt;$D$3,"◌ Other",IF(C311="REGIONAL / ALL MUNICIPALITIES","Regional",IF(OR(ISNUMBER(SEARCH(LEFT('Property Info'!$B$17,MAX(1,FIND(",",'Property Info'!$B$17&amp;",")-1)),C311)),ISNUMBER(SEARCH('Property Info'!$B$18,C311))),"★ Active","–")))</f>
        <v/>
      </c>
      <c r="B311" s="2278" t="inlineStr">
        <is>
          <t>Boulder County</t>
        </is>
      </c>
      <c r="C311" s="2278" t="inlineStr">
        <is>
          <t>Boulder County (Unincorporated)</t>
        </is>
      </c>
      <c r="D311" s="2278" t="inlineStr">
        <is>
          <t>GIS / Mapping</t>
        </is>
      </c>
      <c r="E311" s="2278" t="inlineStr">
        <is>
          <t>Open Data Hub (ArcGIS)</t>
        </is>
      </c>
      <c r="F311" s="2277" t="inlineStr">
        <is>
          <t>https://opendata-bouldercounty.hub.arcgis.com/</t>
        </is>
      </c>
      <c r="G311" s="2272" t="inlineStr">
        <is>
          <t>Downloadable GIS datasets: parcels, zoning, land use</t>
        </is>
      </c>
    </row>
    <row r="312" ht="14" customHeight="1" s="1439">
      <c r="A312" s="2276">
        <f>IF(B312&lt;&gt;$D$3,"◌ Other",IF(C312="REGIONAL / ALL MUNICIPALITIES","Regional",IF(OR(ISNUMBER(SEARCH(LEFT('Property Info'!$B$17,MAX(1,FIND(",",'Property Info'!$B$17&amp;",")-1)),C312)),ISNUMBER(SEARCH('Property Info'!$B$18,C312))),"★ Active","–")))</f>
        <v/>
      </c>
      <c r="B312" s="2276" t="inlineStr">
        <is>
          <t>Boulder County</t>
        </is>
      </c>
      <c r="C312" s="2276" t="inlineStr">
        <is>
          <t>Boulder County (Unincorporated)</t>
        </is>
      </c>
      <c r="D312" s="2276" t="inlineStr">
        <is>
          <t>GIS / Mapping</t>
        </is>
      </c>
      <c r="E312" s="2276" t="inlineStr">
        <is>
          <t>Interactive Property/Parcel Map</t>
        </is>
      </c>
      <c r="F312" s="2277" t="inlineStr">
        <is>
          <t>https://maps.bouldercounty.org/</t>
        </is>
      </c>
      <c r="G312" s="2270" t="inlineStr">
        <is>
          <t>County-wide interactive map viewer</t>
        </is>
      </c>
    </row>
    <row r="313" ht="14" customHeight="1" s="1439">
      <c r="A313" s="2278">
        <f>IF(B313&lt;&gt;$D$3,"◌ Other",IF(C313="REGIONAL / ALL MUNICIPALITIES","Regional",IF(OR(ISNUMBER(SEARCH(LEFT('Property Info'!$B$17,MAX(1,FIND(",",'Property Info'!$B$17&amp;",")-1)),C313)),ISNUMBER(SEARCH('Property Info'!$B$18,C313))),"★ Active","–")))</f>
        <v/>
      </c>
      <c r="B313" s="2278" t="inlineStr">
        <is>
          <t>Boulder County</t>
        </is>
      </c>
      <c r="C313" s="2278" t="inlineStr">
        <is>
          <t>Boulder County (Unincorporated)</t>
        </is>
      </c>
      <c r="D313" s="2278" t="inlineStr">
        <is>
          <t>GIS / Mapping</t>
        </is>
      </c>
      <c r="E313" s="2278" t="inlineStr">
        <is>
          <t>GIS Department</t>
        </is>
      </c>
      <c r="F313" s="2277" t="inlineStr">
        <is>
          <t>https://bouldercounty.gov/property-and-land/geographic-information-systems/</t>
        </is>
      </c>
      <c r="G313" s="2272" t="inlineStr">
        <is>
          <t>GIS resources and data downloads</t>
        </is>
      </c>
    </row>
    <row r="314" ht="14" customHeight="1" s="1439">
      <c r="A314" s="2276">
        <f>IF(B314&lt;&gt;$D$3,"◌ Other",IF(C314="REGIONAL / ALL MUNICIPALITIES","Regional",IF(OR(ISNUMBER(SEARCH(LEFT('Property Info'!$B$17,MAX(1,FIND(",",'Property Info'!$B$17&amp;",")-1)),C314)),ISNUMBER(SEARCH('Property Info'!$B$18,C314))),"★ Active","–")))</f>
        <v/>
      </c>
      <c r="B314" s="2276" t="inlineStr">
        <is>
          <t>Boulder County</t>
        </is>
      </c>
      <c r="C314" s="2276" t="inlineStr">
        <is>
          <t>Boulder County (Unincorporated)</t>
        </is>
      </c>
      <c r="D314" s="2276" t="inlineStr">
        <is>
          <t>Permits</t>
        </is>
      </c>
      <c r="E314" s="2276" t="inlineStr">
        <is>
          <t>Community Planning &amp; Permitting</t>
        </is>
      </c>
      <c r="F314" s="2277" t="inlineStr">
        <is>
          <t>https://bouldercounty.gov/departments/community-planning-permitting/</t>
        </is>
      </c>
      <c r="G314" s="2270" t="inlineStr">
        <is>
          <t>Unincorporated area permits and planning authority</t>
        </is>
      </c>
    </row>
    <row r="315" ht="14" customHeight="1" s="1439">
      <c r="A315" s="2278">
        <f>IF(B315&lt;&gt;$D$3,"◌ Other",IF(C315="REGIONAL / ALL MUNICIPALITIES","Regional",IF(OR(ISNUMBER(SEARCH(LEFT('Property Info'!$B$17,MAX(1,FIND(",",'Property Info'!$B$17&amp;",")-1)),C315)),ISNUMBER(SEARCH('Property Info'!$B$18,C315))),"★ Active","–")))</f>
        <v/>
      </c>
      <c r="B315" s="2278" t="inlineStr">
        <is>
          <t>Boulder County</t>
        </is>
      </c>
      <c r="C315" s="2278" t="inlineStr">
        <is>
          <t>Boulder County (Unincorporated)</t>
        </is>
      </c>
      <c r="D315" s="2278" t="inlineStr">
        <is>
          <t>Permits</t>
        </is>
      </c>
      <c r="E315" s="2278" t="inlineStr">
        <is>
          <t>Building Permits (Unincorporated)</t>
        </is>
      </c>
      <c r="F315" s="2277" t="inlineStr">
        <is>
          <t>https://bouldercounty.gov/property-and-land/land-use/building/</t>
        </is>
      </c>
      <c r="G315" s="2272" t="inlineStr">
        <is>
          <t>Building permit applications and info for unincorporated areas</t>
        </is>
      </c>
    </row>
    <row r="316" ht="14" customHeight="1" s="1439">
      <c r="A316" s="2276">
        <f>IF(B316&lt;&gt;$D$3,"◌ Other",IF(C316="REGIONAL / ALL MUNICIPALITIES","Regional",IF(OR(ISNUMBER(SEARCH(LEFT('Property Info'!$B$17,MAX(1,FIND(",",'Property Info'!$B$17&amp;",")-1)),C316)),ISNUMBER(SEARCH('Property Info'!$B$18,C316))),"★ Active","–")))</f>
        <v/>
      </c>
      <c r="B316" s="2276" t="inlineStr">
        <is>
          <t>Boulder County</t>
        </is>
      </c>
      <c r="C316" s="2276" t="inlineStr">
        <is>
          <t>Boulder County (Unincorporated)</t>
        </is>
      </c>
      <c r="D316" s="2276" t="inlineStr">
        <is>
          <t>Permits</t>
        </is>
      </c>
      <c r="E316" s="2276" t="inlineStr">
        <is>
          <t>Municipality Permit Contacts</t>
        </is>
      </c>
      <c r="F316" s="2277" t="inlineStr">
        <is>
          <t>https://bouldercounty.gov/property-and-land/land-use/building/municipal-contacts/</t>
        </is>
      </c>
      <c r="G316" s="2270" t="inlineStr">
        <is>
          <t>Direct links to all Boulder County city/town building departments</t>
        </is>
      </c>
    </row>
    <row r="317" ht="14" customHeight="1" s="1439">
      <c r="A317" s="2278">
        <f>IF(B317&lt;&gt;$D$3,"◌ Other",IF(C317="REGIONAL / ALL MUNICIPALITIES","Regional",IF(OR(ISNUMBER(SEARCH(LEFT('Property Info'!$B$17,MAX(1,FIND(",",'Property Info'!$B$17&amp;",")-1)),C317)),ISNUMBER(SEARCH('Property Info'!$B$18,C317))),"★ Active","–")))</f>
        <v/>
      </c>
      <c r="B317" s="2278" t="inlineStr">
        <is>
          <t>Boulder County</t>
        </is>
      </c>
      <c r="C317" s="2278" t="inlineStr">
        <is>
          <t>Boulder County (Unincorporated)</t>
        </is>
      </c>
      <c r="D317" s="2278" t="inlineStr">
        <is>
          <t>Zoning / Planning</t>
        </is>
      </c>
      <c r="E317" s="2278" t="inlineStr">
        <is>
          <t>Land Use Department</t>
        </is>
      </c>
      <c r="F317" s="2277" t="inlineStr">
        <is>
          <t>https://bouldercounty.gov/property-and-land/land-use/</t>
        </is>
      </c>
      <c r="G317" s="2272" t="inlineStr">
        <is>
          <t>Zoning and land use authority for unincorporated Boulder County</t>
        </is>
      </c>
    </row>
    <row r="318" ht="14" customHeight="1" s="1439">
      <c r="A318" s="2276">
        <f>IF(B318&lt;&gt;$D$3,"◌ Other",IF(C318="REGIONAL / ALL MUNICIPALITIES","Regional",IF(OR(ISNUMBER(SEARCH(LEFT('Property Info'!$B$17,MAX(1,FIND(",",'Property Info'!$B$17&amp;",")-1)),C318)),ISNUMBER(SEARCH('Property Info'!$B$18,C318))),"★ Active","–")))</f>
        <v/>
      </c>
      <c r="B318" s="2276" t="inlineStr">
        <is>
          <t>Boulder County</t>
        </is>
      </c>
      <c r="C318" s="2276" t="inlineStr">
        <is>
          <t>Boulder County (Unincorporated)</t>
        </is>
      </c>
      <c r="D318" s="2276" t="inlineStr">
        <is>
          <t>Zoning / Planning</t>
        </is>
      </c>
      <c r="E318" s="2276" t="inlineStr">
        <is>
          <t>Land Use Code (Online)</t>
        </is>
      </c>
      <c r="F318" s="2277" t="inlineStr">
        <is>
          <t>https://bouldercounty.gov/property-and-land/land-use/land-use-code/</t>
        </is>
      </c>
      <c r="G318" s="2270" t="inlineStr">
        <is>
          <t>Boulder County Land Use Code — full text</t>
        </is>
      </c>
    </row>
    <row r="319" ht="14" customHeight="1" s="1439">
      <c r="A319" s="2278">
        <f>IF(B319&lt;&gt;$D$3,"◌ Other",IF(C319="REGIONAL / ALL MUNICIPALITIES","Regional",IF(OR(ISNUMBER(SEARCH(LEFT('Property Info'!$B$17,MAX(1,FIND(",",'Property Info'!$B$17&amp;",")-1)),C319)),ISNUMBER(SEARCH('Property Info'!$B$18,C319))),"★ Active","–")))</f>
        <v/>
      </c>
      <c r="B319" s="2278" t="inlineStr">
        <is>
          <t>Boulder County</t>
        </is>
      </c>
      <c r="C319" s="2278" t="inlineStr">
        <is>
          <t>Boulder County (Unincorporated)</t>
        </is>
      </c>
      <c r="D319" s="2278" t="inlineStr">
        <is>
          <t>Zoning / Planning</t>
        </is>
      </c>
      <c r="E319" s="2278" t="inlineStr">
        <is>
          <t>Comprehensive Plan</t>
        </is>
      </c>
      <c r="F319" s="2277" t="inlineStr">
        <is>
          <t>https://bouldercounty.gov/property-and-land/land-use/planning/comprehensive-plan/</t>
        </is>
      </c>
      <c r="G319" s="2272" t="inlineStr">
        <is>
          <t>Boulder County Comprehensive Plan</t>
        </is>
      </c>
    </row>
    <row r="320" ht="14" customHeight="1" s="1439">
      <c r="A320" s="2276">
        <f>IF(B320&lt;&gt;$D$3,"◌ Other",IF(C320="REGIONAL / ALL MUNICIPALITIES","Regional",IF(OR(ISNUMBER(SEARCH(LEFT('Property Info'!$B$17,MAX(1,FIND(",",'Property Info'!$B$17&amp;",")-1)),C320)),ISNUMBER(SEARCH('Property Info'!$B$18,C320))),"★ Active","–")))</f>
        <v/>
      </c>
      <c r="B320" s="2276" t="inlineStr">
        <is>
          <t>Boulder County</t>
        </is>
      </c>
      <c r="C320" s="2276" t="inlineStr">
        <is>
          <t>Boulder County (Unincorporated)</t>
        </is>
      </c>
      <c r="D320" s="2276" t="inlineStr">
        <is>
          <t>Flood Zone</t>
        </is>
      </c>
      <c r="E320" s="2276" t="inlineStr">
        <is>
          <t>Floodplain Management</t>
        </is>
      </c>
      <c r="F320" s="2277" t="inlineStr">
        <is>
          <t>https://bouldercounty.gov/transportation/floodplain-management/</t>
        </is>
      </c>
      <c r="G320" s="2270" t="inlineStr">
        <is>
          <t>County floodplain administrator; FEMA flood zone info</t>
        </is>
      </c>
    </row>
    <row r="321" ht="14" customHeight="1" s="1439">
      <c r="A321" s="2278">
        <f>IF(B321&lt;&gt;$D$3,"◌ Other",IF(C321="REGIONAL / ALL MUNICIPALITIES","Regional",IF(OR(ISNUMBER(SEARCH(LEFT('Property Info'!$B$17,MAX(1,FIND(",",'Property Info'!$B$17&amp;",")-1)),C321)),ISNUMBER(SEARCH('Property Info'!$B$18,C321))),"★ Active","–")))</f>
        <v/>
      </c>
      <c r="B321" s="2278" t="inlineStr">
        <is>
          <t>Boulder County</t>
        </is>
      </c>
      <c r="C321" s="2278" t="inlineStr">
        <is>
          <t>Boulder County (Unincorporated)</t>
        </is>
      </c>
      <c r="D321" s="2278" t="inlineStr">
        <is>
          <t>Flood Zone</t>
        </is>
      </c>
      <c r="E321" s="2278" t="inlineStr">
        <is>
          <t>Floodplain Remapping Project</t>
        </is>
      </c>
      <c r="F321" s="2277" t="inlineStr">
        <is>
          <t>https://bouldercounty.gov/transportation/floodplain-mapping/</t>
        </is>
      </c>
      <c r="G321" s="2272" t="inlineStr">
        <is>
          <t>2024 FEMA FIRM update info (effective Oct 24, 2024)</t>
        </is>
      </c>
    </row>
    <row r="322" ht="14" customHeight="1" s="1439">
      <c r="A322" s="2276">
        <f>IF(B322&lt;&gt;$D$3,"◌ Other",IF(C322="REGIONAL / ALL MUNICIPALITIES","Regional",IF(OR(ISNUMBER(SEARCH(LEFT('Property Info'!$B$17,MAX(1,FIND(",",'Property Info'!$B$17&amp;",")-1)),C322)),ISNUMBER(SEARCH('Property Info'!$B$18,C322))),"★ Active","–")))</f>
        <v/>
      </c>
      <c r="B322" s="2276" t="inlineStr">
        <is>
          <t>Boulder County</t>
        </is>
      </c>
      <c r="C322" s="2276" t="inlineStr">
        <is>
          <t>Boulder County (Unincorporated)</t>
        </is>
      </c>
      <c r="D322" s="2276" t="inlineStr">
        <is>
          <t>Flood Zone</t>
        </is>
      </c>
      <c r="E322" s="2276" t="inlineStr">
        <is>
          <t>FEMA Map Service Center</t>
        </is>
      </c>
      <c r="F322" s="2277" t="inlineStr">
        <is>
          <t>https://msc.fema.gov/</t>
        </is>
      </c>
      <c r="G322" s="2270" t="inlineStr">
        <is>
          <t>Address-specific FEMA FIRM lookup</t>
        </is>
      </c>
    </row>
    <row r="323" ht="14" customHeight="1" s="1439">
      <c r="A323" s="2278">
        <f>IF(B323&lt;&gt;$D$3,"◌ Other",IF(C323="REGIONAL / ALL MUNICIPALITIES","Regional",IF(OR(ISNUMBER(SEARCH(LEFT('Property Info'!$B$17,MAX(1,FIND(",",'Property Info'!$B$17&amp;",")-1)),C323)),ISNUMBER(SEARCH('Property Info'!$B$18,C323))),"★ Active","–")))</f>
        <v/>
      </c>
      <c r="B323" s="2278" t="inlineStr">
        <is>
          <t>Boulder County</t>
        </is>
      </c>
      <c r="C323" s="2278" t="inlineStr">
        <is>
          <t>Boulder County (Unincorporated)</t>
        </is>
      </c>
      <c r="D323" s="2278" t="inlineStr">
        <is>
          <t>Economic Development</t>
        </is>
      </c>
      <c r="E323" s="2278" t="inlineStr">
        <is>
          <t>Business &amp; Economy</t>
        </is>
      </c>
      <c r="F323" s="2277" t="inlineStr">
        <is>
          <t>https://bouldercounty.gov/business/</t>
        </is>
      </c>
      <c r="G323" s="2272" t="inlineStr">
        <is>
          <t>Boulder County business resources</t>
        </is>
      </c>
    </row>
    <row r="324" ht="14" customHeight="1" s="1439">
      <c r="A324" s="2276">
        <f>IF(B324&lt;&gt;$D$3,"◌ Other",IF(C324="REGIONAL / ALL MUNICIPALITIES","Regional",IF(OR(ISNUMBER(SEARCH(LEFT('Property Info'!$B$17,MAX(1,FIND(",",'Property Info'!$B$17&amp;",")-1)),C324)),ISNUMBER(SEARCH('Property Info'!$B$18,C324))),"★ Active","–")))</f>
        <v/>
      </c>
      <c r="B324" s="2276" t="inlineStr">
        <is>
          <t>Boulder County</t>
        </is>
      </c>
      <c r="C324" s="2276" t="inlineStr">
        <is>
          <t>Boulder County (Unincorporated)</t>
        </is>
      </c>
      <c r="D324" s="2276" t="inlineStr">
        <is>
          <t>Economic Development</t>
        </is>
      </c>
      <c r="E324" s="2276" t="inlineStr">
        <is>
          <t>Boulder Economic Council</t>
        </is>
      </c>
      <c r="F324" s="2277" t="inlineStr">
        <is>
          <t>https://bouldereconomiccouncil.org/</t>
        </is>
      </c>
      <c r="G324" s="2270" t="inlineStr">
        <is>
          <t>Regional economic development organization</t>
        </is>
      </c>
    </row>
    <row r="325" ht="14" customHeight="1" s="1439">
      <c r="A325" s="2278">
        <f>IF(B325&lt;&gt;$D$3,"◌ Other",IF(C325="REGIONAL / ALL MUNICIPALITIES","Regional",IF(OR(ISNUMBER(SEARCH(LEFT('Property Info'!$B$17,MAX(1,FIND(",",'Property Info'!$B$17&amp;",")-1)),C325)),ISNUMBER(SEARCH('Property Info'!$B$18,C325))),"★ Active","–")))</f>
        <v/>
      </c>
      <c r="B325" s="2278" t="inlineStr">
        <is>
          <t>Boulder County</t>
        </is>
      </c>
      <c r="C325" s="2278" t="inlineStr">
        <is>
          <t>Boulder County (Unincorporated)</t>
        </is>
      </c>
      <c r="D325" s="2278" t="inlineStr">
        <is>
          <t>School Districts</t>
        </is>
      </c>
      <c r="E325" s="2278" t="inlineStr">
        <is>
          <t>Boulder Valley School District (BVSD)</t>
        </is>
      </c>
      <c r="F325" s="2277" t="inlineStr">
        <is>
          <t>https://www.bvsd.org/</t>
        </is>
      </c>
      <c r="G325" s="2272" t="inlineStr">
        <is>
          <t>Serves Boulder, Louisville, Lafayette, Superior, Erie (Boulder Co. portion)</t>
        </is>
      </c>
    </row>
    <row r="326" ht="14" customHeight="1" s="1439">
      <c r="A326" s="2276">
        <f>IF(B326&lt;&gt;$D$3,"◌ Other",IF(C326="REGIONAL / ALL MUNICIPALITIES","Regional",IF(OR(ISNUMBER(SEARCH(LEFT('Property Info'!$B$17,MAX(1,FIND(",",'Property Info'!$B$17&amp;",")-1)),C326)),ISNUMBER(SEARCH('Property Info'!$B$18,C326))),"★ Active","–")))</f>
        <v/>
      </c>
      <c r="B326" s="2276" t="inlineStr">
        <is>
          <t>Boulder County</t>
        </is>
      </c>
      <c r="C326" s="2276" t="inlineStr">
        <is>
          <t>Boulder County (Unincorporated)</t>
        </is>
      </c>
      <c r="D326" s="2276" t="inlineStr">
        <is>
          <t>School Districts</t>
        </is>
      </c>
      <c r="E326" s="2276" t="inlineStr">
        <is>
          <t>St. Vrain Valley School District</t>
        </is>
      </c>
      <c r="F326" s="2277" t="inlineStr">
        <is>
          <t>https://www.svvsd.org/</t>
        </is>
      </c>
      <c r="G326" s="2270" t="inlineStr">
        <is>
          <t>Serves Longmont and surrounding areas</t>
        </is>
      </c>
    </row>
    <row r="327" ht="14" customHeight="1" s="1439">
      <c r="A327" s="2278">
        <f>IF(B327&lt;&gt;$D$3,"◌ Other",IF(C327="REGIONAL / ALL MUNICIPALITIES","Regional",IF(OR(ISNUMBER(SEARCH(LEFT('Property Info'!$B$17,MAX(1,FIND(",",'Property Info'!$B$17&amp;",")-1)),C327)),ISNUMBER(SEARCH('Property Info'!$B$18,C327))),"★ Active","–")))</f>
        <v/>
      </c>
      <c r="B327" s="2278" t="inlineStr">
        <is>
          <t>Boulder County</t>
        </is>
      </c>
      <c r="C327" s="2278" t="inlineStr">
        <is>
          <t>Boulder (City)</t>
        </is>
      </c>
      <c r="D327" s="2278" t="inlineStr">
        <is>
          <t>Property Assessment</t>
        </is>
      </c>
      <c r="E327" s="2278" t="inlineStr">
        <is>
          <t>County Assessor Property Search</t>
        </is>
      </c>
      <c r="F327" s="2277" t="inlineStr">
        <is>
          <t>https://maps.bouldercounty.org/boco/PropertySearch/</t>
        </is>
      </c>
      <c r="G327" s="2272" t="inlineStr">
        <is>
          <t>Boulder County handles assessment for all city parcels</t>
        </is>
      </c>
    </row>
    <row r="328" ht="14" customHeight="1" s="1439">
      <c r="A328" s="2276">
        <f>IF(B328&lt;&gt;$D$3,"◌ Other",IF(C328="REGIONAL / ALL MUNICIPALITIES","Regional",IF(OR(ISNUMBER(SEARCH(LEFT('Property Info'!$B$17,MAX(1,FIND(",",'Property Info'!$B$17&amp;",")-1)),C328)),ISNUMBER(SEARCH('Property Info'!$B$18,C328))),"★ Active","–")))</f>
        <v/>
      </c>
      <c r="B328" s="2276" t="inlineStr">
        <is>
          <t>Boulder County</t>
        </is>
      </c>
      <c r="C328" s="2276" t="inlineStr">
        <is>
          <t>Boulder (City)</t>
        </is>
      </c>
      <c r="D328" s="2276" t="inlineStr">
        <is>
          <t>Property Tax / Treasurer</t>
        </is>
      </c>
      <c r="E328" s="2276" t="inlineStr">
        <is>
          <t>Boulder County Treasurer (Tax Payment)</t>
        </is>
      </c>
      <c r="F328" s="2277" t="inlineStr">
        <is>
          <t>https://treasurer.bouldercounty.org/treasurer/web/</t>
        </is>
      </c>
      <c r="G328" s="2270" t="inlineStr">
        <is>
          <t>Tax payment and account lookup for city parcels</t>
        </is>
      </c>
    </row>
    <row r="329" ht="14" customHeight="1" s="1439">
      <c r="A329" s="2278">
        <f>IF(B329&lt;&gt;$D$3,"◌ Other",IF(C329="REGIONAL / ALL MUNICIPALITIES","Regional",IF(OR(ISNUMBER(SEARCH(LEFT('Property Info'!$B$17,MAX(1,FIND(",",'Property Info'!$B$17&amp;",")-1)),C329)),ISNUMBER(SEARCH('Property Info'!$B$18,C329))),"★ Active","–")))</f>
        <v/>
      </c>
      <c r="B329" s="2278" t="inlineStr">
        <is>
          <t>Boulder County</t>
        </is>
      </c>
      <c r="C329" s="2278" t="inlineStr">
        <is>
          <t>Boulder (City)</t>
        </is>
      </c>
      <c r="D329" s="2278" t="inlineStr">
        <is>
          <t>Deed / Title Records</t>
        </is>
      </c>
      <c r="E329" s="2278" t="inlineStr">
        <is>
          <t>Official Record Search (PublicSearch)</t>
        </is>
      </c>
      <c r="F329" s="2277" t="inlineStr">
        <is>
          <t>https://boulder.co.publicsearch.us/</t>
        </is>
      </c>
      <c r="G329" s="2272" t="inlineStr">
        <is>
          <t>Boulder County Clerk &amp; Recorder deed search</t>
        </is>
      </c>
    </row>
    <row r="330" ht="14" customHeight="1" s="1439">
      <c r="A330" s="2276">
        <f>IF(B330&lt;&gt;$D$3,"◌ Other",IF(C330="REGIONAL / ALL MUNICIPALITIES","Regional",IF(OR(ISNUMBER(SEARCH(LEFT('Property Info'!$B$17,MAX(1,FIND(",",'Property Info'!$B$17&amp;",")-1)),C330)),ISNUMBER(SEARCH('Property Info'!$B$18,C330))),"★ Active","–")))</f>
        <v/>
      </c>
      <c r="B330" s="2276" t="inlineStr">
        <is>
          <t>Boulder County</t>
        </is>
      </c>
      <c r="C330" s="2276" t="inlineStr">
        <is>
          <t>Boulder (City)</t>
        </is>
      </c>
      <c r="D330" s="2276" t="inlineStr">
        <is>
          <t>GIS / Mapping</t>
        </is>
      </c>
      <c r="E330" s="2276" t="inlineStr">
        <is>
          <t>Maps Portal</t>
        </is>
      </c>
      <c r="F330" s="2277" t="inlineStr">
        <is>
          <t>https://bouldercolorado.gov/maps</t>
        </is>
      </c>
      <c r="G330" s="2270" t="inlineStr">
        <is>
          <t>All City of Boulder map portals</t>
        </is>
      </c>
    </row>
    <row r="331" ht="14" customHeight="1" s="1439">
      <c r="A331" s="2278">
        <f>IF(B331&lt;&gt;$D$3,"◌ Other",IF(C331="REGIONAL / ALL MUNICIPALITIES","Regional",IF(OR(ISNUMBER(SEARCH(LEFT('Property Info'!$B$17,MAX(1,FIND(",",'Property Info'!$B$17&amp;",")-1)),C331)),ISNUMBER(SEARCH('Property Info'!$B$18,C331))),"★ Active","–")))</f>
        <v/>
      </c>
      <c r="B331" s="2278" t="inlineStr">
        <is>
          <t>Boulder County</t>
        </is>
      </c>
      <c r="C331" s="2278" t="inlineStr">
        <is>
          <t>Boulder (City)</t>
        </is>
      </c>
      <c r="D331" s="2278" t="inlineStr">
        <is>
          <t>GIS / Mapping</t>
        </is>
      </c>
      <c r="E331" s="2278" t="inlineStr">
        <is>
          <t>eMapLink (Parcel Map)</t>
        </is>
      </c>
      <c r="F331" s="2277" t="inlineStr">
        <is>
          <t>https://bouldercolorado.gov/emaplink</t>
        </is>
      </c>
      <c r="G331" s="2272" t="inlineStr">
        <is>
          <t>Interactive city parcel map — click parcel for full property report</t>
        </is>
      </c>
    </row>
    <row r="332" ht="14" customHeight="1" s="1439">
      <c r="A332" s="2276">
        <f>IF(B332&lt;&gt;$D$3,"◌ Other",IF(C332="REGIONAL / ALL MUNICIPALITIES","Regional",IF(OR(ISNUMBER(SEARCH(LEFT('Property Info'!$B$17,MAX(1,FIND(",",'Property Info'!$B$17&amp;",")-1)),C332)),ISNUMBER(SEARCH('Property Info'!$B$18,C332))),"★ Active","–")))</f>
        <v/>
      </c>
      <c r="B332" s="2276" t="inlineStr">
        <is>
          <t>Boulder County</t>
        </is>
      </c>
      <c r="C332" s="2276" t="inlineStr">
        <is>
          <t>Boulder (City)</t>
        </is>
      </c>
      <c r="D332" s="2276" t="inlineStr">
        <is>
          <t>GIS / Mapping</t>
        </is>
      </c>
      <c r="E332" s="2276" t="inlineStr">
        <is>
          <t>Property Information</t>
        </is>
      </c>
      <c r="F332" s="2277" t="inlineStr">
        <is>
          <t>https://bouldercolorado.gov/services/property-information</t>
        </is>
      </c>
      <c r="G332" s="2270" t="inlineStr">
        <is>
          <t>City property info lookup</t>
        </is>
      </c>
    </row>
    <row r="333" ht="14" customHeight="1" s="1439">
      <c r="A333" s="2278">
        <f>IF(B333&lt;&gt;$D$3,"◌ Other",IF(C333="REGIONAL / ALL MUNICIPALITIES","Regional",IF(OR(ISNUMBER(SEARCH(LEFT('Property Info'!$B$17,MAX(1,FIND(",",'Property Info'!$B$17&amp;",")-1)),C333)),ISNUMBER(SEARCH('Property Info'!$B$18,C333))),"★ Active","–")))</f>
        <v/>
      </c>
      <c r="B333" s="2278" t="inlineStr">
        <is>
          <t>Boulder County</t>
        </is>
      </c>
      <c r="C333" s="2278" t="inlineStr">
        <is>
          <t>Boulder (City)</t>
        </is>
      </c>
      <c r="D333" s="2278" t="inlineStr">
        <is>
          <t>Permits</t>
        </is>
      </c>
      <c r="E333" s="2278" t="inlineStr">
        <is>
          <t>Building Permits &amp; Inspections</t>
        </is>
      </c>
      <c r="F333" s="2277" t="inlineStr">
        <is>
          <t>https://bouldercolorado.gov/services/building-permits-and-inspections</t>
        </is>
      </c>
      <c r="G333" s="2272" t="inlineStr">
        <is>
          <t>City of Boulder building permit applications and tracking</t>
        </is>
      </c>
    </row>
    <row r="334" ht="14" customHeight="1" s="1439">
      <c r="A334" s="2276">
        <f>IF(B334&lt;&gt;$D$3,"◌ Other",IF(C334="REGIONAL / ALL MUNICIPALITIES","Regional",IF(OR(ISNUMBER(SEARCH(LEFT('Property Info'!$B$17,MAX(1,FIND(",",'Property Info'!$B$17&amp;",")-1)),C334)),ISNUMBER(SEARCH('Property Info'!$B$18,C334))),"★ Active","–")))</f>
        <v/>
      </c>
      <c r="B334" s="2276" t="inlineStr">
        <is>
          <t>Boulder County</t>
        </is>
      </c>
      <c r="C334" s="2276" t="inlineStr">
        <is>
          <t>Boulder (City)</t>
        </is>
      </c>
      <c r="D334" s="2276" t="inlineStr">
        <is>
          <t>Permits</t>
        </is>
      </c>
      <c r="E334" s="2276" t="inlineStr">
        <is>
          <t>Application Guides &amp; Forms</t>
        </is>
      </c>
      <c r="F334" s="2277" t="inlineStr">
        <is>
          <t>https://bouldercolorado.gov/plan-develop-applications-and-forms</t>
        </is>
      </c>
      <c r="G334" s="2270" t="inlineStr">
        <is>
          <t>Permit application forms and instructions</t>
        </is>
      </c>
    </row>
    <row r="335" ht="14" customHeight="1" s="1439">
      <c r="A335" s="2278">
        <f>IF(B335&lt;&gt;$D$3,"◌ Other",IF(C335="REGIONAL / ALL MUNICIPALITIES","Regional",IF(OR(ISNUMBER(SEARCH(LEFT('Property Info'!$B$17,MAX(1,FIND(",",'Property Info'!$B$17&amp;",")-1)),C335)),ISNUMBER(SEARCH('Property Info'!$B$18,C335))),"★ Active","–")))</f>
        <v/>
      </c>
      <c r="B335" s="2278" t="inlineStr">
        <is>
          <t>Boulder County</t>
        </is>
      </c>
      <c r="C335" s="2278" t="inlineStr">
        <is>
          <t>Boulder (City)</t>
        </is>
      </c>
      <c r="D335" s="2278" t="inlineStr">
        <is>
          <t>Permits</t>
        </is>
      </c>
      <c r="E335" s="2278" t="inlineStr">
        <is>
          <t>Planning &amp; Development Services</t>
        </is>
      </c>
      <c r="F335" s="2277" t="inlineStr">
        <is>
          <t>https://bouldercolorado.gov/government/departments/planning-development-services</t>
        </is>
      </c>
      <c r="G335" s="2272" t="inlineStr">
        <is>
          <t>Main planning and development department</t>
        </is>
      </c>
    </row>
    <row r="336" ht="14" customHeight="1" s="1439">
      <c r="A336" s="2276">
        <f>IF(B336&lt;&gt;$D$3,"◌ Other",IF(C336="REGIONAL / ALL MUNICIPALITIES","Regional",IF(OR(ISNUMBER(SEARCH(LEFT('Property Info'!$B$17,MAX(1,FIND(",",'Property Info'!$B$17&amp;",")-1)),C336)),ISNUMBER(SEARCH('Property Info'!$B$18,C336))),"★ Active","–")))</f>
        <v/>
      </c>
      <c r="B336" s="2276" t="inlineStr">
        <is>
          <t>Boulder County</t>
        </is>
      </c>
      <c r="C336" s="2276" t="inlineStr">
        <is>
          <t>Boulder (City)</t>
        </is>
      </c>
      <c r="D336" s="2276" t="inlineStr">
        <is>
          <t>Zoning / Planning</t>
        </is>
      </c>
      <c r="E336" s="2276" t="inlineStr">
        <is>
          <t>Zoning</t>
        </is>
      </c>
      <c r="F336" s="2277" t="inlineStr">
        <is>
          <t>https://bouldercolorado.gov/services/zoning</t>
        </is>
      </c>
      <c r="G336" s="2270" t="inlineStr">
        <is>
          <t>Zoning district lookup and regulations</t>
        </is>
      </c>
    </row>
    <row r="337" ht="14" customHeight="1" s="1439">
      <c r="A337" s="2278">
        <f>IF(B337&lt;&gt;$D$3,"◌ Other",IF(C337="REGIONAL / ALL MUNICIPALITIES","Regional",IF(OR(ISNUMBER(SEARCH(LEFT('Property Info'!$B$17,MAX(1,FIND(",",'Property Info'!$B$17&amp;",")-1)),C337)),ISNUMBER(SEARCH('Property Info'!$B$18,C337))),"★ Active","–")))</f>
        <v/>
      </c>
      <c r="B337" s="2278" t="inlineStr">
        <is>
          <t>Boulder County</t>
        </is>
      </c>
      <c r="C337" s="2278" t="inlineStr">
        <is>
          <t>Boulder (City)</t>
        </is>
      </c>
      <c r="D337" s="2278" t="inlineStr">
        <is>
          <t>Flood Zone</t>
        </is>
      </c>
      <c r="E337" s="2278" t="inlineStr">
        <is>
          <t>FEMA Map Service Center</t>
        </is>
      </c>
      <c r="F337" s="2277" t="inlineStr">
        <is>
          <t>https://msc.fema.gov/</t>
        </is>
      </c>
      <c r="G337" s="2272" t="inlineStr">
        <is>
          <t>Address-specific FEMA FIRM lookup</t>
        </is>
      </c>
    </row>
    <row r="338" ht="14" customHeight="1" s="1439">
      <c r="A338" s="2276">
        <f>IF(B338&lt;&gt;$D$3,"◌ Other",IF(C338="REGIONAL / ALL MUNICIPALITIES","Regional",IF(OR(ISNUMBER(SEARCH(LEFT('Property Info'!$B$17,MAX(1,FIND(",",'Property Info'!$B$17&amp;",")-1)),C338)),ISNUMBER(SEARCH('Property Info'!$B$18,C338))),"★ Active","–")))</f>
        <v/>
      </c>
      <c r="B338" s="2276" t="inlineStr">
        <is>
          <t>Boulder County</t>
        </is>
      </c>
      <c r="C338" s="2276" t="inlineStr">
        <is>
          <t>Boulder (City)</t>
        </is>
      </c>
      <c r="D338" s="2276" t="inlineStr">
        <is>
          <t>Flood Zone</t>
        </is>
      </c>
      <c r="E338" s="2276" t="inlineStr">
        <is>
          <t>County Floodplain Management</t>
        </is>
      </c>
      <c r="F338" s="2277" t="inlineStr">
        <is>
          <t>https://bouldercounty.gov/transportation/floodplain-management/</t>
        </is>
      </c>
      <c r="G338" s="2270" t="inlineStr">
        <is>
          <t>Boulder County floodplain resources</t>
        </is>
      </c>
    </row>
    <row r="339" ht="14" customHeight="1" s="1439">
      <c r="A339" s="2278">
        <f>IF(B339&lt;&gt;$D$3,"◌ Other",IF(C339="REGIONAL / ALL MUNICIPALITIES","Regional",IF(OR(ISNUMBER(SEARCH(LEFT('Property Info'!$B$17,MAX(1,FIND(",",'Property Info'!$B$17&amp;",")-1)),C339)),ISNUMBER(SEARCH('Property Info'!$B$18,C339))),"★ Active","–")))</f>
        <v/>
      </c>
      <c r="B339" s="2278" t="inlineStr">
        <is>
          <t>Boulder County</t>
        </is>
      </c>
      <c r="C339" s="2278" t="inlineStr">
        <is>
          <t>Boulder (City)</t>
        </is>
      </c>
      <c r="D339" s="2278" t="inlineStr">
        <is>
          <t>Economic Development</t>
        </is>
      </c>
      <c r="E339" s="2278" t="inlineStr">
        <is>
          <t>Economic Vitality Program</t>
        </is>
      </c>
      <c r="F339" s="2277" t="inlineStr">
        <is>
          <t>https://bouldercolorado.gov/government/departments/economic-vitality</t>
        </is>
      </c>
      <c r="G339" s="2272" t="inlineStr">
        <is>
          <t>City economic vitality and business support</t>
        </is>
      </c>
    </row>
    <row r="340" ht="14" customHeight="1" s="1439">
      <c r="A340" s="2276">
        <f>IF(B340&lt;&gt;$D$3,"◌ Other",IF(C340="REGIONAL / ALL MUNICIPALITIES","Regional",IF(OR(ISNUMBER(SEARCH(LEFT('Property Info'!$B$17,MAX(1,FIND(",",'Property Info'!$B$17&amp;",")-1)),C340)),ISNUMBER(SEARCH('Property Info'!$B$18,C340))),"★ Active","–")))</f>
        <v/>
      </c>
      <c r="B340" s="2276" t="inlineStr">
        <is>
          <t>Boulder County</t>
        </is>
      </c>
      <c r="C340" s="2276" t="inlineStr">
        <is>
          <t>Boulder (City)</t>
        </is>
      </c>
      <c r="D340" s="2276" t="inlineStr">
        <is>
          <t>School Districts</t>
        </is>
      </c>
      <c r="E340" s="2276" t="inlineStr">
        <is>
          <t>Boulder Valley School District</t>
        </is>
      </c>
      <c r="F340" s="2277" t="inlineStr">
        <is>
          <t>https://www.bvsd.org/</t>
        </is>
      </c>
      <c r="G340" s="2270" t="inlineStr">
        <is>
          <t>Primary school district for the City of Boulder</t>
        </is>
      </c>
    </row>
    <row r="341" ht="14" customHeight="1" s="1439">
      <c r="A341" s="2278">
        <f>IF(B341&lt;&gt;$D$3,"◌ Other",IF(C341="REGIONAL / ALL MUNICIPALITIES","Regional",IF(OR(ISNUMBER(SEARCH(LEFT('Property Info'!$B$17,MAX(1,FIND(",",'Property Info'!$B$17&amp;",")-1)),C341)),ISNUMBER(SEARCH('Property Info'!$B$18,C341))),"★ Active","–")))</f>
        <v/>
      </c>
      <c r="B341" s="2278" t="inlineStr">
        <is>
          <t>Boulder County</t>
        </is>
      </c>
      <c r="C341" s="2278" t="inlineStr">
        <is>
          <t>Longmont</t>
        </is>
      </c>
      <c r="D341" s="2278" t="inlineStr">
        <is>
          <t>Property Assessment</t>
        </is>
      </c>
      <c r="E341" s="2278" t="inlineStr">
        <is>
          <t>County Assessor Property Search</t>
        </is>
      </c>
      <c r="F341" s="2277" t="inlineStr">
        <is>
          <t>https://maps.bouldercounty.org/boco/PropertySearch/</t>
        </is>
      </c>
      <c r="G341" s="2272" t="inlineStr">
        <is>
          <t>Boulder County handles assessment for Longmont parcels</t>
        </is>
      </c>
    </row>
    <row r="342" ht="14" customHeight="1" s="1439">
      <c r="A342" s="2276">
        <f>IF(B342&lt;&gt;$D$3,"◌ Other",IF(C342="REGIONAL / ALL MUNICIPALITIES","Regional",IF(OR(ISNUMBER(SEARCH(LEFT('Property Info'!$B$17,MAX(1,FIND(",",'Property Info'!$B$17&amp;",")-1)),C342)),ISNUMBER(SEARCH('Property Info'!$B$18,C342))),"★ Active","–")))</f>
        <v/>
      </c>
      <c r="B342" s="2276" t="inlineStr">
        <is>
          <t>Boulder County</t>
        </is>
      </c>
      <c r="C342" s="2276" t="inlineStr">
        <is>
          <t>Longmont</t>
        </is>
      </c>
      <c r="D342" s="2276" t="inlineStr">
        <is>
          <t>Property Tax / Treasurer</t>
        </is>
      </c>
      <c r="E342" s="2276" t="inlineStr">
        <is>
          <t>Boulder County Treasurer (Tax Payment)</t>
        </is>
      </c>
      <c r="F342" s="2277" t="inlineStr">
        <is>
          <t>https://treasurer.bouldercounty.org/treasurer/web/</t>
        </is>
      </c>
      <c r="G342" s="2270" t="inlineStr">
        <is>
          <t>Tax payment and lookup</t>
        </is>
      </c>
    </row>
    <row r="343" ht="14" customHeight="1" s="1439">
      <c r="A343" s="2278">
        <f>IF(B343&lt;&gt;$D$3,"◌ Other",IF(C343="REGIONAL / ALL MUNICIPALITIES","Regional",IF(OR(ISNUMBER(SEARCH(LEFT('Property Info'!$B$17,MAX(1,FIND(",",'Property Info'!$B$17&amp;",")-1)),C343)),ISNUMBER(SEARCH('Property Info'!$B$18,C343))),"★ Active","–")))</f>
        <v/>
      </c>
      <c r="B343" s="2278" t="inlineStr">
        <is>
          <t>Boulder County</t>
        </is>
      </c>
      <c r="C343" s="2278" t="inlineStr">
        <is>
          <t>Longmont</t>
        </is>
      </c>
      <c r="D343" s="2278" t="inlineStr">
        <is>
          <t>Deed / Title Records</t>
        </is>
      </c>
      <c r="E343" s="2278" t="inlineStr">
        <is>
          <t>Official Record Search (PublicSearch)</t>
        </is>
      </c>
      <c r="F343" s="2277" t="inlineStr">
        <is>
          <t>https://boulder.co.publicsearch.us/</t>
        </is>
      </c>
      <c r="G343" s="2272" t="inlineStr">
        <is>
          <t>Boulder County deed/title records</t>
        </is>
      </c>
    </row>
    <row r="344" ht="14" customHeight="1" s="1439">
      <c r="A344" s="2276">
        <f>IF(B344&lt;&gt;$D$3,"◌ Other",IF(C344="REGIONAL / ALL MUNICIPALITIES","Regional",IF(OR(ISNUMBER(SEARCH(LEFT('Property Info'!$B$17,MAX(1,FIND(",",'Property Info'!$B$17&amp;",")-1)),C344)),ISNUMBER(SEARCH('Property Info'!$B$18,C344))),"★ Active","–")))</f>
        <v/>
      </c>
      <c r="B344" s="2276" t="inlineStr">
        <is>
          <t>Boulder County</t>
        </is>
      </c>
      <c r="C344" s="2276" t="inlineStr">
        <is>
          <t>Longmont</t>
        </is>
      </c>
      <c r="D344" s="2276" t="inlineStr">
        <is>
          <t>GIS / Mapping</t>
        </is>
      </c>
      <c r="E344" s="2276" t="inlineStr">
        <is>
          <t>Maps and GIS</t>
        </is>
      </c>
      <c r="F344" s="2277" t="inlineStr">
        <is>
          <t>https://www.longmontcolorado.gov/online-services/maps-and-gis</t>
        </is>
      </c>
      <c r="G344" s="2270" t="inlineStr">
        <is>
          <t>Longmont GIS maps and ArcGIS Online viewer</t>
        </is>
      </c>
    </row>
    <row r="345" ht="14" customHeight="1" s="1439">
      <c r="A345" s="2278">
        <f>IF(B345&lt;&gt;$D$3,"◌ Other",IF(C345="REGIONAL / ALL MUNICIPALITIES","Regional",IF(OR(ISNUMBER(SEARCH(LEFT('Property Info'!$B$17,MAX(1,FIND(",",'Property Info'!$B$17&amp;",")-1)),C345)),ISNUMBER(SEARCH('Property Info'!$B$18,C345))),"★ Active","–")))</f>
        <v/>
      </c>
      <c r="B345" s="2278" t="inlineStr">
        <is>
          <t>Boulder County</t>
        </is>
      </c>
      <c r="C345" s="2278" t="inlineStr">
        <is>
          <t>Longmont</t>
        </is>
      </c>
      <c r="D345" s="2278" t="inlineStr">
        <is>
          <t>Permits</t>
        </is>
      </c>
      <c r="E345" s="2278" t="inlineStr">
        <is>
          <t>Building Inspection</t>
        </is>
      </c>
      <c r="F345" s="2277" t="inlineStr">
        <is>
          <t>https://longmontcolorado.gov/building/</t>
        </is>
      </c>
      <c r="G345" s="2272" t="inlineStr">
        <is>
          <t>Building permits, inspections, and contractor info</t>
        </is>
      </c>
    </row>
    <row r="346" ht="14" customHeight="1" s="1439">
      <c r="A346" s="2276">
        <f>IF(B346&lt;&gt;$D$3,"◌ Other",IF(C346="REGIONAL / ALL MUNICIPALITIES","Regional",IF(OR(ISNUMBER(SEARCH(LEFT('Property Info'!$B$17,MAX(1,FIND(",",'Property Info'!$B$17&amp;",")-1)),C346)),ISNUMBER(SEARCH('Property Info'!$B$18,C346))),"★ Active","–")))</f>
        <v/>
      </c>
      <c r="B346" s="2276" t="inlineStr">
        <is>
          <t>Boulder County</t>
        </is>
      </c>
      <c r="C346" s="2276" t="inlineStr">
        <is>
          <t>Longmont</t>
        </is>
      </c>
      <c r="D346" s="2276" t="inlineStr">
        <is>
          <t>Permits</t>
        </is>
      </c>
      <c r="E346" s="2276" t="inlineStr">
        <is>
          <t>Development Applications &amp; Permits</t>
        </is>
      </c>
      <c r="F346" s="2277" t="inlineStr">
        <is>
          <t>https://www.longmontcolorado.gov/departments/departments-n-z/planning-and-development-services/development-applications-and-permits</t>
        </is>
      </c>
      <c r="G346" s="2270" t="inlineStr">
        <is>
          <t>Online permit applications</t>
        </is>
      </c>
    </row>
    <row r="347" ht="14" customHeight="1" s="1439">
      <c r="A347" s="2278">
        <f>IF(B347&lt;&gt;$D$3,"◌ Other",IF(C347="REGIONAL / ALL MUNICIPALITIES","Regional",IF(OR(ISNUMBER(SEARCH(LEFT('Property Info'!$B$17,MAX(1,FIND(",",'Property Info'!$B$17&amp;",")-1)),C347)),ISNUMBER(SEARCH('Property Info'!$B$18,C347))),"★ Active","–")))</f>
        <v/>
      </c>
      <c r="B347" s="2278" t="inlineStr">
        <is>
          <t>Boulder County</t>
        </is>
      </c>
      <c r="C347" s="2278" t="inlineStr">
        <is>
          <t>Longmont</t>
        </is>
      </c>
      <c r="D347" s="2278" t="inlineStr">
        <is>
          <t>Zoning / Planning</t>
        </is>
      </c>
      <c r="E347" s="2278" t="inlineStr">
        <is>
          <t>Planning Services</t>
        </is>
      </c>
      <c r="F347" s="2277" t="inlineStr">
        <is>
          <t>https://www.longmontcolorado.gov/departments/departments-n-z/planning-and-development-services/planning-services</t>
        </is>
      </c>
      <c r="G347" s="2272" t="inlineStr">
        <is>
          <t>Planning department</t>
        </is>
      </c>
    </row>
    <row r="348" ht="14" customHeight="1" s="1439">
      <c r="A348" s="2276">
        <f>IF(B348&lt;&gt;$D$3,"◌ Other",IF(C348="REGIONAL / ALL MUNICIPALITIES","Regional",IF(OR(ISNUMBER(SEARCH(LEFT('Property Info'!$B$17,MAX(1,FIND(",",'Property Info'!$B$17&amp;",")-1)),C348)),ISNUMBER(SEARCH('Property Info'!$B$18,C348))),"★ Active","–")))</f>
        <v/>
      </c>
      <c r="B348" s="2276" t="inlineStr">
        <is>
          <t>Boulder County</t>
        </is>
      </c>
      <c r="C348" s="2276" t="inlineStr">
        <is>
          <t>Longmont</t>
        </is>
      </c>
      <c r="D348" s="2276" t="inlineStr">
        <is>
          <t>Zoning / Planning</t>
        </is>
      </c>
      <c r="E348" s="2276" t="inlineStr">
        <is>
          <t>Land Development Code</t>
        </is>
      </c>
      <c r="F348" s="2277" t="inlineStr">
        <is>
          <t>https://www.longmontcolorado.gov/departments/departments-n-z/planning-and-development-services/development-process/land-development-code</t>
        </is>
      </c>
      <c r="G348" s="2270" t="inlineStr">
        <is>
          <t>Longmont Land Development Code</t>
        </is>
      </c>
    </row>
    <row r="349" ht="14" customHeight="1" s="1439">
      <c r="A349" s="2278">
        <f>IF(B349&lt;&gt;$D$3,"◌ Other",IF(C349="REGIONAL / ALL MUNICIPALITIES","Regional",IF(OR(ISNUMBER(SEARCH(LEFT('Property Info'!$B$17,MAX(1,FIND(",",'Property Info'!$B$17&amp;",")-1)),C349)),ISNUMBER(SEARCH('Property Info'!$B$18,C349))),"★ Active","–")))</f>
        <v/>
      </c>
      <c r="B349" s="2278" t="inlineStr">
        <is>
          <t>Boulder County</t>
        </is>
      </c>
      <c r="C349" s="2278" t="inlineStr">
        <is>
          <t>Longmont</t>
        </is>
      </c>
      <c r="D349" s="2278" t="inlineStr">
        <is>
          <t>Flood Zone</t>
        </is>
      </c>
      <c r="E349" s="2278" t="inlineStr">
        <is>
          <t>FEMA Map Service Center</t>
        </is>
      </c>
      <c r="F349" s="2277" t="inlineStr">
        <is>
          <t>https://msc.fema.gov/</t>
        </is>
      </c>
      <c r="G349" s="2272" t="inlineStr">
        <is>
          <t>Address-specific FEMA FIRM lookup</t>
        </is>
      </c>
    </row>
    <row r="350" ht="14" customHeight="1" s="1439">
      <c r="A350" s="2276">
        <f>IF(B350&lt;&gt;$D$3,"◌ Other",IF(C350="REGIONAL / ALL MUNICIPALITIES","Regional",IF(OR(ISNUMBER(SEARCH(LEFT('Property Info'!$B$17,MAX(1,FIND(",",'Property Info'!$B$17&amp;",")-1)),C350)),ISNUMBER(SEARCH('Property Info'!$B$18,C350))),"★ Active","–")))</f>
        <v/>
      </c>
      <c r="B350" s="2276" t="inlineStr">
        <is>
          <t>Boulder County</t>
        </is>
      </c>
      <c r="C350" s="2276" t="inlineStr">
        <is>
          <t>Longmont</t>
        </is>
      </c>
      <c r="D350" s="2276" t="inlineStr">
        <is>
          <t>School Districts</t>
        </is>
      </c>
      <c r="E350" s="2276" t="inlineStr">
        <is>
          <t>St. Vrain Valley School District</t>
        </is>
      </c>
      <c r="F350" s="2277" t="inlineStr">
        <is>
          <t>https://www.svvsd.org/</t>
        </is>
      </c>
      <c r="G350" s="2270" t="inlineStr">
        <is>
          <t>Primary school district for Longmont</t>
        </is>
      </c>
    </row>
    <row r="351" ht="14" customHeight="1" s="1439">
      <c r="A351" s="2278">
        <f>IF(B351&lt;&gt;$D$3,"◌ Other",IF(C351="REGIONAL / ALL MUNICIPALITIES","Regional",IF(OR(ISNUMBER(SEARCH(LEFT('Property Info'!$B$17,MAX(1,FIND(",",'Property Info'!$B$17&amp;",")-1)),C351)),ISNUMBER(SEARCH('Property Info'!$B$18,C351))),"★ Active","–")))</f>
        <v/>
      </c>
      <c r="B351" s="2278" t="inlineStr">
        <is>
          <t>Boulder County</t>
        </is>
      </c>
      <c r="C351" s="2278" t="inlineStr">
        <is>
          <t>Lafayette</t>
        </is>
      </c>
      <c r="D351" s="2278" t="inlineStr">
        <is>
          <t>Property Assessment</t>
        </is>
      </c>
      <c r="E351" s="2278" t="inlineStr">
        <is>
          <t>County Assessor Property Search</t>
        </is>
      </c>
      <c r="F351" s="2277" t="inlineStr">
        <is>
          <t>https://maps.bouldercounty.org/boco/PropertySearch/</t>
        </is>
      </c>
      <c r="G351" s="2272" t="inlineStr">
        <is>
          <t>Boulder County handles assessment for Lafayette parcels</t>
        </is>
      </c>
    </row>
    <row r="352" ht="14" customHeight="1" s="1439">
      <c r="A352" s="2276">
        <f>IF(B352&lt;&gt;$D$3,"◌ Other",IF(C352="REGIONAL / ALL MUNICIPALITIES","Regional",IF(OR(ISNUMBER(SEARCH(LEFT('Property Info'!$B$17,MAX(1,FIND(",",'Property Info'!$B$17&amp;",")-1)),C352)),ISNUMBER(SEARCH('Property Info'!$B$18,C352))),"★ Active","–")))</f>
        <v/>
      </c>
      <c r="B352" s="2276" t="inlineStr">
        <is>
          <t>Boulder County</t>
        </is>
      </c>
      <c r="C352" s="2276" t="inlineStr">
        <is>
          <t>Lafayette</t>
        </is>
      </c>
      <c r="D352" s="2276" t="inlineStr">
        <is>
          <t>Property Tax / Treasurer</t>
        </is>
      </c>
      <c r="E352" s="2276" t="inlineStr">
        <is>
          <t>Boulder County Treasurer (Tax Payment)</t>
        </is>
      </c>
      <c r="F352" s="2277" t="inlineStr">
        <is>
          <t>https://treasurer.bouldercounty.org/treasurer/web/</t>
        </is>
      </c>
      <c r="G352" s="2270" t="inlineStr">
        <is>
          <t>Tax payment and lookup</t>
        </is>
      </c>
    </row>
    <row r="353" ht="14" customHeight="1" s="1439">
      <c r="A353" s="2278">
        <f>IF(B353&lt;&gt;$D$3,"◌ Other",IF(C353="REGIONAL / ALL MUNICIPALITIES","Regional",IF(OR(ISNUMBER(SEARCH(LEFT('Property Info'!$B$17,MAX(1,FIND(",",'Property Info'!$B$17&amp;",")-1)),C353)),ISNUMBER(SEARCH('Property Info'!$B$18,C353))),"★ Active","–")))</f>
        <v/>
      </c>
      <c r="B353" s="2278" t="inlineStr">
        <is>
          <t>Boulder County</t>
        </is>
      </c>
      <c r="C353" s="2278" t="inlineStr">
        <is>
          <t>Lafayette</t>
        </is>
      </c>
      <c r="D353" s="2278" t="inlineStr">
        <is>
          <t>Deed / Title Records</t>
        </is>
      </c>
      <c r="E353" s="2278" t="inlineStr">
        <is>
          <t>Official Record Search (PublicSearch)</t>
        </is>
      </c>
      <c r="F353" s="2277" t="inlineStr">
        <is>
          <t>https://boulder.co.publicsearch.us/</t>
        </is>
      </c>
      <c r="G353" s="2272" t="inlineStr">
        <is>
          <t>Boulder County deed/title records</t>
        </is>
      </c>
    </row>
    <row r="354" ht="14" customHeight="1" s="1439">
      <c r="A354" s="2276">
        <f>IF(B354&lt;&gt;$D$3,"◌ Other",IF(C354="REGIONAL / ALL MUNICIPALITIES","Regional",IF(OR(ISNUMBER(SEARCH(LEFT('Property Info'!$B$17,MAX(1,FIND(",",'Property Info'!$B$17&amp;",")-1)),C354)),ISNUMBER(SEARCH('Property Info'!$B$18,C354))),"★ Active","–")))</f>
        <v/>
      </c>
      <c r="B354" s="2276" t="inlineStr">
        <is>
          <t>Boulder County</t>
        </is>
      </c>
      <c r="C354" s="2276" t="inlineStr">
        <is>
          <t>Lafayette</t>
        </is>
      </c>
      <c r="D354" s="2276" t="inlineStr">
        <is>
          <t>Permits</t>
        </is>
      </c>
      <c r="E354" s="2276" t="inlineStr">
        <is>
          <t>Building Division</t>
        </is>
      </c>
      <c r="F354" s="2277" t="inlineStr">
        <is>
          <t>https://www.lafayetteco.gov/111/Building-Division</t>
        </is>
      </c>
      <c r="G354" s="2270" t="inlineStr">
        <is>
          <t>Lafayette building permits and inspections</t>
        </is>
      </c>
    </row>
    <row r="355" ht="14" customHeight="1" s="1439">
      <c r="A355" s="2278">
        <f>IF(B355&lt;&gt;$D$3,"◌ Other",IF(C355="REGIONAL / ALL MUNICIPALITIES","Regional",IF(OR(ISNUMBER(SEARCH(LEFT('Property Info'!$B$17,MAX(1,FIND(",",'Property Info'!$B$17&amp;",")-1)),C355)),ISNUMBER(SEARCH('Property Info'!$B$18,C355))),"★ Active","–")))</f>
        <v/>
      </c>
      <c r="B355" s="2278" t="inlineStr">
        <is>
          <t>Boulder County</t>
        </is>
      </c>
      <c r="C355" s="2278" t="inlineStr">
        <is>
          <t>Lafayette</t>
        </is>
      </c>
      <c r="D355" s="2278" t="inlineStr">
        <is>
          <t>Zoning / Planning</t>
        </is>
      </c>
      <c r="E355" s="2278" t="inlineStr">
        <is>
          <t>Planning &amp; Building Department</t>
        </is>
      </c>
      <c r="F355" s="2277" t="inlineStr">
        <is>
          <t>https://www.lafayetteco.gov/92/Planning-Building-Department</t>
        </is>
      </c>
      <c r="G355" s="2272" t="inlineStr">
        <is>
          <t>Planning, zoning, and building department</t>
        </is>
      </c>
    </row>
    <row r="356" ht="14" customHeight="1" s="1439">
      <c r="A356" s="2276">
        <f>IF(B356&lt;&gt;$D$3,"◌ Other",IF(C356="REGIONAL / ALL MUNICIPALITIES","Regional",IF(OR(ISNUMBER(SEARCH(LEFT('Property Info'!$B$17,MAX(1,FIND(",",'Property Info'!$B$17&amp;",")-1)),C356)),ISNUMBER(SEARCH('Property Info'!$B$18,C356))),"★ Active","–")))</f>
        <v/>
      </c>
      <c r="B356" s="2276" t="inlineStr">
        <is>
          <t>Boulder County</t>
        </is>
      </c>
      <c r="C356" s="2276" t="inlineStr">
        <is>
          <t>Lafayette</t>
        </is>
      </c>
      <c r="D356" s="2276" t="inlineStr">
        <is>
          <t>Flood Zone</t>
        </is>
      </c>
      <c r="E356" s="2276" t="inlineStr">
        <is>
          <t>FEMA Map Service Center</t>
        </is>
      </c>
      <c r="F356" s="2277" t="inlineStr">
        <is>
          <t>https://msc.fema.gov/</t>
        </is>
      </c>
      <c r="G356" s="2270" t="inlineStr">
        <is>
          <t>Address-specific FEMA FIRM lookup</t>
        </is>
      </c>
    </row>
    <row r="357" ht="14" customHeight="1" s="1439">
      <c r="A357" s="2278">
        <f>IF(B357&lt;&gt;$D$3,"◌ Other",IF(C357="REGIONAL / ALL MUNICIPALITIES","Regional",IF(OR(ISNUMBER(SEARCH(LEFT('Property Info'!$B$17,MAX(1,FIND(",",'Property Info'!$B$17&amp;",")-1)),C357)),ISNUMBER(SEARCH('Property Info'!$B$18,C357))),"★ Active","–")))</f>
        <v/>
      </c>
      <c r="B357" s="2278" t="inlineStr">
        <is>
          <t>Boulder County</t>
        </is>
      </c>
      <c r="C357" s="2278" t="inlineStr">
        <is>
          <t>Lafayette</t>
        </is>
      </c>
      <c r="D357" s="2278" t="inlineStr">
        <is>
          <t>School Districts</t>
        </is>
      </c>
      <c r="E357" s="2278" t="inlineStr">
        <is>
          <t>Boulder Valley School District</t>
        </is>
      </c>
      <c r="F357" s="2277" t="inlineStr">
        <is>
          <t>https://www.bvsd.org/</t>
        </is>
      </c>
      <c r="G357" s="2272" t="inlineStr">
        <is>
          <t>Primary school district for Lafayette</t>
        </is>
      </c>
    </row>
    <row r="358" ht="14" customHeight="1" s="1439">
      <c r="A358" s="2276">
        <f>IF(B358&lt;&gt;$D$3,"◌ Other",IF(C358="REGIONAL / ALL MUNICIPALITIES","Regional",IF(OR(ISNUMBER(SEARCH(LEFT('Property Info'!$B$17,MAX(1,FIND(",",'Property Info'!$B$17&amp;",")-1)),C358)),ISNUMBER(SEARCH('Property Info'!$B$18,C358))),"★ Active","–")))</f>
        <v/>
      </c>
      <c r="B358" s="2276" t="inlineStr">
        <is>
          <t>Boulder County</t>
        </is>
      </c>
      <c r="C358" s="2276" t="inlineStr">
        <is>
          <t>Louisville</t>
        </is>
      </c>
      <c r="D358" s="2276" t="inlineStr">
        <is>
          <t>Property Assessment</t>
        </is>
      </c>
      <c r="E358" s="2276" t="inlineStr">
        <is>
          <t>County Assessor Property Search</t>
        </is>
      </c>
      <c r="F358" s="2277" t="inlineStr">
        <is>
          <t>https://maps.bouldercounty.org/boco/PropertySearch/</t>
        </is>
      </c>
      <c r="G358" s="2270" t="inlineStr">
        <is>
          <t>Boulder County handles assessment for Louisville parcels</t>
        </is>
      </c>
    </row>
    <row r="359" ht="14" customHeight="1" s="1439">
      <c r="A359" s="2278">
        <f>IF(B359&lt;&gt;$D$3,"◌ Other",IF(C359="REGIONAL / ALL MUNICIPALITIES","Regional",IF(OR(ISNUMBER(SEARCH(LEFT('Property Info'!$B$17,MAX(1,FIND(",",'Property Info'!$B$17&amp;",")-1)),C359)),ISNUMBER(SEARCH('Property Info'!$B$18,C359))),"★ Active","–")))</f>
        <v/>
      </c>
      <c r="B359" s="2278" t="inlineStr">
        <is>
          <t>Boulder County</t>
        </is>
      </c>
      <c r="C359" s="2278" t="inlineStr">
        <is>
          <t>Louisville</t>
        </is>
      </c>
      <c r="D359" s="2278" t="inlineStr">
        <is>
          <t>Property Tax / Treasurer</t>
        </is>
      </c>
      <c r="E359" s="2278" t="inlineStr">
        <is>
          <t>Boulder County Treasurer (Tax Payment)</t>
        </is>
      </c>
      <c r="F359" s="2277" t="inlineStr">
        <is>
          <t>https://treasurer.bouldercounty.org/treasurer/web/</t>
        </is>
      </c>
      <c r="G359" s="2272" t="inlineStr">
        <is>
          <t>Tax payment and lookup</t>
        </is>
      </c>
    </row>
    <row r="360" ht="14" customHeight="1" s="1439">
      <c r="A360" s="2276">
        <f>IF(B360&lt;&gt;$D$3,"◌ Other",IF(C360="REGIONAL / ALL MUNICIPALITIES","Regional",IF(OR(ISNUMBER(SEARCH(LEFT('Property Info'!$B$17,MAX(1,FIND(",",'Property Info'!$B$17&amp;",")-1)),C360)),ISNUMBER(SEARCH('Property Info'!$B$18,C360))),"★ Active","–")))</f>
        <v/>
      </c>
      <c r="B360" s="2276" t="inlineStr">
        <is>
          <t>Boulder County</t>
        </is>
      </c>
      <c r="C360" s="2276" t="inlineStr">
        <is>
          <t>Louisville</t>
        </is>
      </c>
      <c r="D360" s="2276" t="inlineStr">
        <is>
          <t>Deed / Title Records</t>
        </is>
      </c>
      <c r="E360" s="2276" t="inlineStr">
        <is>
          <t>Official Record Search (PublicSearch)</t>
        </is>
      </c>
      <c r="F360" s="2277" t="inlineStr">
        <is>
          <t>https://boulder.co.publicsearch.us/</t>
        </is>
      </c>
      <c r="G360" s="2270" t="inlineStr">
        <is>
          <t>Boulder County deed/title records</t>
        </is>
      </c>
    </row>
    <row r="361" ht="14" customHeight="1" s="1439">
      <c r="A361" s="2278">
        <f>IF(B361&lt;&gt;$D$3,"◌ Other",IF(C361="REGIONAL / ALL MUNICIPALITIES","Regional",IF(OR(ISNUMBER(SEARCH(LEFT('Property Info'!$B$17,MAX(1,FIND(",",'Property Info'!$B$17&amp;",")-1)),C361)),ISNUMBER(SEARCH('Property Info'!$B$18,C361))),"★ Active","–")))</f>
        <v/>
      </c>
      <c r="B361" s="2278" t="inlineStr">
        <is>
          <t>Boulder County</t>
        </is>
      </c>
      <c r="C361" s="2278" t="inlineStr">
        <is>
          <t>Louisville</t>
        </is>
      </c>
      <c r="D361" s="2278" t="inlineStr">
        <is>
          <t>Permits</t>
        </is>
      </c>
      <c r="E361" s="2278" t="inlineStr">
        <is>
          <t>Permits &amp; Licensing</t>
        </is>
      </c>
      <c r="F361" s="2277" t="inlineStr">
        <is>
          <t>https://www.louisvilleco.gov/living-in-louisville/residents/permits-and-licensing</t>
        </is>
      </c>
      <c r="G361" s="2272" t="inlineStr">
        <is>
          <t>Louisville permit applications and licensing</t>
        </is>
      </c>
    </row>
    <row r="362" ht="14" customHeight="1" s="1439">
      <c r="A362" s="2276">
        <f>IF(B362&lt;&gt;$D$3,"◌ Other",IF(C362="REGIONAL / ALL MUNICIPALITIES","Regional",IF(OR(ISNUMBER(SEARCH(LEFT('Property Info'!$B$17,MAX(1,FIND(",",'Property Info'!$B$17&amp;",")-1)),C362)),ISNUMBER(SEARCH('Property Info'!$B$18,C362))),"★ Active","–")))</f>
        <v/>
      </c>
      <c r="B362" s="2276" t="inlineStr">
        <is>
          <t>Boulder County</t>
        </is>
      </c>
      <c r="C362" s="2276" t="inlineStr">
        <is>
          <t>Louisville</t>
        </is>
      </c>
      <c r="D362" s="2276" t="inlineStr">
        <is>
          <t>Zoning / Planning</t>
        </is>
      </c>
      <c r="E362" s="2276" t="inlineStr">
        <is>
          <t>Community Planning &amp; Permitting</t>
        </is>
      </c>
      <c r="F362" s="2277" t="inlineStr">
        <is>
          <t>https://www.louisvilleco.gov/your-government/community-planning-permitting</t>
        </is>
      </c>
      <c r="G362" s="2270" t="inlineStr">
        <is>
          <t>Planning, zoning, and permitting department</t>
        </is>
      </c>
    </row>
    <row r="363" ht="14" customHeight="1" s="1439">
      <c r="A363" s="2278">
        <f>IF(B363&lt;&gt;$D$3,"◌ Other",IF(C363="REGIONAL / ALL MUNICIPALITIES","Regional",IF(OR(ISNUMBER(SEARCH(LEFT('Property Info'!$B$17,MAX(1,FIND(",",'Property Info'!$B$17&amp;",")-1)),C363)),ISNUMBER(SEARCH('Property Info'!$B$18,C363))),"★ Active","–")))</f>
        <v/>
      </c>
      <c r="B363" s="2278" t="inlineStr">
        <is>
          <t>Boulder County</t>
        </is>
      </c>
      <c r="C363" s="2278" t="inlineStr">
        <is>
          <t>Louisville</t>
        </is>
      </c>
      <c r="D363" s="2278" t="inlineStr">
        <is>
          <t>Flood Zone</t>
        </is>
      </c>
      <c r="E363" s="2278" t="inlineStr">
        <is>
          <t>FEMA Map Service Center</t>
        </is>
      </c>
      <c r="F363" s="2277" t="inlineStr">
        <is>
          <t>https://msc.fema.gov/</t>
        </is>
      </c>
      <c r="G363" s="2272" t="inlineStr">
        <is>
          <t>Address-specific FEMA FIRM lookup</t>
        </is>
      </c>
    </row>
    <row r="364" ht="14" customHeight="1" s="1439">
      <c r="A364" s="2276">
        <f>IF(B364&lt;&gt;$D$3,"◌ Other",IF(C364="REGIONAL / ALL MUNICIPALITIES","Regional",IF(OR(ISNUMBER(SEARCH(LEFT('Property Info'!$B$17,MAX(1,FIND(",",'Property Info'!$B$17&amp;",")-1)),C364)),ISNUMBER(SEARCH('Property Info'!$B$18,C364))),"★ Active","–")))</f>
        <v/>
      </c>
      <c r="B364" s="2276" t="inlineStr">
        <is>
          <t>Boulder County</t>
        </is>
      </c>
      <c r="C364" s="2276" t="inlineStr">
        <is>
          <t>Louisville</t>
        </is>
      </c>
      <c r="D364" s="2276" t="inlineStr">
        <is>
          <t>School Districts</t>
        </is>
      </c>
      <c r="E364" s="2276" t="inlineStr">
        <is>
          <t>Boulder Valley School District</t>
        </is>
      </c>
      <c r="F364" s="2277" t="inlineStr">
        <is>
          <t>https://www.bvsd.org/</t>
        </is>
      </c>
      <c r="G364" s="2270" t="inlineStr">
        <is>
          <t>Primary school district for Louisville</t>
        </is>
      </c>
    </row>
    <row r="365" ht="14" customHeight="1" s="1439">
      <c r="A365" s="2278">
        <f>IF(B365&lt;&gt;$D$3,"◌ Other",IF(C365="REGIONAL / ALL MUNICIPALITIES","Regional",IF(OR(ISNUMBER(SEARCH(LEFT('Property Info'!$B$17,MAX(1,FIND(",",'Property Info'!$B$17&amp;",")-1)),C365)),ISNUMBER(SEARCH('Property Info'!$B$18,C365))),"★ Active","–")))</f>
        <v/>
      </c>
      <c r="B365" s="2278" t="inlineStr">
        <is>
          <t>Boulder County</t>
        </is>
      </c>
      <c r="C365" s="2278" t="inlineStr">
        <is>
          <t>Superior</t>
        </is>
      </c>
      <c r="D365" s="2278" t="inlineStr">
        <is>
          <t>Property Assessment</t>
        </is>
      </c>
      <c r="E365" s="2278" t="inlineStr">
        <is>
          <t>County Assessor Property Search</t>
        </is>
      </c>
      <c r="F365" s="2277" t="inlineStr">
        <is>
          <t>https://maps.bouldercounty.org/boco/PropertySearch/</t>
        </is>
      </c>
      <c r="G365" s="2272" t="inlineStr">
        <is>
          <t>Boulder County handles assessment for Superior parcels</t>
        </is>
      </c>
    </row>
    <row r="366" ht="14" customHeight="1" s="1439">
      <c r="A366" s="2276">
        <f>IF(B366&lt;&gt;$D$3,"◌ Other",IF(C366="REGIONAL / ALL MUNICIPALITIES","Regional",IF(OR(ISNUMBER(SEARCH(LEFT('Property Info'!$B$17,MAX(1,FIND(",",'Property Info'!$B$17&amp;",")-1)),C366)),ISNUMBER(SEARCH('Property Info'!$B$18,C366))),"★ Active","–")))</f>
        <v/>
      </c>
      <c r="B366" s="2276" t="inlineStr">
        <is>
          <t>Boulder County</t>
        </is>
      </c>
      <c r="C366" s="2276" t="inlineStr">
        <is>
          <t>Superior</t>
        </is>
      </c>
      <c r="D366" s="2276" t="inlineStr">
        <is>
          <t>Property Tax / Treasurer</t>
        </is>
      </c>
      <c r="E366" s="2276" t="inlineStr">
        <is>
          <t>Boulder County Treasurer (Tax Payment)</t>
        </is>
      </c>
      <c r="F366" s="2277" t="inlineStr">
        <is>
          <t>https://treasurer.bouldercounty.org/treasurer/web/</t>
        </is>
      </c>
      <c r="G366" s="2270" t="inlineStr">
        <is>
          <t>Tax payment and lookup</t>
        </is>
      </c>
    </row>
    <row r="367" ht="14" customHeight="1" s="1439">
      <c r="A367" s="2278">
        <f>IF(B367&lt;&gt;$D$3,"◌ Other",IF(C367="REGIONAL / ALL MUNICIPALITIES","Regional",IF(OR(ISNUMBER(SEARCH(LEFT('Property Info'!$B$17,MAX(1,FIND(",",'Property Info'!$B$17&amp;",")-1)),C367)),ISNUMBER(SEARCH('Property Info'!$B$18,C367))),"★ Active","–")))</f>
        <v/>
      </c>
      <c r="B367" s="2278" t="inlineStr">
        <is>
          <t>Boulder County</t>
        </is>
      </c>
      <c r="C367" s="2278" t="inlineStr">
        <is>
          <t>Superior</t>
        </is>
      </c>
      <c r="D367" s="2278" t="inlineStr">
        <is>
          <t>Deed / Title Records</t>
        </is>
      </c>
      <c r="E367" s="2278" t="inlineStr">
        <is>
          <t>Official Record Search (PublicSearch)</t>
        </is>
      </c>
      <c r="F367" s="2277" t="inlineStr">
        <is>
          <t>https://boulder.co.publicsearch.us/</t>
        </is>
      </c>
      <c r="G367" s="2272" t="inlineStr">
        <is>
          <t>Boulder County deed/title records</t>
        </is>
      </c>
    </row>
    <row r="368" ht="14" customHeight="1" s="1439">
      <c r="A368" s="2276">
        <f>IF(B368&lt;&gt;$D$3,"◌ Other",IF(C368="REGIONAL / ALL MUNICIPALITIES","Regional",IF(OR(ISNUMBER(SEARCH(LEFT('Property Info'!$B$17,MAX(1,FIND(",",'Property Info'!$B$17&amp;",")-1)),C368)),ISNUMBER(SEARCH('Property Info'!$B$18,C368))),"★ Active","–")))</f>
        <v/>
      </c>
      <c r="B368" s="2276" t="inlineStr">
        <is>
          <t>Boulder County</t>
        </is>
      </c>
      <c r="C368" s="2276" t="inlineStr">
        <is>
          <t>Superior</t>
        </is>
      </c>
      <c r="D368" s="2276" t="inlineStr">
        <is>
          <t>Permits / Planning</t>
        </is>
      </c>
      <c r="E368" s="2276" t="inlineStr">
        <is>
          <t>Community Development</t>
        </is>
      </c>
      <c r="F368" s="2277" t="inlineStr">
        <is>
          <t>https://www.superiorcolorado.gov/government/community-development</t>
        </is>
      </c>
      <c r="G368" s="2270" t="inlineStr">
        <is>
          <t>Superior building permits, zoning, and planning</t>
        </is>
      </c>
    </row>
    <row r="369" ht="14" customHeight="1" s="1439">
      <c r="A369" s="2278">
        <f>IF(B369&lt;&gt;$D$3,"◌ Other",IF(C369="REGIONAL / ALL MUNICIPALITIES","Regional",IF(OR(ISNUMBER(SEARCH(LEFT('Property Info'!$B$17,MAX(1,FIND(",",'Property Info'!$B$17&amp;",")-1)),C369)),ISNUMBER(SEARCH('Property Info'!$B$18,C369))),"★ Active","–")))</f>
        <v/>
      </c>
      <c r="B369" s="2278" t="inlineStr">
        <is>
          <t>Boulder County</t>
        </is>
      </c>
      <c r="C369" s="2278" t="inlineStr">
        <is>
          <t>Superior</t>
        </is>
      </c>
      <c r="D369" s="2278" t="inlineStr">
        <is>
          <t>Flood Zone</t>
        </is>
      </c>
      <c r="E369" s="2278" t="inlineStr">
        <is>
          <t>FEMA Map Service Center</t>
        </is>
      </c>
      <c r="F369" s="2277" t="inlineStr">
        <is>
          <t>https://msc.fema.gov/</t>
        </is>
      </c>
      <c r="G369" s="2272" t="inlineStr">
        <is>
          <t>Address-specific FEMA FIRM lookup</t>
        </is>
      </c>
    </row>
    <row r="370" ht="14" customHeight="1" s="1439">
      <c r="A370" s="2276">
        <f>IF(B370&lt;&gt;$D$3,"◌ Other",IF(C370="REGIONAL / ALL MUNICIPALITIES","Regional",IF(OR(ISNUMBER(SEARCH(LEFT('Property Info'!$B$17,MAX(1,FIND(",",'Property Info'!$B$17&amp;",")-1)),C370)),ISNUMBER(SEARCH('Property Info'!$B$18,C370))),"★ Active","–")))</f>
        <v/>
      </c>
      <c r="B370" s="2276" t="inlineStr">
        <is>
          <t>Boulder County</t>
        </is>
      </c>
      <c r="C370" s="2276" t="inlineStr">
        <is>
          <t>Superior</t>
        </is>
      </c>
      <c r="D370" s="2276" t="inlineStr">
        <is>
          <t>School Districts</t>
        </is>
      </c>
      <c r="E370" s="2276" t="inlineStr">
        <is>
          <t>Boulder Valley School District</t>
        </is>
      </c>
      <c r="F370" s="2277" t="inlineStr">
        <is>
          <t>https://www.bvsd.org/</t>
        </is>
      </c>
      <c r="G370" s="2270" t="inlineStr">
        <is>
          <t>Primary school district for Superior</t>
        </is>
      </c>
    </row>
    <row r="371" ht="14" customHeight="1" s="1439">
      <c r="A371" s="2278">
        <f>IF(B371&lt;&gt;$D$3,"◌ Other",IF(C371="REGIONAL / ALL MUNICIPALITIES","Regional",IF(OR(ISNUMBER(SEARCH(LEFT('Property Info'!$B$17,MAX(1,FIND(",",'Property Info'!$B$17&amp;",")-1)),C371)),ISNUMBER(SEARCH('Property Info'!$B$18,C371))),"★ Active","–")))</f>
        <v/>
      </c>
      <c r="B371" s="2278" t="inlineStr">
        <is>
          <t>Boulder County</t>
        </is>
      </c>
      <c r="C371" s="2278" t="inlineStr">
        <is>
          <t>REGIONAL / ALL MUNICIPALITIES</t>
        </is>
      </c>
      <c r="D371" s="2278" t="inlineStr">
        <is>
          <t>Property Assessment</t>
        </is>
      </c>
      <c r="E371" s="2278" t="inlineStr">
        <is>
          <t>Boulder County Assessor — Main</t>
        </is>
      </c>
      <c r="F371" s="2277" t="inlineStr">
        <is>
          <t>https://bouldercounty.gov/departments/assessor/</t>
        </is>
      </c>
      <c r="G371" s="2272" t="inlineStr">
        <is>
          <t>Covers all Boulder County parcels regardless of city</t>
        </is>
      </c>
    </row>
    <row r="372" ht="14" customHeight="1" s="1439">
      <c r="A372" s="2276">
        <f>IF(B372&lt;&gt;$D$3,"◌ Other",IF(C372="REGIONAL / ALL MUNICIPALITIES","Regional",IF(OR(ISNUMBER(SEARCH(LEFT('Property Info'!$B$17,MAX(1,FIND(",",'Property Info'!$B$17&amp;",")-1)),C372)),ISNUMBER(SEARCH('Property Info'!$B$18,C372))),"★ Active","–")))</f>
        <v/>
      </c>
      <c r="B372" s="2276" t="inlineStr">
        <is>
          <t>Boulder County</t>
        </is>
      </c>
      <c r="C372" s="2276" t="inlineStr">
        <is>
          <t>REGIONAL / ALL MUNICIPALITIES</t>
        </is>
      </c>
      <c r="D372" s="2276" t="inlineStr">
        <is>
          <t>Deed / Title Records</t>
        </is>
      </c>
      <c r="E372" s="2276" t="inlineStr">
        <is>
          <t>Boulder County Clerk &amp; Recorder</t>
        </is>
      </c>
      <c r="F372" s="2277" t="inlineStr">
        <is>
          <t>https://bouldercounty.gov/departments/clerk-recorder/</t>
        </is>
      </c>
      <c r="G372" s="2270" t="inlineStr">
        <is>
          <t>Official deeds and recording office</t>
        </is>
      </c>
    </row>
    <row r="373" ht="14" customHeight="1" s="1439">
      <c r="A373" s="2278">
        <f>IF(B373&lt;&gt;$D$3,"◌ Other",IF(C373="REGIONAL / ALL MUNICIPALITIES","Regional",IF(OR(ISNUMBER(SEARCH(LEFT('Property Info'!$B$17,MAX(1,FIND(",",'Property Info'!$B$17&amp;",")-1)),C373)),ISNUMBER(SEARCH('Property Info'!$B$18,C373))),"★ Active","–")))</f>
        <v/>
      </c>
      <c r="B373" s="2278" t="inlineStr">
        <is>
          <t>Boulder County</t>
        </is>
      </c>
      <c r="C373" s="2278" t="inlineStr">
        <is>
          <t>REGIONAL / ALL MUNICIPALITIES</t>
        </is>
      </c>
      <c r="D373" s="2278" t="inlineStr">
        <is>
          <t>Deed / Title Records</t>
        </is>
      </c>
      <c r="E373" s="2278" t="inlineStr">
        <is>
          <t>Official Record Search</t>
        </is>
      </c>
      <c r="F373" s="2277" t="inlineStr">
        <is>
          <t>https://boulder.co.publicsearch.us/</t>
        </is>
      </c>
      <c r="G373" s="2272" t="inlineStr">
        <is>
          <t>Grantor/Grantee search for all Boulder County</t>
        </is>
      </c>
    </row>
    <row r="374" ht="14" customHeight="1" s="1439">
      <c r="A374" s="2276">
        <f>IF(B374&lt;&gt;$D$3,"◌ Other",IF(C374="REGIONAL / ALL MUNICIPALITIES","Regional",IF(OR(ISNUMBER(SEARCH(LEFT('Property Info'!$B$17,MAX(1,FIND(",",'Property Info'!$B$17&amp;",")-1)),C374)),ISNUMBER(SEARCH('Property Info'!$B$18,C374))),"★ Active","–")))</f>
        <v/>
      </c>
      <c r="B374" s="2276" t="inlineStr">
        <is>
          <t>Boulder County</t>
        </is>
      </c>
      <c r="C374" s="2276" t="inlineStr">
        <is>
          <t>REGIONAL / ALL MUNICIPALITIES</t>
        </is>
      </c>
      <c r="D374" s="2276" t="inlineStr">
        <is>
          <t>GIS / Mapping</t>
        </is>
      </c>
      <c r="E374" s="2276" t="inlineStr">
        <is>
          <t>Boulder County Open Data Hub</t>
        </is>
      </c>
      <c r="F374" s="2277" t="inlineStr">
        <is>
          <t>https://opendata-bouldercounty.hub.arcgis.com/</t>
        </is>
      </c>
      <c r="G374" s="2270" t="inlineStr">
        <is>
          <t>County-wide GIS datasets</t>
        </is>
      </c>
    </row>
    <row r="375" ht="14" customHeight="1" s="1439">
      <c r="A375" s="2278">
        <f>IF(B375&lt;&gt;$D$3,"◌ Other",IF(C375="REGIONAL / ALL MUNICIPALITIES","Regional",IF(OR(ISNUMBER(SEARCH(LEFT('Property Info'!$B$17,MAX(1,FIND(",",'Property Info'!$B$17&amp;",")-1)),C375)),ISNUMBER(SEARCH('Property Info'!$B$18,C375))),"★ Active","–")))</f>
        <v/>
      </c>
      <c r="B375" s="2278" t="inlineStr">
        <is>
          <t>Boulder County</t>
        </is>
      </c>
      <c r="C375" s="2278" t="inlineStr">
        <is>
          <t>REGIONAL / ALL MUNICIPALITIES</t>
        </is>
      </c>
      <c r="D375" s="2278" t="inlineStr">
        <is>
          <t>GIS / Mapping</t>
        </is>
      </c>
      <c r="E375" s="2278" t="inlineStr">
        <is>
          <t>DRCOG Regional Data Catalog</t>
        </is>
      </c>
      <c r="F375" s="2277" t="inlineStr">
        <is>
          <t>https://data.drcog.org/</t>
        </is>
      </c>
      <c r="G375" s="2272" t="inlineStr">
        <is>
          <t>Metro Denver / Boulder regional data</t>
        </is>
      </c>
    </row>
    <row r="376" ht="14" customHeight="1" s="1439">
      <c r="A376" s="2276">
        <f>IF(B376&lt;&gt;$D$3,"◌ Other",IF(C376="REGIONAL / ALL MUNICIPALITIES","Regional",IF(OR(ISNUMBER(SEARCH(LEFT('Property Info'!$B$17,MAX(1,FIND(",",'Property Info'!$B$17&amp;",")-1)),C376)),ISNUMBER(SEARCH('Property Info'!$B$18,C376))),"★ Active","–")))</f>
        <v/>
      </c>
      <c r="B376" s="2276" t="inlineStr">
        <is>
          <t>Boulder County</t>
        </is>
      </c>
      <c r="C376" s="2276" t="inlineStr">
        <is>
          <t>REGIONAL / ALL MUNICIPALITIES</t>
        </is>
      </c>
      <c r="D376" s="2276" t="inlineStr">
        <is>
          <t>GIS / Mapping</t>
        </is>
      </c>
      <c r="E376" s="2276" t="inlineStr">
        <is>
          <t>Colorado Geospatial Portal</t>
        </is>
      </c>
      <c r="F376" s="2277" t="inlineStr">
        <is>
          <t>https://geodata.colorado.gov/</t>
        </is>
      </c>
      <c r="G376" s="2270" t="inlineStr">
        <is>
          <t>Statewide GIS data portal</t>
        </is>
      </c>
    </row>
    <row r="377" ht="14" customHeight="1" s="1439">
      <c r="A377" s="2278">
        <f>IF(B377&lt;&gt;$D$3,"◌ Other",IF(C377="REGIONAL / ALL MUNICIPALITIES","Regional",IF(OR(ISNUMBER(SEARCH(LEFT('Property Info'!$B$17,MAX(1,FIND(",",'Property Info'!$B$17&amp;",")-1)),C377)),ISNUMBER(SEARCH('Property Info'!$B$18,C377))),"★ Active","–")))</f>
        <v/>
      </c>
      <c r="B377" s="2278" t="inlineStr">
        <is>
          <t>Boulder County</t>
        </is>
      </c>
      <c r="C377" s="2278" t="inlineStr">
        <is>
          <t>REGIONAL / ALL MUNICIPALITIES</t>
        </is>
      </c>
      <c r="D377" s="2278" t="inlineStr">
        <is>
          <t>Traffic / Transportation</t>
        </is>
      </c>
      <c r="E377" s="2278" t="inlineStr">
        <is>
          <t>CDOT Traffic Data (Open Data)</t>
        </is>
      </c>
      <c r="F377" s="2312" t="inlineStr">
        <is>
          <t>https://data-cdot.opendata.arcgis.com/</t>
        </is>
      </c>
      <c r="G377" s="2272" t="inlineStr">
        <is>
          <t>Traffic counts &amp; highway data — OTIS moving June 2026, use CDOT Open Data portal</t>
        </is>
      </c>
    </row>
    <row r="378" ht="14" customHeight="1" s="1439">
      <c r="A378" s="2276">
        <f>IF(B378&lt;&gt;$D$3,"◌ Other",IF(C378="REGIONAL / ALL MUNICIPALITIES","Regional",IF(OR(ISNUMBER(SEARCH(LEFT('Property Info'!$B$17,MAX(1,FIND(",",'Property Info'!$B$17&amp;",")-1)),C378)),ISNUMBER(SEARCH('Property Info'!$B$18,C378))),"★ Active","–")))</f>
        <v/>
      </c>
      <c r="B378" s="2276" t="inlineStr">
        <is>
          <t>Boulder County</t>
        </is>
      </c>
      <c r="C378" s="2276" t="inlineStr">
        <is>
          <t>REGIONAL / ALL MUNICIPALITIES</t>
        </is>
      </c>
      <c r="D378" s="2276" t="inlineStr">
        <is>
          <t>Traffic / Transportation</t>
        </is>
      </c>
      <c r="E378" s="2276" t="inlineStr">
        <is>
          <t>CDOT Open Data (ArcGIS)</t>
        </is>
      </c>
      <c r="F378" s="2277" t="inlineStr">
        <is>
          <t>https://data-cdot.opendata.arcgis.com/</t>
        </is>
      </c>
      <c r="G378" s="2270" t="inlineStr">
        <is>
          <t>Statewide transportation datasets</t>
        </is>
      </c>
    </row>
    <row r="379" ht="14" customHeight="1" s="1439">
      <c r="A379" s="2278">
        <f>IF(B379&lt;&gt;$D$3,"◌ Other",IF(C379="REGIONAL / ALL MUNICIPALITIES","Regional",IF(OR(ISNUMBER(SEARCH(LEFT('Property Info'!$B$17,MAX(1,FIND(",",'Property Info'!$B$17&amp;",")-1)),C379)),ISNUMBER(SEARCH('Property Info'!$B$18,C379))),"★ Active","–")))</f>
        <v/>
      </c>
      <c r="B379" s="2278" t="inlineStr">
        <is>
          <t>Boulder County</t>
        </is>
      </c>
      <c r="C379" s="2278" t="inlineStr">
        <is>
          <t>REGIONAL / ALL MUNICIPALITIES</t>
        </is>
      </c>
      <c r="D379" s="2278" t="inlineStr">
        <is>
          <t>Entity / Ownership Lookup</t>
        </is>
      </c>
      <c r="E379" s="2278" t="inlineStr">
        <is>
          <t>Colorado Secretary of State — Business Entity Search</t>
        </is>
      </c>
      <c r="F379" s="2277" t="inlineStr">
        <is>
          <t>https://www.sos.state.co.us/biz/BusinessEntityCriteriaExt.do</t>
        </is>
      </c>
      <c r="G379" s="2272" t="inlineStr">
        <is>
          <t>Look up LLCs and ownership entities</t>
        </is>
      </c>
    </row>
    <row r="380" ht="14" customHeight="1" s="1439">
      <c r="A380" s="2276">
        <f>IF(B380&lt;&gt;$D$3,"◌ Other",IF(C380="REGIONAL / ALL MUNICIPALITIES","Regional",IF(OR(ISNUMBER(SEARCH(LEFT('Property Info'!$B$17,MAX(1,FIND(",",'Property Info'!$B$17&amp;",")-1)),C380)),ISNUMBER(SEARCH('Property Info'!$B$18,C380))),"★ Active","–")))</f>
        <v/>
      </c>
      <c r="B380" s="2276" t="inlineStr">
        <is>
          <t>Boulder County</t>
        </is>
      </c>
      <c r="C380" s="2276" t="inlineStr">
        <is>
          <t>REGIONAL / ALL MUNICIPALITIES</t>
        </is>
      </c>
      <c r="D380" s="2276" t="inlineStr">
        <is>
          <t>Flood Zone</t>
        </is>
      </c>
      <c r="E380" s="2276" t="inlineStr">
        <is>
          <t>FEMA Map Service Center</t>
        </is>
      </c>
      <c r="F380" s="2277" t="inlineStr">
        <is>
          <t>https://msc.fema.gov/</t>
        </is>
      </c>
      <c r="G380" s="2270" t="inlineStr">
        <is>
          <t>FEMA FIRM — address-specific flood zone lookup</t>
        </is>
      </c>
    </row>
    <row r="381" ht="14" customHeight="1" s="1439">
      <c r="A381" s="2278">
        <f>IF(B381&lt;&gt;$D$3,"◌ Other",IF(C381="REGIONAL / ALL MUNICIPALITIES","Regional",IF(OR(ISNUMBER(SEARCH(LEFT('Property Info'!$B$17,MAX(1,FIND(",",'Property Info'!$B$17&amp;",")-1)),C381)),ISNUMBER(SEARCH('Property Info'!$B$18,C381))),"★ Active","–")))</f>
        <v/>
      </c>
      <c r="B381" s="2278" t="inlineStr">
        <is>
          <t>Boulder County</t>
        </is>
      </c>
      <c r="C381" s="2278" t="inlineStr">
        <is>
          <t>REGIONAL / ALL MUNICIPALITIES</t>
        </is>
      </c>
      <c r="D381" s="2278" t="inlineStr">
        <is>
          <t>Flood Zone</t>
        </is>
      </c>
      <c r="E381" s="2278" t="inlineStr">
        <is>
          <t>Colorado Hazard Mapping / RiskMAP</t>
        </is>
      </c>
      <c r="F381" s="2277" t="inlineStr">
        <is>
          <t>https://coloradohazardmapping.com/hazardMapping/floodplainMapping</t>
        </is>
      </c>
      <c r="G381" s="2272" t="inlineStr">
        <is>
          <t>State-level flood mapping portal</t>
        </is>
      </c>
    </row>
    <row r="382" ht="14" customHeight="1" s="1439">
      <c r="A382" s="2276">
        <f>IF(B382&lt;&gt;$D$3,"◌ Other",IF(C382="REGIONAL / ALL MUNICIPALITIES","Regional",IF(OR(ISNUMBER(SEARCH(LEFT('Property Info'!$B$17,MAX(1,FIND(",",'Property Info'!$B$17&amp;",")-1)),C382)),ISNUMBER(SEARCH('Property Info'!$B$18,C382))),"★ Active","–")))</f>
        <v/>
      </c>
      <c r="B382" s="2276" t="inlineStr">
        <is>
          <t>Boulder County</t>
        </is>
      </c>
      <c r="C382" s="2276" t="inlineStr">
        <is>
          <t>REGIONAL / ALL MUNICIPALITIES</t>
        </is>
      </c>
      <c r="D382" s="2276" t="inlineStr">
        <is>
          <t>MLS / Listings</t>
        </is>
      </c>
      <c r="E382" s="2276" t="inlineStr">
        <is>
          <t>REcolorado MLS (licensed professionals)</t>
        </is>
      </c>
      <c r="F382" s="2277" t="inlineStr">
        <is>
          <t>https://recolorado.com/</t>
        </is>
      </c>
      <c r="G382" s="2270" t="inlineStr">
        <is>
          <t>Primary Denver / Boulder metro MLS</t>
        </is>
      </c>
    </row>
    <row r="383" ht="14" customHeight="1" s="1439">
      <c r="A383" s="2278">
        <f>IF(B383&lt;&gt;$D$3,"◌ Other",IF(C383="REGIONAL / ALL MUNICIPALITIES","Regional",IF(OR(ISNUMBER(SEARCH(LEFT('Property Info'!$B$17,MAX(1,FIND(",",'Property Info'!$B$17&amp;",")-1)),C383)),ISNUMBER(SEARCH('Property Info'!$B$18,C383))),"★ Active","–")))</f>
        <v/>
      </c>
      <c r="B383" s="2278" t="inlineStr">
        <is>
          <t>Boulder County</t>
        </is>
      </c>
      <c r="C383" s="2278" t="inlineStr">
        <is>
          <t>REGIONAL / ALL MUNICIPALITIES</t>
        </is>
      </c>
      <c r="D383" s="2278" t="inlineStr">
        <is>
          <t>School Districts</t>
        </is>
      </c>
      <c r="E383" s="2278" t="inlineStr">
        <is>
          <t>Boulder Valley School District (BVSD)</t>
        </is>
      </c>
      <c r="F383" s="2277" t="inlineStr">
        <is>
          <t>https://www.bvsd.org/</t>
        </is>
      </c>
      <c r="G383" s="2272" t="inlineStr">
        <is>
          <t>Serves Boulder, Louisville, Lafayette, Superior</t>
        </is>
      </c>
    </row>
    <row r="384" ht="14" customHeight="1" s="1439">
      <c r="A384" s="2276">
        <f>IF(B384&lt;&gt;$D$3,"◌ Other",IF(C384="REGIONAL / ALL MUNICIPALITIES","Regional",IF(OR(ISNUMBER(SEARCH(LEFT('Property Info'!$B$17,MAX(1,FIND(",",'Property Info'!$B$17&amp;",")-1)),C384)),ISNUMBER(SEARCH('Property Info'!$B$18,C384))),"★ Active","–")))</f>
        <v/>
      </c>
      <c r="B384" s="2276" t="inlineStr">
        <is>
          <t>Boulder County</t>
        </is>
      </c>
      <c r="C384" s="2276" t="inlineStr">
        <is>
          <t>REGIONAL / ALL MUNICIPALITIES</t>
        </is>
      </c>
      <c r="D384" s="2276" t="inlineStr">
        <is>
          <t>School Districts</t>
        </is>
      </c>
      <c r="E384" s="2276" t="inlineStr">
        <is>
          <t>St. Vrain Valley School District</t>
        </is>
      </c>
      <c r="F384" s="2277" t="inlineStr">
        <is>
          <t>https://www.svvsd.org/</t>
        </is>
      </c>
      <c r="G384" s="2270" t="inlineStr">
        <is>
          <t>Serves Longmont and surrounding areas</t>
        </is>
      </c>
    </row>
    <row r="385" ht="15" customHeight="1" s="1439">
      <c r="A385">
        <f>IF(B385&lt;&gt;$D$3,"◌ Other",IF(C385="REGIONAL / ALL MUNICIPALITIES","Regional",IF(OR(ISNUMBER(SEARCH(LEFT('Property Info'!$B$17,MAX(1,FIND(",",'Property Info'!$B$17&amp;",")-1)),C385)),ISNUMBER(SEARCH('Property Info'!$B$18,C385)))),"★ Active","–")))</f>
        <v/>
      </c>
      <c r="B385" t="inlineStr">
        <is>
          <t>Broomfield County</t>
        </is>
      </c>
      <c r="C385" t="inlineStr">
        <is>
          <t>Broomfield (City &amp; County)</t>
        </is>
      </c>
      <c r="D385" t="inlineStr">
        <is>
          <t>Property Assessment</t>
        </is>
      </c>
      <c r="E385" t="inlineStr">
        <is>
          <t>Assessor Property Search Portal</t>
        </is>
      </c>
      <c r="F385" s="2313" t="inlineStr">
        <is>
          <t>https://egov.broomfield.org/assessor/web/</t>
        </is>
      </c>
      <c r="G385" t="inlineStr">
        <is>
          <t>Official assessor database — search by owner, address, parcel, or legal description</t>
        </is>
      </c>
    </row>
    <row r="386" ht="15" customHeight="1" s="1439">
      <c r="A386">
        <f>IF(B386&lt;&gt;$D$3,"◌ Other",IF(C386="REGIONAL / ALL MUNICIPALITIES","Regional",IF(OR(ISNUMBER(SEARCH(LEFT('Property Info'!$B$17,MAX(1,FIND(",",'Property Info'!$B$17&amp;",")-1)),C386)),ISNUMBER(SEARCH('Property Info'!$B$18,C386)))),"★ Active","–")))</f>
        <v/>
      </c>
      <c r="B386" t="inlineStr">
        <is>
          <t>Broomfield County</t>
        </is>
      </c>
      <c r="C386" t="inlineStr">
        <is>
          <t>Broomfield (City &amp; County)</t>
        </is>
      </c>
      <c r="D386" t="inlineStr">
        <is>
          <t>Property Assessment</t>
        </is>
      </c>
      <c r="E386" t="inlineStr">
        <is>
          <t>Parcel Map / GIS Viewer</t>
        </is>
      </c>
      <c r="F386" s="2313" t="inlineStr">
        <is>
          <t>https://www.broomfield.org/2739/Parcel-Search</t>
        </is>
      </c>
      <c r="G386" t="inlineStr">
        <is>
          <t>Interactive GIS parcel map with zoning, land use, and assessed value data</t>
        </is>
      </c>
    </row>
    <row r="387" ht="15" customHeight="1" s="1439">
      <c r="A387">
        <f>IF(B387&lt;&gt;$D$3,"◌ Other",IF(C387="REGIONAL / ALL MUNICIPALITIES","Regional",IF(OR(ISNUMBER(SEARCH(LEFT('Property Info'!$B$17,MAX(1,FIND(",",'Property Info'!$B$17&amp;",")-1)),C387)),ISNUMBER(SEARCH('Property Info'!$B$18,C387)))),"★ Active","–")))</f>
        <v/>
      </c>
      <c r="B387" t="inlineStr">
        <is>
          <t>Broomfield County</t>
        </is>
      </c>
      <c r="C387" t="inlineStr">
        <is>
          <t>Broomfield (City &amp; County)</t>
        </is>
      </c>
      <c r="D387" t="inlineStr">
        <is>
          <t>Property Assessment</t>
        </is>
      </c>
      <c r="E387" t="inlineStr">
        <is>
          <t>Valuation Process &amp; Appeals</t>
        </is>
      </c>
      <c r="F387" s="2313" t="inlineStr">
        <is>
          <t>https://www.broomfield.org/3634/Valuation-Process</t>
        </is>
      </c>
      <c r="G387" t="inlineStr">
        <is>
          <t>NOV deadlines, assessment process, and appeal procedures</t>
        </is>
      </c>
    </row>
    <row r="388" ht="15" customHeight="1" s="1439">
      <c r="A388">
        <f>IF(B388&lt;&gt;$D$3,"◌ Other",IF(C388="REGIONAL / ALL MUNICIPALITIES","Regional",IF(OR(ISNUMBER(SEARCH(LEFT('Property Info'!$B$17,MAX(1,FIND(",",'Property Info'!$B$17&amp;",")-1)),C388)),ISNUMBER(SEARCH('Property Info'!$B$18,C388)))),"★ Active","–")))</f>
        <v/>
      </c>
      <c r="B388" t="inlineStr">
        <is>
          <t>Broomfield County</t>
        </is>
      </c>
      <c r="C388" t="inlineStr">
        <is>
          <t>Broomfield (City &amp; County)</t>
        </is>
      </c>
      <c r="D388" t="inlineStr">
        <is>
          <t>Property Assessment</t>
        </is>
      </c>
      <c r="E388" t="inlineStr">
        <is>
          <t>Appeal Your Property Valuation</t>
        </is>
      </c>
      <c r="F388" s="2313" t="inlineStr">
        <is>
          <t>https://www.broomfield.org/4013/Appeal-Information</t>
        </is>
      </c>
      <c r="G388" t="inlineStr">
        <is>
          <t>Online portal to file valuation protests with documentation upload</t>
        </is>
      </c>
    </row>
    <row r="389" ht="15" customHeight="1" s="1439">
      <c r="A389">
        <f>IF(B389&lt;&gt;$D$3,"◌ Other",IF(C389="REGIONAL / ALL MUNICIPALITIES","Regional",IF(OR(ISNUMBER(SEARCH(LEFT('Property Info'!$B$17,MAX(1,FIND(",",'Property Info'!$B$17&amp;",")-1)),C389)),ISNUMBER(SEARCH('Property Info'!$B$18,C389)))),"★ Active","–")))</f>
        <v/>
      </c>
      <c r="B389" t="inlineStr">
        <is>
          <t>Broomfield County</t>
        </is>
      </c>
      <c r="C389" t="inlineStr">
        <is>
          <t>Broomfield (City &amp; County)</t>
        </is>
      </c>
      <c r="D389" t="inlineStr">
        <is>
          <t>Property Tax / Treasurer</t>
        </is>
      </c>
      <c r="E389" t="inlineStr">
        <is>
          <t>Treasurer Online Portal</t>
        </is>
      </c>
      <c r="F389" s="2313" t="inlineStr">
        <is>
          <t>https://egov.broomfield.org/treasurer/web/</t>
        </is>
      </c>
      <c r="G389" t="inlineStr">
        <is>
          <t>Tax bill search, tax notice printing, and online payment</t>
        </is>
      </c>
    </row>
    <row r="390" ht="15" customHeight="1" s="1439">
      <c r="A390">
        <f>IF(B390&lt;&gt;$D$3,"◌ Other",IF(C390="REGIONAL / ALL MUNICIPALITIES","Regional",IF(OR(ISNUMBER(SEARCH(LEFT('Property Info'!$B$17,MAX(1,FIND(",",'Property Info'!$B$17&amp;",")-1)),C390)),ISNUMBER(SEARCH('Property Info'!$B$18,C390)))),"★ Active","–")))</f>
        <v/>
      </c>
      <c r="B390" t="inlineStr">
        <is>
          <t>Broomfield County</t>
        </is>
      </c>
      <c r="C390" t="inlineStr">
        <is>
          <t>Broomfield (City &amp; County)</t>
        </is>
      </c>
      <c r="D390" t="inlineStr">
        <is>
          <t>Property Tax / Treasurer</t>
        </is>
      </c>
      <c r="E390" t="inlineStr">
        <is>
          <t>Pay Property Taxes Online</t>
        </is>
      </c>
      <c r="F390" s="2313" t="inlineStr">
        <is>
          <t>https://www.broomfield.org/2348/Pay-a-Bill-Online</t>
        </is>
      </c>
      <c r="G390" t="inlineStr">
        <is>
          <t>Online payment with EquaPay monthly installment option</t>
        </is>
      </c>
    </row>
    <row r="391" ht="15" customHeight="1" s="1439">
      <c r="A391">
        <f>IF(B391&lt;&gt;$D$3,"◌ Other",IF(C391="REGIONAL / ALL MUNICIPALITIES","Regional",IF(OR(ISNUMBER(SEARCH(LEFT('Property Info'!$B$17,MAX(1,FIND(",",'Property Info'!$B$17&amp;",")-1)),C391)),ISNUMBER(SEARCH('Property Info'!$B$18,C391)))),"★ Active","–")))</f>
        <v/>
      </c>
      <c r="B391" t="inlineStr">
        <is>
          <t>Broomfield County</t>
        </is>
      </c>
      <c r="C391" t="inlineStr">
        <is>
          <t>Broomfield (City &amp; County)</t>
        </is>
      </c>
      <c r="D391" t="inlineStr">
        <is>
          <t>Property Tax / Treasurer</t>
        </is>
      </c>
      <c r="E391" t="inlineStr">
        <is>
          <t>Property Tax 101</t>
        </is>
      </c>
      <c r="F391" s="2313" t="inlineStr">
        <is>
          <t>https://broomfield.org/4458/Property-Tax-101</t>
        </is>
      </c>
      <c r="G391" t="inlineStr">
        <is>
          <t>Mill levy, assessment rate, and tax calculation explained</t>
        </is>
      </c>
    </row>
    <row r="392" ht="15" customHeight="1" s="1439">
      <c r="A392">
        <f>IF(B392&lt;&gt;$D$3,"◌ Other",IF(C392="REGIONAL / ALL MUNICIPALITIES","Regional",IF(OR(ISNUMBER(SEARCH(LEFT('Property Info'!$B$17,MAX(1,FIND(",",'Property Info'!$B$17&amp;",")-1)),C392)),ISNUMBER(SEARCH('Property Info'!$B$18,C392)))),"★ Active","–")))</f>
        <v/>
      </c>
      <c r="B392" t="inlineStr">
        <is>
          <t>Broomfield County</t>
        </is>
      </c>
      <c r="C392" t="inlineStr">
        <is>
          <t>Broomfield (City &amp; County)</t>
        </is>
      </c>
      <c r="D392" t="inlineStr">
        <is>
          <t>Clerk &amp; Recorder / Official Records</t>
        </is>
      </c>
      <c r="E392" t="inlineStr">
        <is>
          <t>Recorder Online Portal</t>
        </is>
      </c>
      <c r="F392" s="2313" t="inlineStr">
        <is>
          <t>https://egov.broomfield.org/recorder/web/</t>
        </is>
      </c>
      <c r="G392" t="inlineStr">
        <is>
          <t>Recorded documents portal — deeds, deeds of trust, and liens from Nov 2001</t>
        </is>
      </c>
    </row>
    <row r="393" ht="15" customHeight="1" s="1439">
      <c r="A393">
        <f>IF(B393&lt;&gt;$D$3,"◌ Other",IF(C393="REGIONAL / ALL MUNICIPALITIES","Regional",IF(OR(ISNUMBER(SEARCH(LEFT('Property Info'!$B$17,MAX(1,FIND(",",'Property Info'!$B$17&amp;",")-1)),C393)),ISNUMBER(SEARCH('Property Info'!$B$18,C393)))),"★ Active","–")))</f>
        <v/>
      </c>
      <c r="B393" t="inlineStr">
        <is>
          <t>Broomfield County</t>
        </is>
      </c>
      <c r="C393" t="inlineStr">
        <is>
          <t>Broomfield (City &amp; County)</t>
        </is>
      </c>
      <c r="D393" t="inlineStr">
        <is>
          <t>Clerk &amp; Recorder / Official Records</t>
        </is>
      </c>
      <c r="E393" t="inlineStr">
        <is>
          <t>Recording Division</t>
        </is>
      </c>
      <c r="F393" s="2313" t="inlineStr">
        <is>
          <t>https://www.broomfield.org/470/Recording</t>
        </is>
      </c>
      <c r="G393" t="inlineStr">
        <is>
          <t>eRecording and in-person document recording services</t>
        </is>
      </c>
    </row>
    <row r="394" ht="15" customHeight="1" s="1439">
      <c r="A394">
        <f>IF(B394&lt;&gt;$D$3,"◌ Other",IF(C394="REGIONAL / ALL MUNICIPALITIES","Regional",IF(OR(ISNUMBER(SEARCH(LEFT('Property Info'!$B$17,MAX(1,FIND(",",'Property Info'!$B$17&amp;",")-1)),C394)),ISNUMBER(SEARCH('Property Info'!$B$18,C394)))),"★ Active","–")))</f>
        <v/>
      </c>
      <c r="B394" t="inlineStr">
        <is>
          <t>Broomfield County</t>
        </is>
      </c>
      <c r="C394" t="inlineStr">
        <is>
          <t>Broomfield (City &amp; County)</t>
        </is>
      </c>
      <c r="D394" t="inlineStr">
        <is>
          <t>GIS / Mapping</t>
        </is>
      </c>
      <c r="E394" t="inlineStr">
        <is>
          <t>Broomfield Open Data Portal</t>
        </is>
      </c>
      <c r="F394" s="2313" t="inlineStr">
        <is>
          <t>https://opendata.broomfield.org/</t>
        </is>
      </c>
      <c r="G394" t="inlineStr">
        <is>
          <t>Parcel data, addresses, zoning, and GIS layers in CSV / shapefile / GeoJSON</t>
        </is>
      </c>
    </row>
    <row r="395" ht="15" customHeight="1" s="1439">
      <c r="A395">
        <f>IF(B395&lt;&gt;$D$3,"◌ Other",IF(C395="REGIONAL / ALL MUNICIPALITIES","Regional",IF(OR(ISNUMBER(SEARCH(LEFT('Property Info'!$B$17,MAX(1,FIND(",",'Property Info'!$B$17&amp;",")-1)),C395)),ISNUMBER(SEARCH('Property Info'!$B$18,C395)))),"★ Active","–")))</f>
        <v/>
      </c>
      <c r="B395" t="inlineStr">
        <is>
          <t>Broomfield County</t>
        </is>
      </c>
      <c r="C395" t="inlineStr">
        <is>
          <t>Broomfield (City &amp; County)</t>
        </is>
      </c>
      <c r="D395" t="inlineStr">
        <is>
          <t>GIS / Mapping</t>
        </is>
      </c>
      <c r="E395" t="inlineStr">
        <is>
          <t>GIS Division &amp; Data Downloads</t>
        </is>
      </c>
      <c r="F395" s="2313" t="inlineStr">
        <is>
          <t>https://www.broomfield.org/1761/GIS-Division-Data</t>
        </is>
      </c>
      <c r="G395" t="inlineStr">
        <is>
          <t>Downloadable GIS datasets: parcels, zoning, floodplains, and more</t>
        </is>
      </c>
    </row>
    <row r="396" ht="15" customHeight="1" s="1439">
      <c r="A396">
        <f>IF(B396&lt;&gt;$D$3,"◌ Other",IF(C396="REGIONAL / ALL MUNICIPALITIES","Regional",IF(OR(ISNUMBER(SEARCH(LEFT('Property Info'!$B$17,MAX(1,FIND(",",'Property Info'!$B$17&amp;",")-1)),C396)),ISNUMBER(SEARCH('Property Info'!$B$18,C396)))),"★ Active","–")))</f>
        <v/>
      </c>
      <c r="B396" t="inlineStr">
        <is>
          <t>Broomfield County</t>
        </is>
      </c>
      <c r="C396" t="inlineStr">
        <is>
          <t>Broomfield (City &amp; County)</t>
        </is>
      </c>
      <c r="D396" t="inlineStr">
        <is>
          <t>GIS / Mapping</t>
        </is>
      </c>
      <c r="E396" t="inlineStr">
        <is>
          <t>Maps for Download</t>
        </is>
      </c>
      <c r="F396" s="2313" t="inlineStr">
        <is>
          <t>https://www.broomfield.org/225/Maps-for-Download</t>
        </is>
      </c>
      <c r="G396" t="inlineStr">
        <is>
          <t>Collection of static and interactive maps from Broomfield</t>
        </is>
      </c>
    </row>
    <row r="397" ht="15" customHeight="1" s="1439">
      <c r="A397">
        <f>IF(B397&lt;&gt;$D$3,"◌ Other",IF(C397="REGIONAL / ALL MUNICIPALITIES","Regional",IF(OR(ISNUMBER(SEARCH(LEFT('Property Info'!$B$17,MAX(1,FIND(",",'Property Info'!$B$17&amp;",")-1)),C397)),ISNUMBER(SEARCH('Property Info'!$B$18,C397)))),"★ Active","–")))</f>
        <v/>
      </c>
      <c r="B397" t="inlineStr">
        <is>
          <t>Broomfield County</t>
        </is>
      </c>
      <c r="C397" t="inlineStr">
        <is>
          <t>Broomfield (City &amp; County)</t>
        </is>
      </c>
      <c r="D397" t="inlineStr">
        <is>
          <t>Planning &amp; Zoning</t>
        </is>
      </c>
      <c r="E397" t="inlineStr">
        <is>
          <t>Planning Division</t>
        </is>
      </c>
      <c r="F397" s="2313" t="inlineStr">
        <is>
          <t>https://www.broomfield.org/290/Planning</t>
        </is>
      </c>
      <c r="G397" t="inlineStr">
        <is>
          <t>Land use planning, development review, and zoning administration</t>
        </is>
      </c>
    </row>
    <row r="398" ht="15" customHeight="1" s="1439">
      <c r="A398">
        <f>IF(B398&lt;&gt;$D$3,"◌ Other",IF(C398="REGIONAL / ALL MUNICIPALITIES","Regional",IF(OR(ISNUMBER(SEARCH(LEFT('Property Info'!$B$17,MAX(1,FIND(",",'Property Info'!$B$17&amp;",")-1)),C398)),ISNUMBER(SEARCH('Property Info'!$B$18,C398)))),"★ Active","–")))</f>
        <v/>
      </c>
      <c r="B398" t="inlineStr">
        <is>
          <t>Broomfield County</t>
        </is>
      </c>
      <c r="C398" t="inlineStr">
        <is>
          <t>Broomfield (City &amp; County)</t>
        </is>
      </c>
      <c r="D398" t="inlineStr">
        <is>
          <t>Planning &amp; Zoning</t>
        </is>
      </c>
      <c r="E398" t="inlineStr">
        <is>
          <t>Zoning Information</t>
        </is>
      </c>
      <c r="F398" s="2313" t="inlineStr">
        <is>
          <t>https://www.broomfield.org/1979/Zoning</t>
        </is>
      </c>
      <c r="G398" t="inlineStr">
        <is>
          <t>Zoning districts, regulations, and permitted uses</t>
        </is>
      </c>
    </row>
    <row r="399" ht="15" customHeight="1" s="1439">
      <c r="A399">
        <f>IF(B399&lt;&gt;$D$3,"◌ Other",IF(C399="REGIONAL / ALL MUNICIPALITIES","Regional",IF(OR(ISNUMBER(SEARCH(LEFT('Property Info'!$B$17,MAX(1,FIND(",",'Property Info'!$B$17&amp;",")-1)),C399)),ISNUMBER(SEARCH('Property Info'!$B$18,C399)))),"★ Active","–")))</f>
        <v/>
      </c>
      <c r="B399" t="inlineStr">
        <is>
          <t>Broomfield County</t>
        </is>
      </c>
      <c r="C399" t="inlineStr">
        <is>
          <t>Broomfield (City &amp; County)</t>
        </is>
      </c>
      <c r="D399" t="inlineStr">
        <is>
          <t>Planning &amp; Zoning</t>
        </is>
      </c>
      <c r="E399" t="inlineStr">
        <is>
          <t>Municipal Code Title 17 — Zoning</t>
        </is>
      </c>
      <c r="F399" s="2313" t="inlineStr">
        <is>
          <t>https://library.municode.com/co/broomfield/codes/municipal_code?nodeId=TIT17ZO</t>
        </is>
      </c>
      <c r="G399" t="inlineStr">
        <is>
          <t>Complete Broomfield zoning code with district standards and uses</t>
        </is>
      </c>
    </row>
    <row r="400" ht="15" customHeight="1" s="1439">
      <c r="A400">
        <f>IF(B400&lt;&gt;$D$3,"◌ Other",IF(C400="REGIONAL / ALL MUNICIPALITIES","Regional",IF(OR(ISNUMBER(SEARCH(LEFT('Property Info'!$B$17,MAX(1,FIND(",",'Property Info'!$B$17&amp;",")-1)),C400)),ISNUMBER(SEARCH('Property Info'!$B$18,C400)))),"★ Active","–")))</f>
        <v/>
      </c>
      <c r="B400" t="inlineStr">
        <is>
          <t>Broomfield County</t>
        </is>
      </c>
      <c r="C400" t="inlineStr">
        <is>
          <t>Broomfield (City &amp; County)</t>
        </is>
      </c>
      <c r="D400" t="inlineStr">
        <is>
          <t>Planning &amp; Zoning</t>
        </is>
      </c>
      <c r="E400" t="inlineStr">
        <is>
          <t>Building Division &amp; Permits</t>
        </is>
      </c>
      <c r="F400" s="2313" t="inlineStr">
        <is>
          <t>https://www.broomfield.org/174/Building</t>
        </is>
      </c>
      <c r="G400" t="inlineStr">
        <is>
          <t>Building permits, inspections, and code compliance</t>
        </is>
      </c>
    </row>
    <row r="401" ht="15" customHeight="1" s="1439">
      <c r="A401">
        <f>IF(B401&lt;&gt;$D$3,"◌ Other",IF(C401="REGIONAL / ALL MUNICIPALITIES","Regional",IF(OR(ISNUMBER(SEARCH(LEFT('Property Info'!$B$17,MAX(1,FIND(",",'Property Info'!$B$17&amp;",")-1)),C401)),ISNUMBER(SEARCH('Property Info'!$B$18,C401)))),"★ Active","–")))</f>
        <v/>
      </c>
      <c r="B401" t="inlineStr">
        <is>
          <t>Broomfield County</t>
        </is>
      </c>
      <c r="C401" t="inlineStr">
        <is>
          <t>Broomfield (City &amp; County)</t>
        </is>
      </c>
      <c r="D401" t="inlineStr">
        <is>
          <t>Planning &amp; Zoning</t>
        </is>
      </c>
      <c r="E401" t="inlineStr">
        <is>
          <t>Public Access Permit Search</t>
        </is>
      </c>
      <c r="F401" s="2313" t="inlineStr">
        <is>
          <t>https://www.broomfield.org/2165/Public-Access-Permit-Search</t>
        </is>
      </c>
      <c r="G401" t="inlineStr">
        <is>
          <t>Online permit and development project search</t>
        </is>
      </c>
    </row>
    <row r="402" ht="15" customHeight="1" s="1439">
      <c r="A402">
        <f>IF(B402&lt;&gt;$D$3,"◌ Other",IF(C402="REGIONAL / ALL MUNICIPALITIES","Regional",IF(OR(ISNUMBER(SEARCH(LEFT('Property Info'!$B$17,MAX(1,FIND(",",'Property Info'!$B$17&amp;",")-1)),C402)),ISNUMBER(SEARCH('Property Info'!$B$18,C402)))),"★ Active","–")))</f>
        <v/>
      </c>
      <c r="B402" t="inlineStr">
        <is>
          <t>Broomfield County</t>
        </is>
      </c>
      <c r="C402" t="inlineStr">
        <is>
          <t>Broomfield (City &amp; County)</t>
        </is>
      </c>
      <c r="D402" t="inlineStr">
        <is>
          <t>Floodplain / FEMA</t>
        </is>
      </c>
      <c r="E402" t="inlineStr">
        <is>
          <t>Broomfield Floodplain Information</t>
        </is>
      </c>
      <c r="F402" s="2313" t="inlineStr">
        <is>
          <t>https://www.broomfield.org/4101/Floodplains</t>
        </is>
      </c>
      <c r="G402" t="inlineStr">
        <is>
          <t>Local FIRM updates and flood risk areas in Broomfield</t>
        </is>
      </c>
    </row>
    <row r="403" ht="15" customHeight="1" s="1439">
      <c r="A403">
        <f>IF(B403&lt;&gt;$D$3,"◌ Other",IF(C403="REGIONAL / ALL MUNICIPALITIES","Regional",IF(OR(ISNUMBER(SEARCH(LEFT('Property Info'!$B$17,MAX(1,FIND(",",'Property Info'!$B$17&amp;",")-1)),C403)),ISNUMBER(SEARCH('Property Info'!$B$18,C403)))),"★ Active","–")))</f>
        <v/>
      </c>
      <c r="B403" t="inlineStr">
        <is>
          <t>Broomfield County</t>
        </is>
      </c>
      <c r="C403" t="inlineStr">
        <is>
          <t>Broomfield (City &amp; County)</t>
        </is>
      </c>
      <c r="D403" t="inlineStr">
        <is>
          <t>Floodplain / FEMA</t>
        </is>
      </c>
      <c r="E403" t="inlineStr">
        <is>
          <t>FEMA Map Service Center</t>
        </is>
      </c>
      <c r="F403" s="2313" t="inlineStr">
        <is>
          <t>https://msc.fema.gov/</t>
        </is>
      </c>
      <c r="G403" t="inlineStr">
        <is>
          <t>Official FEMA FIRM maps by address or community</t>
        </is>
      </c>
    </row>
    <row r="404" ht="15" customHeight="1" s="1439">
      <c r="A404">
        <f>IF(B404&lt;&gt;$D$3,"◌ Other",IF(C404="REGIONAL / ALL MUNICIPALITIES","Regional",IF(OR(ISNUMBER(SEARCH(LEFT('Property Info'!$B$17,MAX(1,FIND(",",'Property Info'!$B$17&amp;",")-1)),C404)),ISNUMBER(SEARCH('Property Info'!$B$18,C404)))),"★ Active","–")))</f>
        <v/>
      </c>
      <c r="B404" t="inlineStr">
        <is>
          <t>Broomfield County</t>
        </is>
      </c>
      <c r="C404" t="inlineStr">
        <is>
          <t>Broomfield (City &amp; County)</t>
        </is>
      </c>
      <c r="D404" t="inlineStr">
        <is>
          <t>Floodplain / FEMA</t>
        </is>
      </c>
      <c r="E404" t="inlineStr">
        <is>
          <t>Colorado Hazard Mapping Portal</t>
        </is>
      </c>
      <c r="F404" s="2313" t="inlineStr">
        <is>
          <t>https://coloradohazardmapping.com/hazardMapping/floodplainMapping</t>
        </is>
      </c>
      <c r="G404" t="inlineStr">
        <is>
          <t>Statewide floodplain and hazard mapping resource</t>
        </is>
      </c>
    </row>
    <row r="405" ht="15" customHeight="1" s="1439">
      <c r="A405">
        <f>IF(B405&lt;&gt;$D$3,"◌ Other",IF(C405="REGIONAL / ALL MUNICIPALITIES","Regional",IF(OR(ISNUMBER(SEARCH(LEFT('Property Info'!$B$17,MAX(1,FIND(",",'Property Info'!$B$17&amp;",")-1)),C405)),ISNUMBER(SEARCH('Property Info'!$B$18,C405)))),"★ Active","–")))</f>
        <v/>
      </c>
      <c r="B405" t="inlineStr">
        <is>
          <t>Broomfield County</t>
        </is>
      </c>
      <c r="C405" t="inlineStr">
        <is>
          <t>Broomfield (City &amp; County)</t>
        </is>
      </c>
      <c r="D405" t="inlineStr">
        <is>
          <t>Economic Development</t>
        </is>
      </c>
      <c r="E405" t="inlineStr">
        <is>
          <t>Economic Vitality Department</t>
        </is>
      </c>
      <c r="F405" s="2313" t="inlineStr">
        <is>
          <t>https://www.broomfield.org/247/Economic-Vitality</t>
        </is>
      </c>
      <c r="G405" t="inlineStr">
        <is>
          <t>Commercial and industrial development support for Broomfield</t>
        </is>
      </c>
    </row>
    <row r="406" ht="15" customHeight="1" s="1439">
      <c r="A406">
        <f>IF(B406&lt;&gt;$D$3,"◌ Other",IF(C406="REGIONAL / ALL MUNICIPALITIES","Regional",IF(OR(ISNUMBER(SEARCH(LEFT('Property Info'!$B$17,MAX(1,FIND(",",'Property Info'!$B$17&amp;",")-1)),C406)),ISNUMBER(SEARCH('Property Info'!$B$18,C406)))),"★ Active","–")))</f>
        <v/>
      </c>
      <c r="B406" t="inlineStr">
        <is>
          <t>Broomfield County</t>
        </is>
      </c>
      <c r="C406" t="inlineStr">
        <is>
          <t>Broomfield (City &amp; County)</t>
        </is>
      </c>
      <c r="D406" t="inlineStr">
        <is>
          <t>Economic Development</t>
        </is>
      </c>
      <c r="E406" t="inlineStr">
        <is>
          <t>Business Assistance Resources</t>
        </is>
      </c>
      <c r="F406" s="2313" t="inlineStr">
        <is>
          <t>https://broomfield.org/3970/Business-Assistance-Resources</t>
        </is>
      </c>
      <c r="G406" t="inlineStr">
        <is>
          <t>Finance, technical assistance, and development opportunities</t>
        </is>
      </c>
    </row>
    <row r="407" ht="15" customHeight="1" s="1439">
      <c r="A407">
        <f>IF(B407&lt;&gt;$D$3,"◌ Other",IF(C407="REGIONAL / ALL MUNICIPALITIES","Regional",IF(OR(ISNUMBER(SEARCH(LEFT('Property Info'!$B$17,MAX(1,FIND(",",'Property Info'!$B$17&amp;",")-1)),C407)),ISNUMBER(SEARCH('Property Info'!$B$18,C407)))),"★ Active","–")))</f>
        <v/>
      </c>
      <c r="B407" t="inlineStr">
        <is>
          <t>Broomfield County</t>
        </is>
      </c>
      <c r="C407" t="inlineStr">
        <is>
          <t>Broomfield (City &amp; County)</t>
        </is>
      </c>
      <c r="D407" t="inlineStr">
        <is>
          <t>Schools</t>
        </is>
      </c>
      <c r="E407" t="inlineStr">
        <is>
          <t>Adams 12 Five Star Schools</t>
        </is>
      </c>
      <c r="F407" s="2313" t="inlineStr">
        <is>
          <t>https://www.adams12.org/</t>
        </is>
      </c>
      <c r="G407" t="inlineStr">
        <is>
          <t>Primary district serving most of Broomfield (54 schools)</t>
        </is>
      </c>
    </row>
    <row r="408" ht="15" customHeight="1" s="1439">
      <c r="A408">
        <f>IF(B408&lt;&gt;$D$3,"◌ Other",IF(C408="REGIONAL / ALL MUNICIPALITIES","Regional",IF(OR(ISNUMBER(SEARCH(LEFT('Property Info'!$B$17,MAX(1,FIND(",",'Property Info'!$B$17&amp;",")-1)),C408)),ISNUMBER(SEARCH('Property Info'!$B$18,C408)))),"★ Active","–")))</f>
        <v/>
      </c>
      <c r="B408" t="inlineStr">
        <is>
          <t>Broomfield County</t>
        </is>
      </c>
      <c r="C408" t="inlineStr">
        <is>
          <t>Broomfield (City &amp; County)</t>
        </is>
      </c>
      <c r="D408" t="inlineStr">
        <is>
          <t>Schools</t>
        </is>
      </c>
      <c r="E408" t="inlineStr">
        <is>
          <t>Boulder Valley School District</t>
        </is>
      </c>
      <c r="F408" s="2313" t="inlineStr">
        <is>
          <t>https://www.bvsd.org/</t>
        </is>
      </c>
      <c r="G408" t="inlineStr">
        <is>
          <t>Serves portions of Broomfield near Boulder County border</t>
        </is>
      </c>
    </row>
    <row r="409" ht="15" customHeight="1" s="1439">
      <c r="A409">
        <f>IF(B409&lt;&gt;$D$3,"◌ Other",IF(C409="REGIONAL / ALL MUNICIPALITIES","Regional",IF(OR(ISNUMBER(SEARCH(LEFT('Property Info'!$B$17,MAX(1,FIND(",",'Property Info'!$B$17&amp;",")-1)),C409)),ISNUMBER(SEARCH('Property Info'!$B$18,C409)))),"★ Active","–")))</f>
        <v/>
      </c>
      <c r="B409" t="inlineStr">
        <is>
          <t>Broomfield County</t>
        </is>
      </c>
      <c r="C409" t="inlineStr">
        <is>
          <t>REGIONAL / ALL MUNICIPALITIES</t>
        </is>
      </c>
      <c r="D409" t="inlineStr">
        <is>
          <t>Property Assessment</t>
        </is>
      </c>
      <c r="E409" t="inlineStr">
        <is>
          <t>DOLA — Division of Property Taxation</t>
        </is>
      </c>
      <c r="F409" s="2313" t="inlineStr">
        <is>
          <t>https://dpt.colorado.gov/locality/broomfield-county-assessor</t>
        </is>
      </c>
      <c r="G409" t="inlineStr">
        <is>
          <t>State DPT page for Broomfield County Assessor</t>
        </is>
      </c>
    </row>
    <row r="410" ht="15" customHeight="1" s="1439">
      <c r="A410">
        <f>IF(B410&lt;&gt;$D$3,"◌ Other",IF(C410="REGIONAL / ALL MUNICIPALITIES","Regional",IF(OR(ISNUMBER(SEARCH(LEFT('Property Info'!$B$17,MAX(1,FIND(",",'Property Info'!$B$17&amp;",")-1)),C410)),ISNUMBER(SEARCH('Property Info'!$B$18,C410)))),"★ Active","–")))</f>
        <v/>
      </c>
      <c r="B410" t="inlineStr">
        <is>
          <t>Weld County</t>
        </is>
      </c>
      <c r="C410" t="inlineStr">
        <is>
          <t>Weld County (Unincorporated)</t>
        </is>
      </c>
      <c r="D410" t="inlineStr">
        <is>
          <t>Property Assessment</t>
        </is>
      </c>
      <c r="E410" t="inlineStr">
        <is>
          <t>Weld County Assessor Office</t>
        </is>
      </c>
      <c r="F410" s="2313" t="inlineStr">
        <is>
          <t>https://www.weld.gov/Government/Departments/Assessor</t>
        </is>
      </c>
      <c r="G410" t="inlineStr">
        <is>
          <t>Official assessor office — property discovery, valuation, and classification</t>
        </is>
      </c>
    </row>
    <row r="411" ht="15" customHeight="1" s="1439">
      <c r="A411">
        <f>IF(B411&lt;&gt;$D$3,"◌ Other",IF(C411="REGIONAL / ALL MUNICIPALITIES","Regional",IF(OR(ISNUMBER(SEARCH(LEFT('Property Info'!$B$17,MAX(1,FIND(",",'Property Info'!$B$17&amp;",")-1)),C411)),ISNUMBER(SEARCH('Property Info'!$B$18,C411)))),"★ Active","–")))</f>
        <v/>
      </c>
      <c r="B411" t="inlineStr">
        <is>
          <t>Weld County</t>
        </is>
      </c>
      <c r="C411" t="inlineStr">
        <is>
          <t>Weld County (Unincorporated)</t>
        </is>
      </c>
      <c r="D411" t="inlineStr">
        <is>
          <t>Property Assessment</t>
        </is>
      </c>
      <c r="E411" t="inlineStr">
        <is>
          <t>Property Data Search Portal</t>
        </is>
      </c>
      <c r="F411" s="2313" t="inlineStr">
        <is>
          <t>https://www.co.weld.co.us/apps1/propertyportal/</t>
        </is>
      </c>
      <c r="G411" t="inlineStr">
        <is>
          <t>Search by account number, name, address, subdivision, or parcel</t>
        </is>
      </c>
    </row>
    <row r="412" ht="15" customHeight="1" s="1439">
      <c r="A412">
        <f>IF(B412&lt;&gt;$D$3,"◌ Other",IF(C412="REGIONAL / ALL MUNICIPALITIES","Regional",IF(OR(ISNUMBER(SEARCH(LEFT('Property Info'!$B$17,MAX(1,FIND(",",'Property Info'!$B$17&amp;",")-1)),C412)),ISNUMBER(SEARCH('Property Info'!$B$18,C412)))),"★ Active","–")))</f>
        <v/>
      </c>
      <c r="B412" t="inlineStr">
        <is>
          <t>Weld County</t>
        </is>
      </c>
      <c r="C412" t="inlineStr">
        <is>
          <t>Weld County (Unincorporated)</t>
        </is>
      </c>
      <c r="D412" t="inlineStr">
        <is>
          <t>Property Assessment</t>
        </is>
      </c>
      <c r="E412" t="inlineStr">
        <is>
          <t>Property Portal Map Search</t>
        </is>
      </c>
      <c r="F412" s="2313" t="inlineStr">
        <is>
          <t>https://maps.weld.gov/propertyportal/</t>
        </is>
      </c>
      <c r="G412" t="inlineStr">
        <is>
          <t>Interactive GIS map for parcel and property data search</t>
        </is>
      </c>
    </row>
    <row r="413" ht="15" customHeight="1" s="1439">
      <c r="A413">
        <f>IF(B413&lt;&gt;$D$3,"◌ Other",IF(C413="REGIONAL / ALL MUNICIPALITIES","Regional",IF(OR(ISNUMBER(SEARCH(LEFT('Property Info'!$B$17,MAX(1,FIND(",",'Property Info'!$B$17&amp;",")-1)),C413)),ISNUMBER(SEARCH('Property Info'!$B$18,C413)))),"★ Active","–")))</f>
        <v/>
      </c>
      <c r="B413" t="inlineStr">
        <is>
          <t>Weld County</t>
        </is>
      </c>
      <c r="C413" t="inlineStr">
        <is>
          <t>Weld County (Unincorporated)</t>
        </is>
      </c>
      <c r="D413" t="inlineStr">
        <is>
          <t>Property Assessment</t>
        </is>
      </c>
      <c r="E413" t="inlineStr">
        <is>
          <t>NOV &amp; Appeals FAQ</t>
        </is>
      </c>
      <c r="F413" s="2313" t="inlineStr">
        <is>
          <t>https://www.weld.gov/Government/Departments/Assessor/FAQs/Frequently-Asked-Questions</t>
        </is>
      </c>
      <c r="G413" t="inlineStr">
        <is>
          <t>Notice of Valuation appeal info and assessment procedures</t>
        </is>
      </c>
    </row>
    <row r="414" ht="15" customHeight="1" s="1439">
      <c r="A414">
        <f>IF(B414&lt;&gt;$D$3,"◌ Other",IF(C414="REGIONAL / ALL MUNICIPALITIES","Regional",IF(OR(ISNUMBER(SEARCH(LEFT('Property Info'!$B$17,MAX(1,FIND(",",'Property Info'!$B$17&amp;",")-1)),C414)),ISNUMBER(SEARCH('Property Info'!$B$18,C414)))),"★ Active","–")))</f>
        <v/>
      </c>
      <c r="B414" t="inlineStr">
        <is>
          <t>Weld County</t>
        </is>
      </c>
      <c r="C414" t="inlineStr">
        <is>
          <t>Weld County (Unincorporated)</t>
        </is>
      </c>
      <c r="D414" t="inlineStr">
        <is>
          <t>Property Assessment</t>
        </is>
      </c>
      <c r="E414" t="inlineStr">
        <is>
          <t>Board of Equalization</t>
        </is>
      </c>
      <c r="F414" s="2313" t="inlineStr">
        <is>
          <t>https://www.weld.gov/Government/Departments/Commissioners/County-Board-of-Equalization</t>
        </is>
      </c>
      <c r="G414" t="inlineStr">
        <is>
          <t>BOE valuation appeals (September 1 – November 1)</t>
        </is>
      </c>
    </row>
    <row r="415" ht="15" customHeight="1" s="1439">
      <c r="A415">
        <f>IF(B415&lt;&gt;$D$3,"◌ Other",IF(C415="REGIONAL / ALL MUNICIPALITIES","Regional",IF(OR(ISNUMBER(SEARCH(LEFT('Property Info'!$B$17,MAX(1,FIND(",",'Property Info'!$B$17&amp;",")-1)),C415)),ISNUMBER(SEARCH('Property Info'!$B$18,C415)))),"★ Active","–")))</f>
        <v/>
      </c>
      <c r="B415" t="inlineStr">
        <is>
          <t>Weld County</t>
        </is>
      </c>
      <c r="C415" t="inlineStr">
        <is>
          <t>Weld County (Unincorporated)</t>
        </is>
      </c>
      <c r="D415" t="inlineStr">
        <is>
          <t>Property Tax / Treasurer</t>
        </is>
      </c>
      <c r="E415" t="inlineStr">
        <is>
          <t>Weld County Tax Portal</t>
        </is>
      </c>
      <c r="F415" s="2313" t="inlineStr">
        <is>
          <t>https://www.weldtax.com/treasurer/web/login.jsp</t>
        </is>
      </c>
      <c r="G415" t="inlineStr">
        <is>
          <t>Online tax account search and property tax payments</t>
        </is>
      </c>
    </row>
    <row r="416" ht="15" customHeight="1" s="1439">
      <c r="A416">
        <f>IF(B416&lt;&gt;$D$3,"◌ Other",IF(C416="REGIONAL / ALL MUNICIPALITIES","Regional",IF(OR(ISNUMBER(SEARCH(LEFT('Property Info'!$B$17,MAX(1,FIND(",",'Property Info'!$B$17&amp;",")-1)),C416)),ISNUMBER(SEARCH('Property Info'!$B$18,C416)))),"★ Active","–")))</f>
        <v/>
      </c>
      <c r="B416" t="inlineStr">
        <is>
          <t>Weld County</t>
        </is>
      </c>
      <c r="C416" t="inlineStr">
        <is>
          <t>Weld County (Unincorporated)</t>
        </is>
      </c>
      <c r="D416" t="inlineStr">
        <is>
          <t>Property Tax / Treasurer</t>
        </is>
      </c>
      <c r="E416" t="inlineStr">
        <is>
          <t>Pay Taxes Online</t>
        </is>
      </c>
      <c r="F416" s="2313" t="inlineStr">
        <is>
          <t>https://www.weld.gov/Info/Pay-Your-Taxes-Online</t>
        </is>
      </c>
      <c r="G416" t="inlineStr">
        <is>
          <t>Online property tax payment system</t>
        </is>
      </c>
    </row>
    <row r="417" ht="15" customHeight="1" s="1439">
      <c r="A417">
        <f>IF(B417&lt;&gt;$D$3,"◌ Other",IF(C417="REGIONAL / ALL MUNICIPALITIES","Regional",IF(OR(ISNUMBER(SEARCH(LEFT('Property Info'!$B$17,MAX(1,FIND(",",'Property Info'!$B$17&amp;",")-1)),C417)),ISNUMBER(SEARCH('Property Info'!$B$18,C417)))),"★ Active","–")))</f>
        <v/>
      </c>
      <c r="B417" t="inlineStr">
        <is>
          <t>Weld County</t>
        </is>
      </c>
      <c r="C417" t="inlineStr">
        <is>
          <t>Weld County (Unincorporated)</t>
        </is>
      </c>
      <c r="D417" t="inlineStr">
        <is>
          <t>Property Tax / Treasurer</t>
        </is>
      </c>
      <c r="E417" t="inlineStr">
        <is>
          <t>Mill Levy Report</t>
        </is>
      </c>
      <c r="F417" s="2313" t="inlineStr">
        <is>
          <t>https://www.weld.gov/Government/Departments/Assessor/Taxing-Authority-Information/Mill-Levy-Report</t>
        </is>
      </c>
      <c r="G417" t="inlineStr">
        <is>
          <t>Mill levy for 150 tax districts and 1,500+ tax areas</t>
        </is>
      </c>
    </row>
    <row r="418" ht="15" customHeight="1" s="1439">
      <c r="A418">
        <f>IF(B418&lt;&gt;$D$3,"◌ Other",IF(C418="REGIONAL / ALL MUNICIPALITIES","Regional",IF(OR(ISNUMBER(SEARCH(LEFT('Property Info'!$B$17,MAX(1,FIND(",",'Property Info'!$B$17&amp;",")-1)),C418)),ISNUMBER(SEARCH('Property Info'!$B$18,C418)))),"★ Active","–")))</f>
        <v/>
      </c>
      <c r="B418" t="inlineStr">
        <is>
          <t>Weld County</t>
        </is>
      </c>
      <c r="C418" t="inlineStr">
        <is>
          <t>Weld County (Unincorporated)</t>
        </is>
      </c>
      <c r="D418" t="inlineStr">
        <is>
          <t>Property Tax / Treasurer</t>
        </is>
      </c>
      <c r="E418" t="inlineStr">
        <is>
          <t>Taxing Authority Information</t>
        </is>
      </c>
      <c r="F418" s="2313" t="inlineStr">
        <is>
          <t>https://www.weld.gov/Government/Departments/Assessor/Taxing-Authority-Information</t>
        </is>
      </c>
      <c r="G418" t="inlineStr">
        <is>
          <t>All taxing authorities and mill levy data by district</t>
        </is>
      </c>
    </row>
    <row r="419" ht="15" customHeight="1" s="1439">
      <c r="A419">
        <f>IF(B419&lt;&gt;$D$3,"◌ Other",IF(C419="REGIONAL / ALL MUNICIPALITIES","Regional",IF(OR(ISNUMBER(SEARCH(LEFT('Property Info'!$B$17,MAX(1,FIND(",",'Property Info'!$B$17&amp;",")-1)),C419)),ISNUMBER(SEARCH('Property Info'!$B$18,C419)))),"★ Active","–")))</f>
        <v/>
      </c>
      <c r="B419" t="inlineStr">
        <is>
          <t>Weld County</t>
        </is>
      </c>
      <c r="C419" t="inlineStr">
        <is>
          <t>Weld County (Unincorporated)</t>
        </is>
      </c>
      <c r="D419" t="inlineStr">
        <is>
          <t>Property Tax / Treasurer</t>
        </is>
      </c>
      <c r="E419" t="inlineStr">
        <is>
          <t>Treasurer FAQ</t>
        </is>
      </c>
      <c r="F419" s="2313" t="inlineStr">
        <is>
          <t>https://www.weld.gov/Government/Departments/Treasurer-Public-Trustee/Treasurer/FAQ</t>
        </is>
      </c>
      <c r="G419" t="inlineStr">
        <is>
          <t>Property tax and treasurer services FAQ</t>
        </is>
      </c>
    </row>
    <row r="420" ht="15" customHeight="1" s="1439">
      <c r="A420">
        <f>IF(B420&lt;&gt;$D$3,"◌ Other",IF(C420="REGIONAL / ALL MUNICIPALITIES","Regional",IF(OR(ISNUMBER(SEARCH(LEFT('Property Info'!$B$17,MAX(1,FIND(",",'Property Info'!$B$17&amp;",")-1)),C420)),ISNUMBER(SEARCH('Property Info'!$B$18,C420)))),"★ Active","–")))</f>
        <v/>
      </c>
      <c r="B420" t="inlineStr">
        <is>
          <t>Weld County</t>
        </is>
      </c>
      <c r="C420" t="inlineStr">
        <is>
          <t>Weld County (Unincorporated)</t>
        </is>
      </c>
      <c r="D420" t="inlineStr">
        <is>
          <t>Clerk &amp; Recorder / Official Records</t>
        </is>
      </c>
      <c r="E420" t="inlineStr">
        <is>
          <t>Weld County Clerk &amp; Recorder</t>
        </is>
      </c>
      <c r="F420" s="2313" t="inlineStr">
        <is>
          <t>https://www.weld.gov/Government/Departments/Clerk-and-Recorder</t>
        </is>
      </c>
      <c r="G420" t="inlineStr">
        <is>
          <t>Official records — deeds and public documents since 1865</t>
        </is>
      </c>
    </row>
    <row r="421" ht="15" customHeight="1" s="1439">
      <c r="A421">
        <f>IF(B421&lt;&gt;$D$3,"◌ Other",IF(C421="REGIONAL / ALL MUNICIPALITIES","Regional",IF(OR(ISNUMBER(SEARCH(LEFT('Property Info'!$B$17,MAX(1,FIND(",",'Property Info'!$B$17&amp;",")-1)),C421)),ISNUMBER(SEARCH('Property Info'!$B$18,C421)))),"★ Active","–")))</f>
        <v/>
      </c>
      <c r="B421" t="inlineStr">
        <is>
          <t>Weld County</t>
        </is>
      </c>
      <c r="C421" t="inlineStr">
        <is>
          <t>Weld County (Unincorporated)</t>
        </is>
      </c>
      <c r="D421" t="inlineStr">
        <is>
          <t>Clerk &amp; Recorder / Official Records</t>
        </is>
      </c>
      <c r="E421" t="inlineStr">
        <is>
          <t>Recording Department</t>
        </is>
      </c>
      <c r="F421" s="2313" t="inlineStr">
        <is>
          <t>https://www.weld.gov/Government/Departments/Clerk-and-Recorder/Recording-Department</t>
        </is>
      </c>
      <c r="G421" t="inlineStr">
        <is>
          <t>Document recording and preservation services</t>
        </is>
      </c>
    </row>
    <row r="422" ht="15" customHeight="1" s="1439">
      <c r="A422">
        <f>IF(B422&lt;&gt;$D$3,"◌ Other",IF(C422="REGIONAL / ALL MUNICIPALITIES","Regional",IF(OR(ISNUMBER(SEARCH(LEFT('Property Info'!$B$17,MAX(1,FIND(",",'Property Info'!$B$17&amp;",")-1)),C422)),ISNUMBER(SEARCH('Property Info'!$B$18,C422)))),"★ Active","–")))</f>
        <v/>
      </c>
      <c r="B422" t="inlineStr">
        <is>
          <t>Weld County</t>
        </is>
      </c>
      <c r="C422" t="inlineStr">
        <is>
          <t>Weld County (Unincorporated)</t>
        </is>
      </c>
      <c r="D422" t="inlineStr">
        <is>
          <t>Clerk &amp; Recorder / Official Records</t>
        </is>
      </c>
      <c r="E422" t="inlineStr">
        <is>
          <t>Recorded Documents Portal</t>
        </is>
      </c>
      <c r="F422" s="2313" t="inlineStr">
        <is>
          <t>https://www.weld.gov/Government/County-Data/Recorded-Documents</t>
        </is>
      </c>
      <c r="G422" t="inlineStr">
        <is>
          <t>Self-service portal for accessing recorded documents</t>
        </is>
      </c>
    </row>
    <row r="423" ht="15" customHeight="1" s="1439">
      <c r="A423">
        <f>IF(B423&lt;&gt;$D$3,"◌ Other",IF(C423="REGIONAL / ALL MUNICIPALITIES","Regional",IF(OR(ISNUMBER(SEARCH(LEFT('Property Info'!$B$17,MAX(1,FIND(",",'Property Info'!$B$17&amp;",")-1)),C423)),ISNUMBER(SEARCH('Property Info'!$B$18,C423)))),"★ Active","–")))</f>
        <v/>
      </c>
      <c r="B423" t="inlineStr">
        <is>
          <t>Weld County</t>
        </is>
      </c>
      <c r="C423" t="inlineStr">
        <is>
          <t>Weld County (Unincorporated)</t>
        </is>
      </c>
      <c r="D423" t="inlineStr">
        <is>
          <t>GIS / Mapping</t>
        </is>
      </c>
      <c r="E423" t="inlineStr">
        <is>
          <t>Weld County GIS Hub</t>
        </is>
      </c>
      <c r="F423" s="2313" t="inlineStr">
        <is>
          <t>https://gishub.weldgov.com/</t>
        </is>
      </c>
      <c r="G423" t="inlineStr">
        <is>
          <t>GIS data portal — parcels, zoning, aerial imagery; weekly-updated datasets</t>
        </is>
      </c>
    </row>
    <row r="424" ht="15" customHeight="1" s="1439">
      <c r="A424">
        <f>IF(B424&lt;&gt;$D$3,"◌ Other",IF(C424="REGIONAL / ALL MUNICIPALITIES","Regional",IF(OR(ISNUMBER(SEARCH(LEFT('Property Info'!$B$17,MAX(1,FIND(",",'Property Info'!$B$17&amp;",")-1)),C424)),ISNUMBER(SEARCH('Property Info'!$B$18,C424)))),"★ Active","–")))</f>
        <v/>
      </c>
      <c r="B424" t="inlineStr">
        <is>
          <t>Weld County</t>
        </is>
      </c>
      <c r="C424" t="inlineStr">
        <is>
          <t>Weld County (Unincorporated)</t>
        </is>
      </c>
      <c r="D424" t="inlineStr">
        <is>
          <t>GIS / Mapping</t>
        </is>
      </c>
      <c r="E424" t="inlineStr">
        <is>
          <t>GIS Data Download</t>
        </is>
      </c>
      <c r="F424" s="2313" t="inlineStr">
        <is>
          <t>https://gishub.weldgov.com/pages/data</t>
        </is>
      </c>
      <c r="G424" t="inlineStr">
        <is>
          <t>Downloadable parcel, zoning, floodplain, and spatial datasets</t>
        </is>
      </c>
    </row>
    <row r="425" ht="15" customHeight="1" s="1439">
      <c r="A425">
        <f>IF(B425&lt;&gt;$D$3,"◌ Other",IF(C425="REGIONAL / ALL MUNICIPALITIES","Regional",IF(OR(ISNUMBER(SEARCH(LEFT('Property Info'!$B$17,MAX(1,FIND(",",'Property Info'!$B$17&amp;",")-1)),C425)),ISNUMBER(SEARCH('Property Info'!$B$18,C425)))),"★ Active","–")))</f>
        <v/>
      </c>
      <c r="B425" t="inlineStr">
        <is>
          <t>Weld County</t>
        </is>
      </c>
      <c r="C425" t="inlineStr">
        <is>
          <t>Weld County (Unincorporated)</t>
        </is>
      </c>
      <c r="D425" t="inlineStr">
        <is>
          <t>GIS / Mapping</t>
        </is>
      </c>
      <c r="E425" t="inlineStr">
        <is>
          <t>Interactive Maps</t>
        </is>
      </c>
      <c r="F425" s="2313" t="inlineStr">
        <is>
          <t>https://gishub.weldgov.com/pages/interactive-maps</t>
        </is>
      </c>
      <c r="G425" t="inlineStr">
        <is>
          <t>Collection of web maps for planning, zoning, and property data</t>
        </is>
      </c>
    </row>
    <row r="426" ht="15" customHeight="1" s="1439">
      <c r="A426">
        <f>IF(B426&lt;&gt;$D$3,"◌ Other",IF(C426="REGIONAL / ALL MUNICIPALITIES","Regional",IF(OR(ISNUMBER(SEARCH(LEFT('Property Info'!$B$17,MAX(1,FIND(",",'Property Info'!$B$17&amp;",")-1)),C426)),ISNUMBER(SEARCH('Property Info'!$B$18,C426)))),"★ Active","–")))</f>
        <v/>
      </c>
      <c r="B426" t="inlineStr">
        <is>
          <t>Weld County</t>
        </is>
      </c>
      <c r="C426" t="inlineStr">
        <is>
          <t>Weld County (Unincorporated)</t>
        </is>
      </c>
      <c r="D426" t="inlineStr">
        <is>
          <t>Planning &amp; Zoning</t>
        </is>
      </c>
      <c r="E426" t="inlineStr">
        <is>
          <t>Planning and Development Services</t>
        </is>
      </c>
      <c r="F426" s="2313" t="inlineStr">
        <is>
          <t>https://www.weld.gov/Government/Departments/Planning-and-Zoning</t>
        </is>
      </c>
      <c r="G426" t="inlineStr">
        <is>
          <t>County planning, zoning, comprehensive plans, and land use regulations</t>
        </is>
      </c>
    </row>
    <row r="427" ht="15" customHeight="1" s="1439">
      <c r="A427">
        <f>IF(B427&lt;&gt;$D$3,"◌ Other",IF(C427="REGIONAL / ALL MUNICIPALITIES","Regional",IF(OR(ISNUMBER(SEARCH(LEFT('Property Info'!$B$17,MAX(1,FIND(",",'Property Info'!$B$17&amp;",")-1)),C427)),ISNUMBER(SEARCH('Property Info'!$B$18,C427)))),"★ Active","–")))</f>
        <v/>
      </c>
      <c r="B427" t="inlineStr">
        <is>
          <t>Weld County</t>
        </is>
      </c>
      <c r="C427" t="inlineStr">
        <is>
          <t>Weld County (Unincorporated)</t>
        </is>
      </c>
      <c r="D427" t="inlineStr">
        <is>
          <t>Planning &amp; Zoning</t>
        </is>
      </c>
      <c r="E427" t="inlineStr">
        <is>
          <t>Comprehensive Plan (Ch. 22)</t>
        </is>
      </c>
      <c r="F427" s="2313" t="inlineStr">
        <is>
          <t>https://library.municode.com/co/weld_county/codes/charter_and_county_code?nodeId=CH22COPL</t>
        </is>
      </c>
      <c r="G427" t="inlineStr">
        <is>
          <t>Weld County Comprehensive Plan — policy for land use decisions</t>
        </is>
      </c>
    </row>
    <row r="428" ht="15" customHeight="1" s="1439">
      <c r="A428">
        <f>IF(B428&lt;&gt;$D$3,"◌ Other",IF(C428="REGIONAL / ALL MUNICIPALITIES","Regional",IF(OR(ISNUMBER(SEARCH(LEFT('Property Info'!$B$17,MAX(1,FIND(",",'Property Info'!$B$17&amp;",")-1)),C428)),ISNUMBER(SEARCH('Property Info'!$B$18,C428)))),"★ Active","–")))</f>
        <v/>
      </c>
      <c r="B428" t="inlineStr">
        <is>
          <t>Weld County</t>
        </is>
      </c>
      <c r="C428" t="inlineStr">
        <is>
          <t>Weld County (Unincorporated)</t>
        </is>
      </c>
      <c r="D428" t="inlineStr">
        <is>
          <t>Planning &amp; Zoning</t>
        </is>
      </c>
      <c r="E428" t="inlineStr">
        <is>
          <t>Zoning Ordinance (Ch. 23)</t>
        </is>
      </c>
      <c r="F428" s="2313" t="inlineStr">
        <is>
          <t>https://library.municode.com/co/weld_county/codes/charter_and_county_code?nodeId=CH23ZO</t>
        </is>
      </c>
      <c r="G428" t="inlineStr">
        <is>
          <t>Zoning districts, overlays, and land use regulations</t>
        </is>
      </c>
    </row>
    <row r="429" ht="15" customHeight="1" s="1439">
      <c r="A429">
        <f>IF(B429&lt;&gt;$D$3,"◌ Other",IF(C429="REGIONAL / ALL MUNICIPALITIES","Regional",IF(OR(ISNUMBER(SEARCH(LEFT('Property Info'!$B$17,MAX(1,FIND(",",'Property Info'!$B$17&amp;",")-1)),C429)),ISNUMBER(SEARCH('Property Info'!$B$18,C429)))),"★ Active","–")))</f>
        <v/>
      </c>
      <c r="B429" t="inlineStr">
        <is>
          <t>Weld County</t>
        </is>
      </c>
      <c r="C429" t="inlineStr">
        <is>
          <t>Weld County (Unincorporated)</t>
        </is>
      </c>
      <c r="D429" t="inlineStr">
        <is>
          <t>Planning &amp; Zoning</t>
        </is>
      </c>
      <c r="E429" t="inlineStr">
        <is>
          <t>Current Planning Applications</t>
        </is>
      </c>
      <c r="F429" s="2313" t="inlineStr">
        <is>
          <t>https://www.weld.gov/Government/Departments/Planning-and-Zoning/Current-Planning</t>
        </is>
      </c>
      <c r="G429" t="inlineStr">
        <is>
          <t>Land use application review and permit processing</t>
        </is>
      </c>
    </row>
    <row r="430" ht="15" customHeight="1" s="1439">
      <c r="A430">
        <f>IF(B430&lt;&gt;$D$3,"◌ Other",IF(C430="REGIONAL / ALL MUNICIPALITIES","Regional",IF(OR(ISNUMBER(SEARCH(LEFT('Property Info'!$B$17,MAX(1,FIND(",",'Property Info'!$B$17&amp;",")-1)),C430)),ISNUMBER(SEARCH('Property Info'!$B$18,C430)))),"★ Active","–")))</f>
        <v/>
      </c>
      <c r="B430" t="inlineStr">
        <is>
          <t>Weld County</t>
        </is>
      </c>
      <c r="C430" t="inlineStr">
        <is>
          <t>Weld County (Unincorporated)</t>
        </is>
      </c>
      <c r="D430" t="inlineStr">
        <is>
          <t>Floodplain / FEMA</t>
        </is>
      </c>
      <c r="E430" t="inlineStr">
        <is>
          <t>Weld County Floodplain Management</t>
        </is>
      </c>
      <c r="F430" s="2313" t="inlineStr">
        <is>
          <t>https://www.weld.gov/Government/Departments/Planning-and-Zoning/Floodplain-Management</t>
        </is>
      </c>
      <c r="G430" t="inlineStr">
        <is>
          <t>County floodplain regulations and flood hazard management</t>
        </is>
      </c>
    </row>
    <row r="431" ht="15" customHeight="1" s="1439">
      <c r="A431">
        <f>IF(B431&lt;&gt;$D$3,"◌ Other",IF(C431="REGIONAL / ALL MUNICIPALITIES","Regional",IF(OR(ISNUMBER(SEARCH(LEFT('Property Info'!$B$17,MAX(1,FIND(",",'Property Info'!$B$17&amp;",")-1)),C431)),ISNUMBER(SEARCH('Property Info'!$B$18,C431)))),"★ Active","–")))</f>
        <v/>
      </c>
      <c r="B431" t="inlineStr">
        <is>
          <t>Weld County</t>
        </is>
      </c>
      <c r="C431" t="inlineStr">
        <is>
          <t>Weld County (Unincorporated)</t>
        </is>
      </c>
      <c r="D431" t="inlineStr">
        <is>
          <t>Floodplain / FEMA</t>
        </is>
      </c>
      <c r="E431" t="inlineStr">
        <is>
          <t>Colorado Hazard Mapping — Weld County</t>
        </is>
      </c>
      <c r="F431" s="2313" t="inlineStr">
        <is>
          <t>https://coloradohazardmapping.com/county/Weld</t>
        </is>
      </c>
      <c r="G431" t="inlineStr">
        <is>
          <t>Flood hazard and erosion data specific to Weld County</t>
        </is>
      </c>
    </row>
    <row r="432" ht="15" customHeight="1" s="1439">
      <c r="A432">
        <f>IF(B432&lt;&gt;$D$3,"◌ Other",IF(C432="REGIONAL / ALL MUNICIPALITIES","Regional",IF(OR(ISNUMBER(SEARCH(LEFT('Property Info'!$B$17,MAX(1,FIND(",",'Property Info'!$B$17&amp;",")-1)),C432)),ISNUMBER(SEARCH('Property Info'!$B$18,C432)))),"★ Active","–")))</f>
        <v/>
      </c>
      <c r="B432" t="inlineStr">
        <is>
          <t>Weld County</t>
        </is>
      </c>
      <c r="C432" t="inlineStr">
        <is>
          <t>Weld County (Unincorporated)</t>
        </is>
      </c>
      <c r="D432" t="inlineStr">
        <is>
          <t>Floodplain / FEMA</t>
        </is>
      </c>
      <c r="E432" t="inlineStr">
        <is>
          <t>FEMA Map Service Center</t>
        </is>
      </c>
      <c r="F432" s="2313" t="inlineStr">
        <is>
          <t>https://msc.fema.gov/</t>
        </is>
      </c>
      <c r="G432" t="inlineStr">
        <is>
          <t>Official FEMA FIRM maps by address</t>
        </is>
      </c>
    </row>
    <row r="433" ht="15" customHeight="1" s="1439">
      <c r="A433">
        <f>IF(B433&lt;&gt;$D$3,"◌ Other",IF(C433="REGIONAL / ALL MUNICIPALITIES","Regional",IF(OR(ISNUMBER(SEARCH(LEFT('Property Info'!$B$17,MAX(1,FIND(",",'Property Info'!$B$17&amp;",")-1)),C433)),ISNUMBER(SEARCH('Property Info'!$B$18,C433)))),"★ Active","–")))</f>
        <v/>
      </c>
      <c r="B433" t="inlineStr">
        <is>
          <t>Weld County</t>
        </is>
      </c>
      <c r="C433" t="inlineStr">
        <is>
          <t>Weld County (Unincorporated)</t>
        </is>
      </c>
      <c r="D433" t="inlineStr">
        <is>
          <t>Floodplain / FEMA</t>
        </is>
      </c>
      <c r="E433" t="inlineStr">
        <is>
          <t>Colorado Fluvial Hazard Zone Mapping</t>
        </is>
      </c>
      <c r="F433" s="2313" t="inlineStr">
        <is>
          <t>https://www.coloradofhz.com/</t>
        </is>
      </c>
      <c r="G433" t="inlineStr">
        <is>
          <t>State erosion, sediment, and dynamic river hazard mapping</t>
        </is>
      </c>
    </row>
    <row r="434" ht="15" customHeight="1" s="1439">
      <c r="A434">
        <f>IF(B434&lt;&gt;$D$3,"◌ Other",IF(C434="REGIONAL / ALL MUNICIPALITIES","Regional",IF(OR(ISNUMBER(SEARCH(LEFT('Property Info'!$B$17,MAX(1,FIND(",",'Property Info'!$B$17&amp;",")-1)),C434)),ISNUMBER(SEARCH('Property Info'!$B$18,C434)))),"★ Active","–")))</f>
        <v/>
      </c>
      <c r="B434" t="inlineStr">
        <is>
          <t>Weld County</t>
        </is>
      </c>
      <c r="C434" t="inlineStr">
        <is>
          <t>Weld County (Unincorporated)</t>
        </is>
      </c>
      <c r="D434" t="inlineStr">
        <is>
          <t>Economic Development</t>
        </is>
      </c>
      <c r="E434" t="inlineStr">
        <is>
          <t>Upstate Colorado Economic Development</t>
        </is>
      </c>
      <c r="F434" s="2313" t="inlineStr">
        <is>
          <t>https://upstatecolorado.org/</t>
        </is>
      </c>
      <c r="G434" t="inlineStr">
        <is>
          <t>Public/private non-profit for Weld County business investment</t>
        </is>
      </c>
    </row>
    <row r="435" ht="15" customHeight="1" s="1439">
      <c r="A435">
        <f>IF(B435&lt;&gt;$D$3,"◌ Other",IF(C435="REGIONAL / ALL MUNICIPALITIES","Regional",IF(OR(ISNUMBER(SEARCH(LEFT('Property Info'!$B$17,MAX(1,FIND(",",'Property Info'!$B$17&amp;",")-1)),C435)),ISNUMBER(SEARCH('Property Info'!$B$18,C435)))),"★ Active","–")))</f>
        <v/>
      </c>
      <c r="B435" t="inlineStr">
        <is>
          <t>Weld County</t>
        </is>
      </c>
      <c r="C435" t="inlineStr">
        <is>
          <t>Weld County (Unincorporated)</t>
        </is>
      </c>
      <c r="D435" t="inlineStr">
        <is>
          <t>Economic Development</t>
        </is>
      </c>
      <c r="E435" t="inlineStr">
        <is>
          <t>Metro Denver Economic Council — Weld</t>
        </is>
      </c>
      <c r="F435" s="2313" t="inlineStr">
        <is>
          <t>https://www.metrodenver.org/do-business/communities/weld</t>
        </is>
      </c>
      <c r="G435" t="inlineStr">
        <is>
          <t>Regional economic data and development info for Weld County</t>
        </is>
      </c>
    </row>
    <row r="436" ht="15" customHeight="1" s="1439">
      <c r="A436">
        <f>IF(B436&lt;&gt;$D$3,"◌ Other",IF(C436="REGIONAL / ALL MUNICIPALITIES","Regional",IF(OR(ISNUMBER(SEARCH(LEFT('Property Info'!$B$17,MAX(1,FIND(",",'Property Info'!$B$17&amp;",")-1)),C436)),ISNUMBER(SEARCH('Property Info'!$B$18,C436)))),"★ Active","–")))</f>
        <v/>
      </c>
      <c r="B436" t="inlineStr">
        <is>
          <t>Weld County</t>
        </is>
      </c>
      <c r="C436" t="inlineStr">
        <is>
          <t>Weld County (Unincorporated)</t>
        </is>
      </c>
      <c r="D436" t="inlineStr">
        <is>
          <t>Schools</t>
        </is>
      </c>
      <c r="E436" t="inlineStr">
        <is>
          <t>Greeley-Evans School District 6</t>
        </is>
      </c>
      <c r="F436" s="2313" t="inlineStr">
        <is>
          <t>https://www.greeleyschools.org/</t>
        </is>
      </c>
      <c r="G436" t="inlineStr">
        <is>
          <t>Primary district serving Greeley, Evans, and unincorporated Weld County</t>
        </is>
      </c>
    </row>
    <row r="437" ht="15" customHeight="1" s="1439">
      <c r="A437">
        <f>IF(B437&lt;&gt;$D$3,"◌ Other",IF(C437="REGIONAL / ALL MUNICIPALITIES","Regional",IF(OR(ISNUMBER(SEARCH(LEFT('Property Info'!$B$17,MAX(1,FIND(",",'Property Info'!$B$17&amp;",")-1)),C437)),ISNUMBER(SEARCH('Property Info'!$B$18,C437)))),"★ Active","–")))</f>
        <v/>
      </c>
      <c r="B437" t="inlineStr">
        <is>
          <t>Weld County</t>
        </is>
      </c>
      <c r="C437" t="inlineStr">
        <is>
          <t>Weld County (Unincorporated)</t>
        </is>
      </c>
      <c r="D437" t="inlineStr">
        <is>
          <t>Schools</t>
        </is>
      </c>
      <c r="E437" t="inlineStr">
        <is>
          <t>Windsor RE-4 School District</t>
        </is>
      </c>
      <c r="F437" s="2313" t="inlineStr">
        <is>
          <t>https://www.weldre4.org/</t>
        </is>
      </c>
      <c r="G437" t="inlineStr">
        <is>
          <t>School district serving Windsor and surrounding areas</t>
        </is>
      </c>
    </row>
    <row r="438" ht="15" customHeight="1" s="1439">
      <c r="A438">
        <f>IF(B438&lt;&gt;$D$3,"◌ Other",IF(C438="REGIONAL / ALL MUNICIPALITIES","Regional",IF(OR(ISNUMBER(SEARCH(LEFT('Property Info'!$B$17,MAX(1,FIND(",",'Property Info'!$B$17&amp;",")-1)),C438)),ISNUMBER(SEARCH('Property Info'!$B$18,C438)))),"★ Active","–")))</f>
        <v/>
      </c>
      <c r="B438" t="inlineStr">
        <is>
          <t>Weld County</t>
        </is>
      </c>
      <c r="C438" t="inlineStr">
        <is>
          <t>Weld County (Unincorporated)</t>
        </is>
      </c>
      <c r="D438" t="inlineStr">
        <is>
          <t>Schools</t>
        </is>
      </c>
      <c r="E438" t="inlineStr">
        <is>
          <t>Weld RE-5J School District</t>
        </is>
      </c>
      <c r="F438" s="2313" t="inlineStr">
        <is>
          <t>https://www.weldre5j.org/</t>
        </is>
      </c>
      <c r="G438" t="inlineStr">
        <is>
          <t>School district serving northeast Weld County</t>
        </is>
      </c>
    </row>
    <row r="439" ht="15" customHeight="1" s="1439">
      <c r="A439">
        <f>IF(B439&lt;&gt;$D$3,"◌ Other",IF(C439="REGIONAL / ALL MUNICIPALITIES","Regional",IF(OR(ISNUMBER(SEARCH(LEFT('Property Info'!$B$17,MAX(1,FIND(",",'Property Info'!$B$17&amp;",")-1)),C439)),ISNUMBER(SEARCH('Property Info'!$B$18,C439)))),"★ Active","–")))</f>
        <v/>
      </c>
      <c r="B439" t="inlineStr">
        <is>
          <t>Weld County</t>
        </is>
      </c>
      <c r="C439" t="inlineStr">
        <is>
          <t>Weld County (Unincorporated)</t>
        </is>
      </c>
      <c r="D439" t="inlineStr">
        <is>
          <t>Schools</t>
        </is>
      </c>
      <c r="E439" t="inlineStr">
        <is>
          <t>Weld RE-1 School District (Platteville)</t>
        </is>
      </c>
      <c r="F439" s="2313" t="inlineStr">
        <is>
          <t>https://wcsdre1.org/en-US</t>
        </is>
      </c>
      <c r="G439" t="inlineStr">
        <is>
          <t>School district serving Platteville and surrounding areas</t>
        </is>
      </c>
    </row>
    <row r="440" ht="15" customHeight="1" s="1439">
      <c r="A440">
        <f>IF(B440&lt;&gt;$D$3,"◌ Other",IF(C440="REGIONAL / ALL MUNICIPALITIES","Regional",IF(OR(ISNUMBER(SEARCH(LEFT('Property Info'!$B$17,MAX(1,FIND(",",'Property Info'!$B$17&amp;",")-1)),C440)),ISNUMBER(SEARCH('Property Info'!$B$18,C440)))),"★ Active","–")))</f>
        <v/>
      </c>
      <c r="B440" t="inlineStr">
        <is>
          <t>Weld County</t>
        </is>
      </c>
      <c r="C440" t="inlineStr">
        <is>
          <t>Weld County (Unincorporated)</t>
        </is>
      </c>
      <c r="D440" t="inlineStr">
        <is>
          <t>Property Assessment</t>
        </is>
      </c>
      <c r="E440" t="inlineStr">
        <is>
          <t>DOLA — Division of Property Taxation</t>
        </is>
      </c>
      <c r="F440" s="2313" t="inlineStr">
        <is>
          <t>https://dpt.colorado.gov/locality/weld-county-assessor</t>
        </is>
      </c>
      <c r="G440" t="inlineStr">
        <is>
          <t>State DPT page for Weld County Assessor</t>
        </is>
      </c>
    </row>
    <row r="441" ht="15" customHeight="1" s="1439">
      <c r="A441">
        <f>IF(B441&lt;&gt;$D$3,"◌ Other",IF(C441="REGIONAL / ALL MUNICIPALITIES","Regional",IF(OR(ISNUMBER(SEARCH(LEFT('Property Info'!$B$17,MAX(1,FIND(",",'Property Info'!$B$17&amp;",")-1)),C441)),ISNUMBER(SEARCH('Property Info'!$B$18,C441)))),"★ Active","–")))</f>
        <v/>
      </c>
      <c r="B441" t="inlineStr">
        <is>
          <t>Weld County</t>
        </is>
      </c>
      <c r="C441" t="inlineStr">
        <is>
          <t>Greeley</t>
        </is>
      </c>
      <c r="D441" t="inlineStr">
        <is>
          <t>Planning &amp; Zoning</t>
        </is>
      </c>
      <c r="E441" t="inlineStr">
        <is>
          <t>City of Greeley Planning &amp; Zoning</t>
        </is>
      </c>
      <c r="F441" s="2313" t="inlineStr">
        <is>
          <t>https://greeleyco.gov/business/construction-and-growth/planning-and-zoning/</t>
        </is>
      </c>
      <c r="G441" t="inlineStr">
        <is>
          <t>Development review, zoning compliance, and planning applications</t>
        </is>
      </c>
    </row>
    <row r="442" ht="15" customHeight="1" s="1439">
      <c r="A442">
        <f>IF(B442&lt;&gt;$D$3,"◌ Other",IF(C442="REGIONAL / ALL MUNICIPALITIES","Regional",IF(OR(ISNUMBER(SEARCH(LEFT('Property Info'!$B$17,MAX(1,FIND(",",'Property Info'!$B$17&amp;",")-1)),C442)),ISNUMBER(SEARCH('Property Info'!$B$18,C442)))),"★ Active","–")))</f>
        <v/>
      </c>
      <c r="B442" t="inlineStr">
        <is>
          <t>Weld County</t>
        </is>
      </c>
      <c r="C442" t="inlineStr">
        <is>
          <t>Greeley</t>
        </is>
      </c>
      <c r="D442" t="inlineStr">
        <is>
          <t>Planning &amp; Zoning</t>
        </is>
      </c>
      <c r="E442" t="inlineStr">
        <is>
          <t>Greeley Planning Applications &amp; Permits</t>
        </is>
      </c>
      <c r="F442" s="2313" t="inlineStr">
        <is>
          <t>https://greeleyco.gov/business/construction-and-growth/planning-and-zoning/planning-applications-and-permits/</t>
        </is>
      </c>
      <c r="G442" t="inlineStr">
        <is>
          <t>Land use applications, site plans, and development permits</t>
        </is>
      </c>
    </row>
    <row r="443" ht="15" customHeight="1" s="1439">
      <c r="A443">
        <f>IF(B443&lt;&gt;$D$3,"◌ Other",IF(C443="REGIONAL / ALL MUNICIPALITIES","Regional",IF(OR(ISNUMBER(SEARCH(LEFT('Property Info'!$B$17,MAX(1,FIND(",",'Property Info'!$B$17&amp;",")-1)),C443)),ISNUMBER(SEARCH('Property Info'!$B$18,C443)))),"★ Active","–")))</f>
        <v/>
      </c>
      <c r="B443" t="inlineStr">
        <is>
          <t>Weld County</t>
        </is>
      </c>
      <c r="C443" t="inlineStr">
        <is>
          <t>Greeley</t>
        </is>
      </c>
      <c r="D443" t="inlineStr">
        <is>
          <t>Planning &amp; Zoning</t>
        </is>
      </c>
      <c r="E443" t="inlineStr">
        <is>
          <t>Greeley Municipal Development Code</t>
        </is>
      </c>
      <c r="F443" s="2313" t="inlineStr">
        <is>
          <t>https://library.municode.com/co/greeley/codes/municipal_code</t>
        </is>
      </c>
      <c r="G443" t="inlineStr">
        <is>
          <t>Title 24 development code effective October 1, 2021</t>
        </is>
      </c>
    </row>
    <row r="444" ht="15" customHeight="1" s="1439">
      <c r="A444">
        <f>IF(B444&lt;&gt;$D$3,"◌ Other",IF(C444="REGIONAL / ALL MUNICIPALITIES","Regional",IF(OR(ISNUMBER(SEARCH(LEFT('Property Info'!$B$17,MAX(1,FIND(",",'Property Info'!$B$17&amp;",")-1)),C444)),ISNUMBER(SEARCH('Property Info'!$B$18,C444)))),"★ Active","–")))</f>
        <v/>
      </c>
      <c r="B444" t="inlineStr">
        <is>
          <t>Weld County</t>
        </is>
      </c>
      <c r="C444" t="inlineStr">
        <is>
          <t>Windsor</t>
        </is>
      </c>
      <c r="D444" t="inlineStr">
        <is>
          <t>Planning &amp; Zoning</t>
        </is>
      </c>
      <c r="E444" t="inlineStr">
        <is>
          <t>Town of Windsor Planning &amp; Zoning</t>
        </is>
      </c>
      <c r="F444" s="2313" t="inlineStr">
        <is>
          <t>https://www.windsorgov.com/1229/Planning-Zoning</t>
        </is>
      </c>
      <c r="G444" t="inlineStr">
        <is>
          <t>Zoning administration, development review, and annexation proposals</t>
        </is>
      </c>
    </row>
    <row r="445" ht="15" customHeight="1" s="1439">
      <c r="A445">
        <f>IF(B445&lt;&gt;$D$3,"◌ Other",IF(C445="REGIONAL / ALL MUNICIPALITIES","Regional",IF(OR(ISNUMBER(SEARCH(LEFT('Property Info'!$B$17,MAX(1,FIND(",",'Property Info'!$B$17&amp;",")-1)),C445)),ISNUMBER(SEARCH('Property Info'!$B$18,C445)))),"★ Active","–")))</f>
        <v/>
      </c>
      <c r="B445" t="inlineStr">
        <is>
          <t>Weld County</t>
        </is>
      </c>
      <c r="C445" t="inlineStr">
        <is>
          <t>Windsor</t>
        </is>
      </c>
      <c r="D445" t="inlineStr">
        <is>
          <t>Planning &amp; Zoning</t>
        </is>
      </c>
      <c r="E445" t="inlineStr">
        <is>
          <t>Windsor Development Center</t>
        </is>
      </c>
      <c r="F445" s="2313" t="inlineStr">
        <is>
          <t>https://windsorgov.com/949/Development-Center</t>
        </is>
      </c>
      <c r="G445" t="inlineStr">
        <is>
          <t>Development review process and application assistance</t>
        </is>
      </c>
    </row>
    <row r="446" ht="15" customHeight="1" s="1439">
      <c r="A446">
        <f>IF(B446&lt;&gt;$D$3,"◌ Other",IF(C446="REGIONAL / ALL MUNICIPALITIES","Regional",IF(OR(ISNUMBER(SEARCH(LEFT('Property Info'!$B$17,MAX(1,FIND(",",'Property Info'!$B$17&amp;",")-1)),C446)),ISNUMBER(SEARCH('Property Info'!$B$18,C446)))),"★ Active","–")))</f>
        <v/>
      </c>
      <c r="B446" t="inlineStr">
        <is>
          <t>Weld County</t>
        </is>
      </c>
      <c r="C446" t="inlineStr">
        <is>
          <t>Windsor</t>
        </is>
      </c>
      <c r="D446" t="inlineStr">
        <is>
          <t>Planning &amp; Zoning</t>
        </is>
      </c>
      <c r="E446" t="inlineStr">
        <is>
          <t>Windsor Zoning Code</t>
        </is>
      </c>
      <c r="F446" s="2313" t="inlineStr">
        <is>
          <t>https://library.municode.com/co/windsor/codes/charter_and_municipal_code?nodeId=WI_CH16ZO</t>
        </is>
      </c>
      <c r="G446" t="inlineStr">
        <is>
          <t>Windsor municipal zoning ordinance and land use regulations</t>
        </is>
      </c>
    </row>
    <row r="447" ht="15" customHeight="1" s="1439">
      <c r="A447">
        <f>IF(B447&lt;&gt;$D$3,"◌ Other",IF(C447="REGIONAL / ALL MUNICIPALITIES","Regional",IF(OR(ISNUMBER(SEARCH(LEFT('Property Info'!$B$17,MAX(1,FIND(",",'Property Info'!$B$17&amp;",")-1)),C447)),ISNUMBER(SEARCH('Property Info'!$B$18,C447)))),"★ Active","–")))</f>
        <v/>
      </c>
      <c r="B447" t="inlineStr">
        <is>
          <t>Weld County</t>
        </is>
      </c>
      <c r="C447" t="inlineStr">
        <is>
          <t>Evans</t>
        </is>
      </c>
      <c r="D447" t="inlineStr">
        <is>
          <t>Planning &amp; Zoning</t>
        </is>
      </c>
      <c r="E447" t="inlineStr">
        <is>
          <t>City of Evans Planning &amp; Development</t>
        </is>
      </c>
      <c r="F447" s="2313" t="inlineStr">
        <is>
          <t>https://www.evanscolorado.gov/building-business-development/planning-and-development/</t>
        </is>
      </c>
      <c r="G447" t="inlineStr">
        <is>
          <t>Project review, approvals, and zoning administration</t>
        </is>
      </c>
    </row>
    <row r="448" ht="15" customHeight="1" s="1439">
      <c r="A448">
        <f>IF(B448&lt;&gt;$D$3,"◌ Other",IF(C448="REGIONAL / ALL MUNICIPALITIES","Regional",IF(OR(ISNUMBER(SEARCH(LEFT('Property Info'!$B$17,MAX(1,FIND(",",'Property Info'!$B$17&amp;",")-1)),C448)),ISNUMBER(SEARCH('Property Info'!$B$18,C448)))),"★ Active","–")))</f>
        <v/>
      </c>
      <c r="B448" t="inlineStr">
        <is>
          <t>Weld County</t>
        </is>
      </c>
      <c r="C448" t="inlineStr">
        <is>
          <t>Evans</t>
        </is>
      </c>
      <c r="D448" t="inlineStr">
        <is>
          <t>Planning &amp; Zoning</t>
        </is>
      </c>
      <c r="E448" t="inlineStr">
        <is>
          <t>Evans Land Development Code</t>
        </is>
      </c>
      <c r="F448" s="2313" t="inlineStr">
        <is>
          <t>https://library.municode.com/co/evans/codes/municipal_code?nodeId=MUCO_TIT18LADECO</t>
        </is>
      </c>
      <c r="G448" t="inlineStr">
        <is>
          <t>Development standards and land use regulations</t>
        </is>
      </c>
    </row>
    <row r="449" ht="15" customHeight="1" s="1439">
      <c r="A449">
        <f>IF(B449&lt;&gt;$D$3,"◌ Other",IF(C449="REGIONAL / ALL MUNICIPALITIES","Regional",IF(OR(ISNUMBER(SEARCH(LEFT('Property Info'!$B$17,MAX(1,FIND(",",'Property Info'!$B$17&amp;",")-1)),C449)),ISNUMBER(SEARCH('Property Info'!$B$18,C449)))),"★ Active","–")))</f>
        <v/>
      </c>
      <c r="B449" t="inlineStr">
        <is>
          <t>Weld County</t>
        </is>
      </c>
      <c r="C449" t="inlineStr">
        <is>
          <t>Evans</t>
        </is>
      </c>
      <c r="D449" t="inlineStr">
        <is>
          <t>Planning &amp; Zoning</t>
        </is>
      </c>
      <c r="E449" t="inlineStr">
        <is>
          <t>Evans Permits &amp; Licensing</t>
        </is>
      </c>
      <c r="F449" s="2313" t="inlineStr">
        <is>
          <t>https://www.evanscolorado.gov/your-government/applications-licenses-and-permits/</t>
        </is>
      </c>
      <c r="G449" t="inlineStr">
        <is>
          <t>Permit applications and land development procedures</t>
        </is>
      </c>
    </row>
    <row r="450" ht="15" customHeight="1" s="1439">
      <c r="A450">
        <f>IF(B450&lt;&gt;$D$3,"◌ Other",IF(C450="REGIONAL / ALL MUNICIPALITIES","Regional",IF(OR(ISNUMBER(SEARCH(LEFT('Property Info'!$B$17,MAX(1,FIND(",",'Property Info'!$B$17&amp;",")-1)),C450)),ISNUMBER(SEARCH('Property Info'!$B$18,C450)))),"★ Active","–")))</f>
        <v/>
      </c>
      <c r="B450" t="inlineStr">
        <is>
          <t>Weld County</t>
        </is>
      </c>
      <c r="C450" t="inlineStr">
        <is>
          <t>Fort Lupton</t>
        </is>
      </c>
      <c r="D450" t="inlineStr">
        <is>
          <t>Planning &amp; Zoning</t>
        </is>
      </c>
      <c r="E450" t="inlineStr">
        <is>
          <t>City of Fort Lupton Planning &amp; Building</t>
        </is>
      </c>
      <c r="F450" s="2313" t="inlineStr">
        <is>
          <t>https://www.fortluptonco.gov/159/Planning-Building</t>
        </is>
      </c>
      <c r="G450" t="inlineStr">
        <is>
          <t>Development review and permitting</t>
        </is>
      </c>
    </row>
    <row r="451" ht="15" customHeight="1" s="1439">
      <c r="A451">
        <f>IF(B451&lt;&gt;$D$3,"◌ Other",IF(C451="REGIONAL / ALL MUNICIPALITIES","Regional",IF(OR(ISNUMBER(SEARCH(LEFT('Property Info'!$B$17,MAX(1,FIND(",",'Property Info'!$B$17&amp;",")-1)),C451)),ISNUMBER(SEARCH('Property Info'!$B$18,C451)))),"★ Active","–")))</f>
        <v/>
      </c>
      <c r="B451" t="inlineStr">
        <is>
          <t>Weld County</t>
        </is>
      </c>
      <c r="C451" t="inlineStr">
        <is>
          <t>Fort Lupton</t>
        </is>
      </c>
      <c r="D451" t="inlineStr">
        <is>
          <t>Planning &amp; Zoning</t>
        </is>
      </c>
      <c r="E451" t="inlineStr">
        <is>
          <t>Fort Lupton Development Code</t>
        </is>
      </c>
      <c r="F451" s="2313" t="inlineStr">
        <is>
          <t>https://www.fortluptonco.gov/856/Fort-Lupton-Development-Code</t>
        </is>
      </c>
      <c r="G451" t="inlineStr">
        <is>
          <t>Full land use and zoning regulations</t>
        </is>
      </c>
    </row>
    <row r="452" ht="15" customHeight="1" s="1439">
      <c r="A452">
        <f>IF(B452&lt;&gt;$D$3,"◌ Other",IF(C452="REGIONAL / ALL MUNICIPALITIES","Regional",IF(OR(ISNUMBER(SEARCH(LEFT('Property Info'!$B$17,MAX(1,FIND(",",'Property Info'!$B$17&amp;",")-1)),C452)),ISNUMBER(SEARCH('Property Info'!$B$18,C452)))),"★ Active","–")))</f>
        <v/>
      </c>
      <c r="B452" t="inlineStr">
        <is>
          <t>Weld County</t>
        </is>
      </c>
      <c r="C452" t="inlineStr">
        <is>
          <t>Fort Lupton</t>
        </is>
      </c>
      <c r="D452" t="inlineStr">
        <is>
          <t>Planning &amp; Zoning</t>
        </is>
      </c>
      <c r="E452" t="inlineStr">
        <is>
          <t>Fort Lupton Zoning Verification</t>
        </is>
      </c>
      <c r="F452" s="2313" t="inlineStr">
        <is>
          <t>https://www.fortluptonco.gov/405/Zoning</t>
        </is>
      </c>
      <c r="G452" t="inlineStr">
        <is>
          <t>Zoning district information and verification requests</t>
        </is>
      </c>
    </row>
    <row r="453" ht="15" customHeight="1" s="1439">
      <c r="A453">
        <f>IF(B453&lt;&gt;$D$3,"◌ Other",IF(C453="REGIONAL / ALL MUNICIPALITIES","Regional",IF(OR(ISNUMBER(SEARCH(LEFT('Property Info'!$B$17,MAX(1,FIND(",",'Property Info'!$B$17&amp;",")-1)),C453)),ISNUMBER(SEARCH('Property Info'!$B$18,C453)))),"★ Active","–")))</f>
        <v/>
      </c>
      <c r="B453" t="inlineStr">
        <is>
          <t>Weld County</t>
        </is>
      </c>
      <c r="C453" t="inlineStr">
        <is>
          <t>Firestone</t>
        </is>
      </c>
      <c r="D453" t="inlineStr">
        <is>
          <t>Planning &amp; Zoning</t>
        </is>
      </c>
      <c r="E453" t="inlineStr">
        <is>
          <t>Town of Firestone Planning &amp; Development</t>
        </is>
      </c>
      <c r="F453" s="2313" t="inlineStr">
        <is>
          <t>https://www.firestoneco.gov/145/Planning-Development</t>
        </is>
      </c>
      <c r="G453" t="inlineStr">
        <is>
          <t>Annexation, zoning, plat, and site plan review</t>
        </is>
      </c>
    </row>
    <row r="454" ht="15" customHeight="1" s="1439">
      <c r="A454">
        <f>IF(B454&lt;&gt;$D$3,"◌ Other",IF(C454="REGIONAL / ALL MUNICIPALITIES","Regional",IF(OR(ISNUMBER(SEARCH(LEFT('Property Info'!$B$17,MAX(1,FIND(",",'Property Info'!$B$17&amp;",")-1)),C454)),ISNUMBER(SEARCH('Property Info'!$B$18,C454)))),"★ Active","–")))</f>
        <v/>
      </c>
      <c r="B454" t="inlineStr">
        <is>
          <t>Weld County</t>
        </is>
      </c>
      <c r="C454" t="inlineStr">
        <is>
          <t>Firestone</t>
        </is>
      </c>
      <c r="D454" t="inlineStr">
        <is>
          <t>Planning &amp; Zoning</t>
        </is>
      </c>
      <c r="E454" t="inlineStr">
        <is>
          <t>Firestone Development Code</t>
        </is>
      </c>
      <c r="F454" s="2313" t="inlineStr">
        <is>
          <t>https://www.firestoneco.gov/175/Development-Code</t>
        </is>
      </c>
      <c r="G454" t="inlineStr">
        <is>
          <t>Unified development code — zoning, subdivision, and processes</t>
        </is>
      </c>
    </row>
    <row r="455" ht="15" customHeight="1" s="1439">
      <c r="A455">
        <f>IF(B455&lt;&gt;$D$3,"◌ Other",IF(C455="REGIONAL / ALL MUNICIPALITIES","Regional",IF(OR(ISNUMBER(SEARCH(LEFT('Property Info'!$B$17,MAX(1,FIND(",",'Property Info'!$B$17&amp;",")-1)),C455)),ISNUMBER(SEARCH('Property Info'!$B$18,C455)))),"★ Active","–")))</f>
        <v/>
      </c>
      <c r="B455" t="inlineStr">
        <is>
          <t>Weld County</t>
        </is>
      </c>
      <c r="C455" t="inlineStr">
        <is>
          <t>Firestone</t>
        </is>
      </c>
      <c r="D455" t="inlineStr">
        <is>
          <t>Planning &amp; Zoning</t>
        </is>
      </c>
      <c r="E455" t="inlineStr">
        <is>
          <t>Firestone Maps &amp; Development Plans</t>
        </is>
      </c>
      <c r="F455" s="2313" t="inlineStr">
        <is>
          <t>https://www.firestoneco.gov/513/Maps-Development-Plans</t>
        </is>
      </c>
      <c r="G455" t="inlineStr">
        <is>
          <t>Interactive mapping for Firestone development documents</t>
        </is>
      </c>
    </row>
    <row r="456" ht="15" customHeight="1" s="1439">
      <c r="A456">
        <f>IF(B456&lt;&gt;$D$3,"◌ Other",IF(C456="REGIONAL / ALL MUNICIPALITIES","Regional",IF(OR(ISNUMBER(SEARCH(LEFT('Property Info'!$B$17,MAX(1,FIND(",",'Property Info'!$B$17&amp;",")-1)),C456)),ISNUMBER(SEARCH('Property Info'!$B$18,C456)))),"★ Active","–")))</f>
        <v/>
      </c>
      <c r="B456" t="inlineStr">
        <is>
          <t>Weld County</t>
        </is>
      </c>
      <c r="C456" t="inlineStr">
        <is>
          <t>Frederick</t>
        </is>
      </c>
      <c r="D456" t="inlineStr">
        <is>
          <t>Planning &amp; Zoning</t>
        </is>
      </c>
      <c r="E456" t="inlineStr">
        <is>
          <t>Town of Frederick Planning</t>
        </is>
      </c>
      <c r="F456" s="2313" t="inlineStr">
        <is>
          <t>https://www.frederickco.gov/349/Planning</t>
        </is>
      </c>
      <c r="G456" t="inlineStr">
        <is>
          <t>Development application review and coordination</t>
        </is>
      </c>
    </row>
    <row r="457" ht="15" customHeight="1" s="1439">
      <c r="A457">
        <f>IF(B457&lt;&gt;$D$3,"◌ Other",IF(C457="REGIONAL / ALL MUNICIPALITIES","Regional",IF(OR(ISNUMBER(SEARCH(LEFT('Property Info'!$B$17,MAX(1,FIND(",",'Property Info'!$B$17&amp;",")-1)),C457)),ISNUMBER(SEARCH('Property Info'!$B$18,C457)))),"★ Active","–")))</f>
        <v/>
      </c>
      <c r="B457" t="inlineStr">
        <is>
          <t>Weld County</t>
        </is>
      </c>
      <c r="C457" t="inlineStr">
        <is>
          <t>Frederick</t>
        </is>
      </c>
      <c r="D457" t="inlineStr">
        <is>
          <t>Planning &amp; Zoning</t>
        </is>
      </c>
      <c r="E457" t="inlineStr">
        <is>
          <t>Frederick Development Center</t>
        </is>
      </c>
      <c r="F457" s="2313" t="inlineStr">
        <is>
          <t>https://www.frederickco.gov/96/Development-Center</t>
        </is>
      </c>
      <c r="G457" t="inlineStr">
        <is>
          <t>Development services and application processing</t>
        </is>
      </c>
    </row>
    <row r="458" ht="15" customHeight="1" s="1439">
      <c r="A458">
        <f>IF(B458&lt;&gt;$D$3,"◌ Other",IF(C458="REGIONAL / ALL MUNICIPALITIES","Regional",IF(OR(ISNUMBER(SEARCH(LEFT('Property Info'!$B$17,MAX(1,FIND(",",'Property Info'!$B$17&amp;",")-1)),C458)),ISNUMBER(SEARCH('Property Info'!$B$18,C458)))),"★ Active","–")))</f>
        <v/>
      </c>
      <c r="B458" t="inlineStr">
        <is>
          <t>Weld County</t>
        </is>
      </c>
      <c r="C458" t="inlineStr">
        <is>
          <t>Frederick</t>
        </is>
      </c>
      <c r="D458" t="inlineStr">
        <is>
          <t>Planning &amp; Zoning</t>
        </is>
      </c>
      <c r="E458" t="inlineStr">
        <is>
          <t>Frederick Land Use Code</t>
        </is>
      </c>
      <c r="F458" s="2313" t="inlineStr">
        <is>
          <t>https://www.frederickco.gov/1043/Land-Use-Code</t>
        </is>
      </c>
      <c r="G458" t="inlineStr">
        <is>
          <t>Updated land use code effective June 1, 2026</t>
        </is>
      </c>
    </row>
    <row r="459" ht="15" customHeight="1" s="1439">
      <c r="A459">
        <f>IF(B459&lt;&gt;$D$3,"◌ Other",IF(C459="REGIONAL / ALL MUNICIPALITIES","Regional",IF(OR(ISNUMBER(SEARCH(LEFT('Property Info'!$B$17,MAX(1,FIND(",",'Property Info'!$B$17&amp;",")-1)),C459)),ISNUMBER(SEARCH('Property Info'!$B$18,C459)))),"★ Active","–")))</f>
        <v/>
      </c>
      <c r="B459" t="inlineStr">
        <is>
          <t>Weld County</t>
        </is>
      </c>
      <c r="C459" t="inlineStr">
        <is>
          <t>Johnstown</t>
        </is>
      </c>
      <c r="D459" t="inlineStr">
        <is>
          <t>Planning &amp; Zoning</t>
        </is>
      </c>
      <c r="E459" t="inlineStr">
        <is>
          <t>Town of Johnstown Planning &amp; Development</t>
        </is>
      </c>
      <c r="F459" s="2313" t="inlineStr">
        <is>
          <t>https://johnstownco.gov/225/Planning-Development</t>
        </is>
      </c>
      <c r="G459" t="inlineStr">
        <is>
          <t>Land use development application management</t>
        </is>
      </c>
    </row>
    <row r="460" ht="15" customHeight="1" s="1439">
      <c r="A460">
        <f>IF(B460&lt;&gt;$D$3,"◌ Other",IF(C460="REGIONAL / ALL MUNICIPALITIES","Regional",IF(OR(ISNUMBER(SEARCH(LEFT('Property Info'!$B$17,MAX(1,FIND(",",'Property Info'!$B$17&amp;",")-1)),C460)),ISNUMBER(SEARCH('Property Info'!$B$18,C460)))),"★ Active","–")))</f>
        <v/>
      </c>
      <c r="B460" t="inlineStr">
        <is>
          <t>Weld County</t>
        </is>
      </c>
      <c r="C460" t="inlineStr">
        <is>
          <t>Johnstown</t>
        </is>
      </c>
      <c r="D460" t="inlineStr">
        <is>
          <t>Planning &amp; Zoning</t>
        </is>
      </c>
      <c r="E460" t="inlineStr">
        <is>
          <t>Johnstown Comprehensive Plan</t>
        </is>
      </c>
      <c r="F460" s="2313" t="inlineStr">
        <is>
          <t>https://johnstownco.gov/537/Master-Plans</t>
        </is>
      </c>
      <c r="G460" t="inlineStr">
        <is>
          <t>Comprehensive Plan and Downtown Master Plan</t>
        </is>
      </c>
    </row>
    <row r="461" ht="15" customHeight="1" s="1439">
      <c r="A461">
        <f>IF(B461&lt;&gt;$D$3,"◌ Other",IF(C461="REGIONAL / ALL MUNICIPALITIES","Regional",IF(OR(ISNUMBER(SEARCH(LEFT('Property Info'!$B$17,MAX(1,FIND(",",'Property Info'!$B$17&amp;",")-1)),C461)),ISNUMBER(SEARCH('Property Info'!$B$18,C461)))),"★ Active","–")))</f>
        <v/>
      </c>
      <c r="B461" t="inlineStr">
        <is>
          <t>Weld County</t>
        </is>
      </c>
      <c r="C461" t="inlineStr">
        <is>
          <t>Mead</t>
        </is>
      </c>
      <c r="D461" t="inlineStr">
        <is>
          <t>Planning &amp; Zoning</t>
        </is>
      </c>
      <c r="E461" t="inlineStr">
        <is>
          <t>Town of Mead Planning Division</t>
        </is>
      </c>
      <c r="F461" s="2313" t="inlineStr">
        <is>
          <t>https://www.townofmead.org/development/page/planning-division</t>
        </is>
      </c>
      <c r="G461" t="inlineStr">
        <is>
          <t>Annexation, zoning, plat, and site plan services</t>
        </is>
      </c>
    </row>
    <row r="462" ht="15" customHeight="1" s="1439">
      <c r="A462">
        <f>IF(B462&lt;&gt;$D$3,"◌ Other",IF(C462="REGIONAL / ALL MUNICIPALITIES","Regional",IF(OR(ISNUMBER(SEARCH(LEFT('Property Info'!$B$17,MAX(1,FIND(",",'Property Info'!$B$17&amp;",")-1)),C462)),ISNUMBER(SEARCH('Property Info'!$B$18,C462)))),"★ Active","–")))</f>
        <v/>
      </c>
      <c r="B462" t="inlineStr">
        <is>
          <t>Weld County</t>
        </is>
      </c>
      <c r="C462" t="inlineStr">
        <is>
          <t>Platteville</t>
        </is>
      </c>
      <c r="D462" t="inlineStr">
        <is>
          <t>Planning &amp; Zoning</t>
        </is>
      </c>
      <c r="E462" t="inlineStr">
        <is>
          <t>Town of Platteville Planning &amp; Zoning</t>
        </is>
      </c>
      <c r="F462" s="2313" t="inlineStr">
        <is>
          <t>https://platteville.colorado.gov/planning-and-zoning</t>
        </is>
      </c>
      <c r="G462" t="inlineStr">
        <is>
          <t>Development approvals and planning administration</t>
        </is>
      </c>
    </row>
    <row r="463" ht="15" customHeight="1" s="1439">
      <c r="A463">
        <f>IF(B463&lt;&gt;$D$3,"◌ Other",IF(C463="REGIONAL / ALL MUNICIPALITIES","Regional",IF(OR(ISNUMBER(SEARCH(LEFT('Property Info'!$B$17,MAX(1,FIND(",",'Property Info'!$B$17&amp;",")-1)),C463)),ISNUMBER(SEARCH('Property Info'!$B$18,C463)))),"★ Active","–")))</f>
        <v/>
      </c>
      <c r="B463" t="inlineStr">
        <is>
          <t>Weld County</t>
        </is>
      </c>
      <c r="C463" t="inlineStr">
        <is>
          <t>Platteville</t>
        </is>
      </c>
      <c r="D463" t="inlineStr">
        <is>
          <t>Planning &amp; Zoning</t>
        </is>
      </c>
      <c r="E463" t="inlineStr">
        <is>
          <t>Platteville Municipal Code</t>
        </is>
      </c>
      <c r="F463" s="2313" t="inlineStr">
        <is>
          <t>https://platteville.colorado.gov/municipal-code</t>
        </is>
      </c>
      <c r="G463" t="inlineStr">
        <is>
          <t>Development guidelines (Chapters 15–18)</t>
        </is>
      </c>
    </row>
    <row r="464" ht="15" customHeight="1" s="1439">
      <c r="A464">
        <f>IF(B464&lt;&gt;$D$3,"◌ Other",IF(C464="REGIONAL / ALL MUNICIPALITIES","Regional",IF(OR(ISNUMBER(SEARCH(LEFT('Property Info'!$B$17,MAX(1,FIND(",",'Property Info'!$B$17&amp;",")-1)),C464)),ISNUMBER(SEARCH('Property Info'!$B$18,C464)))),"★ Active","–")))</f>
        <v/>
      </c>
      <c r="B464" t="inlineStr">
        <is>
          <t>Weld County</t>
        </is>
      </c>
      <c r="C464" t="inlineStr">
        <is>
          <t>Milliken</t>
        </is>
      </c>
      <c r="D464" t="inlineStr">
        <is>
          <t>Economic Development</t>
        </is>
      </c>
      <c r="E464" t="inlineStr">
        <is>
          <t>Town of Milliken Economic Development</t>
        </is>
      </c>
      <c r="F464" s="2313" t="inlineStr">
        <is>
          <t>https://www.millikenco.gov/168/Economic-Development</t>
        </is>
      </c>
      <c r="G464" t="inlineStr">
        <is>
          <t>Economic development and growth initiatives</t>
        </is>
      </c>
    </row>
    <row r="465" ht="15" customHeight="1" s="1439">
      <c r="A465">
        <f>IF(B465&lt;&gt;$D$3,"◌ Other",IF(C465="REGIONAL / ALL MUNICIPALITIES","Regional",IF(OR(ISNUMBER(SEARCH(LEFT('Property Info'!$B$17,MAX(1,FIND(",",'Property Info'!$B$17&amp;",")-1)),C465)),ISNUMBER(SEARCH('Property Info'!$B$18,C465)))),"★ Active","–")))</f>
        <v/>
      </c>
      <c r="B465" t="inlineStr">
        <is>
          <t>Weld County</t>
        </is>
      </c>
      <c r="C465" t="inlineStr">
        <is>
          <t>Kersey</t>
        </is>
      </c>
      <c r="D465" t="inlineStr">
        <is>
          <t>Planning &amp; Zoning</t>
        </is>
      </c>
      <c r="E465" t="inlineStr">
        <is>
          <t>Town of Kersey Planning Department</t>
        </is>
      </c>
      <c r="F465" s="2313" t="inlineStr">
        <is>
          <t>https://www.kerseygov.com/departments/planning_department/index.php</t>
        </is>
      </c>
      <c r="G465" t="inlineStr">
        <is>
          <t>Land development aligned with community vision</t>
        </is>
      </c>
    </row>
    <row r="466" ht="15" customHeight="1" s="1439">
      <c r="A466">
        <f>IF(B466&lt;&gt;$D$3,"◌ Other",IF(C466="REGIONAL / ALL MUNICIPALITIES","Regional",IF(OR(ISNUMBER(SEARCH(LEFT('Property Info'!$B$17,MAX(1,FIND(",",'Property Info'!$B$17&amp;",")-1)),C466)),ISNUMBER(SEARCH('Property Info'!$B$18,C466)))),"★ Active","–")))</f>
        <v/>
      </c>
      <c r="B466" t="inlineStr">
        <is>
          <t>Jefferson County</t>
        </is>
      </c>
      <c r="C466" t="inlineStr">
        <is>
          <t>Jefferson County (Unincorporated)</t>
        </is>
      </c>
      <c r="D466" t="inlineStr">
        <is>
          <t>Property Assessment</t>
        </is>
      </c>
      <c r="E466" t="inlineStr">
        <is>
          <t>Assessor Property Records Search</t>
        </is>
      </c>
      <c r="F466" s="2313" t="inlineStr">
        <is>
          <t>https://propertysearch.jeffco.us/</t>
        </is>
      </c>
      <c r="G466" t="inlineStr">
        <is>
          <t>Search by address, parcel ID, owner name, or schedule number; includes valuation history and sales data</t>
        </is>
      </c>
    </row>
    <row r="467" ht="15" customHeight="1" s="1439">
      <c r="A467">
        <f>IF(B467&lt;&gt;$D$3,"◌ Other",IF(C467="REGIONAL / ALL MUNICIPALITIES","Regional",IF(OR(ISNUMBER(SEARCH(LEFT('Property Info'!$B$17,MAX(1,FIND(",",'Property Info'!$B$17&amp;",")-1)),C467)),ISNUMBER(SEARCH('Property Info'!$B$18,C467)))),"★ Active","–")))</f>
        <v/>
      </c>
      <c r="B467" t="inlineStr">
        <is>
          <t>Jefferson County</t>
        </is>
      </c>
      <c r="C467" t="inlineStr">
        <is>
          <t>Jefferson County (Unincorporated)</t>
        </is>
      </c>
      <c r="D467" t="inlineStr">
        <is>
          <t>Property Assessment</t>
        </is>
      </c>
      <c r="E467" t="inlineStr">
        <is>
          <t>Assessor Office</t>
        </is>
      </c>
      <c r="F467" s="2313" t="inlineStr">
        <is>
          <t>https://www.jeffco.us/658/Assessor</t>
        </is>
      </c>
      <c r="G467" t="inlineStr">
        <is>
          <t>County assessor homepage — contact info, appointment booking, and property search links</t>
        </is>
      </c>
    </row>
    <row r="468" ht="15" customHeight="1" s="1439">
      <c r="A468">
        <f>IF(B468&lt;&gt;$D$3,"◌ Other",IF(C468="REGIONAL / ALL MUNICIPALITIES","Regional",IF(OR(ISNUMBER(SEARCH(LEFT('Property Info'!$B$17,MAX(1,FIND(",",'Property Info'!$B$17&amp;",")-1)),C468)),ISNUMBER(SEARCH('Property Info'!$B$18,C468)))),"★ Active","–")))</f>
        <v/>
      </c>
      <c r="B468" t="inlineStr">
        <is>
          <t>Jefferson County</t>
        </is>
      </c>
      <c r="C468" t="inlineStr">
        <is>
          <t>Jefferson County (Unincorporated)</t>
        </is>
      </c>
      <c r="D468" t="inlineStr">
        <is>
          <t>Property Assessment</t>
        </is>
      </c>
      <c r="E468" t="inlineStr">
        <is>
          <t>Property Valuation &amp; Appeals</t>
        </is>
      </c>
      <c r="F468" s="2313" t="inlineStr">
        <is>
          <t>https://www.jeffco.us/4593/20252026-Property-Valuation-and-Appeal-I</t>
        </is>
      </c>
      <c r="G468" t="inlineStr">
        <is>
          <t>NOV information, appeal deadlines, and assessment appeal process</t>
        </is>
      </c>
    </row>
    <row r="469" ht="15" customHeight="1" s="1439">
      <c r="A469">
        <f>IF(B469&lt;&gt;$D$3,"◌ Other",IF(C469="REGIONAL / ALL MUNICIPALITIES","Regional",IF(OR(ISNUMBER(SEARCH(LEFT('Property Info'!$B$17,MAX(1,FIND(",",'Property Info'!$B$17&amp;",")-1)),C469)),ISNUMBER(SEARCH('Property Info'!$B$18,C469)))),"★ Active","–")))</f>
        <v/>
      </c>
      <c r="B469" t="inlineStr">
        <is>
          <t>Jefferson County</t>
        </is>
      </c>
      <c r="C469" t="inlineStr">
        <is>
          <t>Jefferson County (Unincorporated)</t>
        </is>
      </c>
      <c r="D469" t="inlineStr">
        <is>
          <t>Property Assessment</t>
        </is>
      </c>
      <c r="E469" t="inlineStr">
        <is>
          <t>Appealing Real Property Valuation</t>
        </is>
      </c>
      <c r="F469" s="2313" t="inlineStr">
        <is>
          <t>https://www.jeffco.us/435/Appealing-Real-Property-Valuation</t>
        </is>
      </c>
      <c r="G469" t="inlineStr">
        <is>
          <t>Instructions and timeline for appealing assessed values to the BOE</t>
        </is>
      </c>
    </row>
    <row r="470" ht="15" customHeight="1" s="1439">
      <c r="A470">
        <f>IF(B470&lt;&gt;$D$3,"◌ Other",IF(C470="REGIONAL / ALL MUNICIPALITIES","Regional",IF(OR(ISNUMBER(SEARCH(LEFT('Property Info'!$B$17,MAX(1,FIND(",",'Property Info'!$B$17&amp;",")-1)),C470)),ISNUMBER(SEARCH('Property Info'!$B$18,C470)))),"★ Active","–")))</f>
        <v/>
      </c>
      <c r="B470" t="inlineStr">
        <is>
          <t>Jefferson County</t>
        </is>
      </c>
      <c r="C470" t="inlineStr">
        <is>
          <t>Jefferson County (Unincorporated)</t>
        </is>
      </c>
      <c r="D470" t="inlineStr">
        <is>
          <t>Property Assessment</t>
        </is>
      </c>
      <c r="E470" t="inlineStr">
        <is>
          <t>Commercial Property Valuation</t>
        </is>
      </c>
      <c r="F470" s="2313" t="inlineStr">
        <is>
          <t>https://www.jeffco.us/514/Commercial-Property</t>
        </is>
      </c>
      <c r="G470" t="inlineStr">
        <is>
          <t>Commercial valuation methods, Marshall Valuation data, and appraiser contacts</t>
        </is>
      </c>
    </row>
    <row r="471" ht="15" customHeight="1" s="1439">
      <c r="A471">
        <f>IF(B471&lt;&gt;$D$3,"◌ Other",IF(C471="REGIONAL / ALL MUNICIPALITIES","Regional",IF(OR(ISNUMBER(SEARCH(LEFT('Property Info'!$B$17,MAX(1,FIND(",",'Property Info'!$B$17&amp;",")-1)),C471)),ISNUMBER(SEARCH('Property Info'!$B$18,C471)))),"★ Active","–")))</f>
        <v/>
      </c>
      <c r="B471" t="inlineStr">
        <is>
          <t>Jefferson County</t>
        </is>
      </c>
      <c r="C471" t="inlineStr">
        <is>
          <t>Jefferson County (Unincorporated)</t>
        </is>
      </c>
      <c r="D471" t="inlineStr">
        <is>
          <t>Property Assessment</t>
        </is>
      </c>
      <c r="E471" t="inlineStr">
        <is>
          <t>Parcel Maps</t>
        </is>
      </c>
      <c r="F471" s="2313" t="inlineStr">
        <is>
          <t>https://www.jeffco.us/713/Parcel-Maps</t>
        </is>
      </c>
      <c r="G471" t="inlineStr">
        <is>
          <t>Interactive parcel mapping with graphical selection, printing, and query tools</t>
        </is>
      </c>
    </row>
    <row r="472" ht="15" customHeight="1" s="1439">
      <c r="A472">
        <f>IF(B472&lt;&gt;$D$3,"◌ Other",IF(C472="REGIONAL / ALL MUNICIPALITIES","Regional",IF(OR(ISNUMBER(SEARCH(LEFT('Property Info'!$B$17,MAX(1,FIND(",",'Property Info'!$B$17&amp;",")-1)),C472)),ISNUMBER(SEARCH('Property Info'!$B$18,C472)))),"★ Active","–")))</f>
        <v/>
      </c>
      <c r="B472" t="inlineStr">
        <is>
          <t>Jefferson County</t>
        </is>
      </c>
      <c r="C472" t="inlineStr">
        <is>
          <t>Jefferson County (Unincorporated)</t>
        </is>
      </c>
      <c r="D472" t="inlineStr">
        <is>
          <t>Property Tax / Treasurer</t>
        </is>
      </c>
      <c r="E472" t="inlineStr">
        <is>
          <t>Treasurer Property Records Search</t>
        </is>
      </c>
      <c r="F472" s="2313" t="inlineStr">
        <is>
          <t>https://treasurerpropertysearch.jeffco.us/</t>
        </is>
      </c>
      <c r="G472" t="inlineStr">
        <is>
          <t>Tax information, bills, and account search by address, PIN, or owner</t>
        </is>
      </c>
    </row>
    <row r="473" ht="15" customHeight="1" s="1439">
      <c r="A473">
        <f>IF(B473&lt;&gt;$D$3,"◌ Other",IF(C473="REGIONAL / ALL MUNICIPALITIES","Regional",IF(OR(ISNUMBER(SEARCH(LEFT('Property Info'!$B$17,MAX(1,FIND(",",'Property Info'!$B$17&amp;",")-1)),C473)),ISNUMBER(SEARCH('Property Info'!$B$18,C473)))),"★ Active","–")))</f>
        <v/>
      </c>
      <c r="B473" t="inlineStr">
        <is>
          <t>Jefferson County</t>
        </is>
      </c>
      <c r="C473" t="inlineStr">
        <is>
          <t>Jefferson County (Unincorporated)</t>
        </is>
      </c>
      <c r="D473" t="inlineStr">
        <is>
          <t>Property Tax / Treasurer</t>
        </is>
      </c>
      <c r="E473" t="inlineStr">
        <is>
          <t>Treasurer Office</t>
        </is>
      </c>
      <c r="F473" s="2313" t="inlineStr">
        <is>
          <t>https://www.jeffco.us/809/Treasurer</t>
        </is>
      </c>
      <c r="G473" t="inlineStr">
        <is>
          <t>Treasurer contact info, payment options, and office hours</t>
        </is>
      </c>
    </row>
    <row r="474" ht="15" customHeight="1" s="1439">
      <c r="A474">
        <f>IF(B474&lt;&gt;$D$3,"◌ Other",IF(C474="REGIONAL / ALL MUNICIPALITIES","Regional",IF(OR(ISNUMBER(SEARCH(LEFT('Property Info'!$B$17,MAX(1,FIND(",",'Property Info'!$B$17&amp;",")-1)),C474)),ISNUMBER(SEARCH('Property Info'!$B$18,C474)))),"★ Active","–")))</f>
        <v/>
      </c>
      <c r="B474" t="inlineStr">
        <is>
          <t>Jefferson County</t>
        </is>
      </c>
      <c r="C474" t="inlineStr">
        <is>
          <t>Jefferson County (Unincorporated)</t>
        </is>
      </c>
      <c r="D474" t="inlineStr">
        <is>
          <t>Property Tax / Treasurer</t>
        </is>
      </c>
      <c r="E474" t="inlineStr">
        <is>
          <t>Property Taxes</t>
        </is>
      </c>
      <c r="F474" s="2313" t="inlineStr">
        <is>
          <t>https://www.jeffco.us/2415/Property-Taxes</t>
        </is>
      </c>
      <c r="G474" t="inlineStr">
        <is>
          <t>Mill levy, tax determination process, and payment details</t>
        </is>
      </c>
    </row>
    <row r="475" ht="15" customHeight="1" s="1439">
      <c r="A475">
        <f>IF(B475&lt;&gt;$D$3,"◌ Other",IF(C475="REGIONAL / ALL MUNICIPALITIES","Regional",IF(OR(ISNUMBER(SEARCH(LEFT('Property Info'!$B$17,MAX(1,FIND(",",'Property Info'!$B$17&amp;",")-1)),C475)),ISNUMBER(SEARCH('Property Info'!$B$18,C475)))),"★ Active","–")))</f>
        <v/>
      </c>
      <c r="B475" t="inlineStr">
        <is>
          <t>Jefferson County</t>
        </is>
      </c>
      <c r="C475" t="inlineStr">
        <is>
          <t>Jefferson County (Unincorporated)</t>
        </is>
      </c>
      <c r="D475" t="inlineStr">
        <is>
          <t>Property Tax / Treasurer</t>
        </is>
      </c>
      <c r="E475" t="inlineStr">
        <is>
          <t>Mill Levy &amp; Tax Rate Determination</t>
        </is>
      </c>
      <c r="F475" s="2313" t="inlineStr">
        <is>
          <t>https://www.jeffco.us/822/Determination-of-Tax-Rates</t>
        </is>
      </c>
      <c r="G475" t="inlineStr">
        <is>
          <t>How tax rates are determined and mill levy information by district</t>
        </is>
      </c>
    </row>
    <row r="476" ht="15" customHeight="1" s="1439">
      <c r="A476">
        <f>IF(B476&lt;&gt;$D$3,"◌ Other",IF(C476="REGIONAL / ALL MUNICIPALITIES","Regional",IF(OR(ISNUMBER(SEARCH(LEFT('Property Info'!$B$17,MAX(1,FIND(",",'Property Info'!$B$17&amp;",")-1)),C476)),ISNUMBER(SEARCH('Property Info'!$B$18,C476)))),"★ Active","–")))</f>
        <v/>
      </c>
      <c r="B476" t="inlineStr">
        <is>
          <t>Jefferson County</t>
        </is>
      </c>
      <c r="C476" t="inlineStr">
        <is>
          <t>Jefferson County (Unincorporated)</t>
        </is>
      </c>
      <c r="D476" t="inlineStr">
        <is>
          <t>Clerk &amp; Recorder / Official Records</t>
        </is>
      </c>
      <c r="E476" t="inlineStr">
        <is>
          <t>Clerk &amp; Recorder Web Access (Land Records)</t>
        </is>
      </c>
      <c r="F476" s="2313" t="inlineStr">
        <is>
          <t>https://landrecords.co.jefferson.co.us/</t>
        </is>
      </c>
      <c r="G476" t="inlineStr">
        <is>
          <t>Deeds, liens, plats, and UCC filings back to 1859</t>
        </is>
      </c>
    </row>
    <row r="477" ht="15" customHeight="1" s="1439">
      <c r="A477">
        <f>IF(B477&lt;&gt;$D$3,"◌ Other",IF(C477="REGIONAL / ALL MUNICIPALITIES","Regional",IF(OR(ISNUMBER(SEARCH(LEFT('Property Info'!$B$17,MAX(1,FIND(",",'Property Info'!$B$17&amp;",")-1)),C477)),ISNUMBER(SEARCH('Property Info'!$B$18,C477)))),"★ Active","–")))</f>
        <v/>
      </c>
      <c r="B477" t="inlineStr">
        <is>
          <t>Jefferson County</t>
        </is>
      </c>
      <c r="C477" t="inlineStr">
        <is>
          <t>Jefferson County (Unincorporated)</t>
        </is>
      </c>
      <c r="D477" t="inlineStr">
        <is>
          <t>Clerk &amp; Recorder / Official Records</t>
        </is>
      </c>
      <c r="E477" t="inlineStr">
        <is>
          <t>Clerk &amp; Recorder Office</t>
        </is>
      </c>
      <c r="F477" s="2313" t="inlineStr">
        <is>
          <t>https://www.jeffco.us/4871/Clerk-Recorder</t>
        </is>
      </c>
      <c r="G477" t="inlineStr">
        <is>
          <t>County clerk and recorder office information and services</t>
        </is>
      </c>
    </row>
    <row r="478" ht="15" customHeight="1" s="1439">
      <c r="A478">
        <f>IF(B478&lt;&gt;$D$3,"◌ Other",IF(C478="REGIONAL / ALL MUNICIPALITIES","Regional",IF(OR(ISNUMBER(SEARCH(LEFT('Property Info'!$B$17,MAX(1,FIND(",",'Property Info'!$B$17&amp;",")-1)),C478)),ISNUMBER(SEARCH('Property Info'!$B$18,C478)))),"★ Active","–")))</f>
        <v/>
      </c>
      <c r="B478" t="inlineStr">
        <is>
          <t>Jefferson County</t>
        </is>
      </c>
      <c r="C478" t="inlineStr">
        <is>
          <t>Jefferson County (Unincorporated)</t>
        </is>
      </c>
      <c r="D478" t="inlineStr">
        <is>
          <t>Clerk &amp; Recorder / Official Records</t>
        </is>
      </c>
      <c r="E478" t="inlineStr">
        <is>
          <t>Recording Services</t>
        </is>
      </c>
      <c r="F478" s="2313" t="inlineStr">
        <is>
          <t>https://www.jeffco.us/398/Recording</t>
        </is>
      </c>
      <c r="G478" t="inlineStr">
        <is>
          <t>Document recording procedures and submission information</t>
        </is>
      </c>
    </row>
    <row r="479" ht="15" customHeight="1" s="1439">
      <c r="A479">
        <f>IF(B479&lt;&gt;$D$3,"◌ Other",IF(C479="REGIONAL / ALL MUNICIPALITIES","Regional",IF(OR(ISNUMBER(SEARCH(LEFT('Property Info'!$B$17,MAX(1,FIND(",",'Property Info'!$B$17&amp;",")-1)),C479)),ISNUMBER(SEARCH('Property Info'!$B$18,C479)))),"★ Active","–")))</f>
        <v/>
      </c>
      <c r="B479" t="inlineStr">
        <is>
          <t>Jefferson County</t>
        </is>
      </c>
      <c r="C479" t="inlineStr">
        <is>
          <t>Jefferson County (Unincorporated)</t>
        </is>
      </c>
      <c r="D479" t="inlineStr">
        <is>
          <t>GIS / Mapping</t>
        </is>
      </c>
      <c r="E479" t="inlineStr">
        <is>
          <t>Jefferson County Web Maps (jMap)</t>
        </is>
      </c>
      <c r="F479" s="2313" t="inlineStr">
        <is>
          <t>https://gis.jeffco.us/</t>
        </is>
      </c>
      <c r="G479" t="inlineStr">
        <is>
          <t>Interactive GIS portal with property, zoning, development, and tax layers</t>
        </is>
      </c>
    </row>
    <row r="480" ht="15" customHeight="1" s="1439">
      <c r="A480">
        <f>IF(B480&lt;&gt;$D$3,"◌ Other",IF(C480="REGIONAL / ALL MUNICIPALITIES","Regional",IF(OR(ISNUMBER(SEARCH(LEFT('Property Info'!$B$17,MAX(1,FIND(",",'Property Info'!$B$17&amp;",")-1)),C480)),ISNUMBER(SEARCH('Property Info'!$B$18,C480)))),"★ Active","–")))</f>
        <v/>
      </c>
      <c r="B480" t="inlineStr">
        <is>
          <t>Jefferson County</t>
        </is>
      </c>
      <c r="C480" t="inlineStr">
        <is>
          <t>Jefferson County (Unincorporated)</t>
        </is>
      </c>
      <c r="D480" t="inlineStr">
        <is>
          <t>GIS / Mapping</t>
        </is>
      </c>
      <c r="E480" t="inlineStr">
        <is>
          <t>Jefferson County Open Data (ArcGIS Hub)</t>
        </is>
      </c>
      <c r="F480" s="2313" t="inlineStr">
        <is>
          <t>https://data-jeffersoncounty.opendata.arcgis.com/</t>
        </is>
      </c>
      <c r="G480" t="inlineStr">
        <is>
          <t>Downloadable GIS datasets: parcels, zoning, infrastructure, and more</t>
        </is>
      </c>
    </row>
    <row r="481" ht="15" customHeight="1" s="1439">
      <c r="A481">
        <f>IF(B481&lt;&gt;$D$3,"◌ Other",IF(C481="REGIONAL / ALL MUNICIPALITIES","Regional",IF(OR(ISNUMBER(SEARCH(LEFT('Property Info'!$B$17,MAX(1,FIND(",",'Property Info'!$B$17&amp;",")-1)),C481)),ISNUMBER(SEARCH('Property Info'!$B$18,C481)))),"★ Active","–")))</f>
        <v/>
      </c>
      <c r="B481" t="inlineStr">
        <is>
          <t>Jefferson County</t>
        </is>
      </c>
      <c r="C481" t="inlineStr">
        <is>
          <t>Jefferson County (Unincorporated)</t>
        </is>
      </c>
      <c r="D481" t="inlineStr">
        <is>
          <t>GIS / Mapping</t>
        </is>
      </c>
      <c r="E481" t="inlineStr">
        <is>
          <t>Maps &amp; Data Download</t>
        </is>
      </c>
      <c r="F481" s="2313" t="inlineStr">
        <is>
          <t>https://www.jeffco.us/3165/Maps-Data-Download</t>
        </is>
      </c>
      <c r="G481" t="inlineStr">
        <is>
          <t>County GIS data downloads including parcel and property boundary files</t>
        </is>
      </c>
    </row>
    <row r="482" ht="15" customHeight="1" s="1439">
      <c r="A482">
        <f>IF(B482&lt;&gt;$D$3,"◌ Other",IF(C482="REGIONAL / ALL MUNICIPALITIES","Regional",IF(OR(ISNUMBER(SEARCH(LEFT('Property Info'!$B$17,MAX(1,FIND(",",'Property Info'!$B$17&amp;",")-1)),C482)),ISNUMBER(SEARCH('Property Info'!$B$18,C482)))),"★ Active","–")))</f>
        <v/>
      </c>
      <c r="B482" t="inlineStr">
        <is>
          <t>Jefferson County</t>
        </is>
      </c>
      <c r="C482" t="inlineStr">
        <is>
          <t>Jefferson County (Unincorporated)</t>
        </is>
      </c>
      <c r="D482" t="inlineStr">
        <is>
          <t>Planning &amp; Zoning</t>
        </is>
      </c>
      <c r="E482" t="inlineStr">
        <is>
          <t>Planning &amp; Zoning Division</t>
        </is>
      </c>
      <c r="F482" s="2313" t="inlineStr">
        <is>
          <t>https://www.jeffco.us/786/Planning-Zoning</t>
        </is>
      </c>
      <c r="G482" t="inlineStr">
        <is>
          <t>County planning and zoning office — development review and land use regulations</t>
        </is>
      </c>
    </row>
    <row r="483" ht="15" customHeight="1" s="1439">
      <c r="A483">
        <f>IF(B483&lt;&gt;$D$3,"◌ Other",IF(C483="REGIONAL / ALL MUNICIPALITIES","Regional",IF(OR(ISNUMBER(SEARCH(LEFT('Property Info'!$B$17,MAX(1,FIND(",",'Property Info'!$B$17&amp;",")-1)),C483)),ISNUMBER(SEARCH('Property Info'!$B$18,C483)))),"★ Active","–")))</f>
        <v/>
      </c>
      <c r="B483" t="inlineStr">
        <is>
          <t>Jefferson County</t>
        </is>
      </c>
      <c r="C483" t="inlineStr">
        <is>
          <t>Jefferson County (Unincorporated)</t>
        </is>
      </c>
      <c r="D483" t="inlineStr">
        <is>
          <t>Planning &amp; Zoning</t>
        </is>
      </c>
      <c r="E483" t="inlineStr">
        <is>
          <t>Unified Land Use Code (ULUC)</t>
        </is>
      </c>
      <c r="F483" s="2313" t="inlineStr">
        <is>
          <t>https://togetherjeffco.com/uluc</t>
        </is>
      </c>
      <c r="G483" t="inlineStr">
        <is>
          <t>Consolidated land use code with zoning, development standards, and design criteria</t>
        </is>
      </c>
    </row>
    <row r="484" ht="15" customHeight="1" s="1439">
      <c r="A484">
        <f>IF(B484&lt;&gt;$D$3,"◌ Other",IF(C484="REGIONAL / ALL MUNICIPALITIES","Regional",IF(OR(ISNUMBER(SEARCH(LEFT('Property Info'!$B$17,MAX(1,FIND(",",'Property Info'!$B$17&amp;",")-1)),C484)),ISNUMBER(SEARCH('Property Info'!$B$18,C484)))),"★ Active","–")))</f>
        <v/>
      </c>
      <c r="B484" t="inlineStr">
        <is>
          <t>Jefferson County</t>
        </is>
      </c>
      <c r="C484" t="inlineStr">
        <is>
          <t>Jefferson County (Unincorporated)</t>
        </is>
      </c>
      <c r="D484" t="inlineStr">
        <is>
          <t>Planning &amp; Zoning</t>
        </is>
      </c>
      <c r="E484" t="inlineStr">
        <is>
          <t>Zoning Resolution</t>
        </is>
      </c>
      <c r="F484" s="2313" t="inlineStr">
        <is>
          <t>https://www.jeffco.us/2460/Zoning-Resolution</t>
        </is>
      </c>
      <c r="G484" t="inlineStr">
        <is>
          <t>District designations, uses, setbacks, and lot size requirements</t>
        </is>
      </c>
    </row>
    <row r="485" ht="15" customHeight="1" s="1439">
      <c r="A485">
        <f>IF(B485&lt;&gt;$D$3,"◌ Other",IF(C485="REGIONAL / ALL MUNICIPALITIES","Regional",IF(OR(ISNUMBER(SEARCH(LEFT('Property Info'!$B$17,MAX(1,FIND(",",'Property Info'!$B$17&amp;",")-1)),C485)),ISNUMBER(SEARCH('Property Info'!$B$18,C485)))),"★ Active","–")))</f>
        <v/>
      </c>
      <c r="B485" t="inlineStr">
        <is>
          <t>Jefferson County</t>
        </is>
      </c>
      <c r="C485" t="inlineStr">
        <is>
          <t>Jefferson County (Unincorporated)</t>
        </is>
      </c>
      <c r="D485" t="inlineStr">
        <is>
          <t>Planning &amp; Zoning</t>
        </is>
      </c>
      <c r="E485" t="inlineStr">
        <is>
          <t>Comprehensive Master Plan</t>
        </is>
      </c>
      <c r="F485" s="2313" t="inlineStr">
        <is>
          <t>https://www.jeffco.us/2468/Comprehensive-Master-Plan</t>
        </is>
      </c>
      <c r="G485" t="inlineStr">
        <is>
          <t>County comprehensive plan guiding long-range land use decisions</t>
        </is>
      </c>
    </row>
    <row r="486" ht="15" customHeight="1" s="1439">
      <c r="A486">
        <f>IF(B486&lt;&gt;$D$3,"◌ Other",IF(C486="REGIONAL / ALL MUNICIPALITIES","Regional",IF(OR(ISNUMBER(SEARCH(LEFT('Property Info'!$B$17,MAX(1,FIND(",",'Property Info'!$B$17&amp;",")-1)),C486)),ISNUMBER(SEARCH('Property Info'!$B$18,C486)))),"★ Active","–")))</f>
        <v/>
      </c>
      <c r="B486" t="inlineStr">
        <is>
          <t>Jefferson County</t>
        </is>
      </c>
      <c r="C486" t="inlineStr">
        <is>
          <t>Jefferson County (Unincorporated)</t>
        </is>
      </c>
      <c r="D486" t="inlineStr">
        <is>
          <t>Planning &amp; Zoning</t>
        </is>
      </c>
      <c r="E486" t="inlineStr">
        <is>
          <t>Area Plans</t>
        </is>
      </c>
      <c r="F486" s="2313" t="inlineStr">
        <is>
          <t>https://www.jeffco.us/2477/Area-Plans</t>
        </is>
      </c>
      <c r="G486" t="inlineStr">
        <is>
          <t>Central Mountains, Conifer/285 Corridor, and plains area-specific plans</t>
        </is>
      </c>
    </row>
    <row r="487" ht="15" customHeight="1" s="1439">
      <c r="A487">
        <f>IF(B487&lt;&gt;$D$3,"◌ Other",IF(C487="REGIONAL / ALL MUNICIPALITIES","Regional",IF(OR(ISNUMBER(SEARCH(LEFT('Property Info'!$B$17,MAX(1,FIND(",",'Property Info'!$B$17&amp;",")-1)),C487)),ISNUMBER(SEARCH('Property Info'!$B$18,C487)))),"★ Active","–")))</f>
        <v/>
      </c>
      <c r="B487" t="inlineStr">
        <is>
          <t>Jefferson County</t>
        </is>
      </c>
      <c r="C487" t="inlineStr">
        <is>
          <t>Jefferson County (Unincorporated)</t>
        </is>
      </c>
      <c r="D487" t="inlineStr">
        <is>
          <t>Planning &amp; Zoning</t>
        </is>
      </c>
      <c r="E487" t="inlineStr">
        <is>
          <t>Online Permitting &amp; Inspection Portal</t>
        </is>
      </c>
      <c r="F487" s="2313" t="inlineStr">
        <is>
          <t>https://www.jeffco.us/2200/Online-Permitting-Inspection-Requests</t>
        </is>
      </c>
      <c r="G487" t="inlineStr">
        <is>
          <t>Online permit submission and inspection request via Jeffco Citizen Portal</t>
        </is>
      </c>
    </row>
    <row r="488" ht="15" customHeight="1" s="1439">
      <c r="A488">
        <f>IF(B488&lt;&gt;$D$3,"◌ Other",IF(C488="REGIONAL / ALL MUNICIPALITIES","Regional",IF(OR(ISNUMBER(SEARCH(LEFT('Property Info'!$B$17,MAX(1,FIND(",",'Property Info'!$B$17&amp;",")-1)),C488)),ISNUMBER(SEARCH('Property Info'!$B$18,C488)))),"★ Active","–")))</f>
        <v/>
      </c>
      <c r="B488" t="inlineStr">
        <is>
          <t>Jefferson County</t>
        </is>
      </c>
      <c r="C488" t="inlineStr">
        <is>
          <t>Jefferson County (Unincorporated)</t>
        </is>
      </c>
      <c r="D488" t="inlineStr">
        <is>
          <t>Floodplain / FEMA</t>
        </is>
      </c>
      <c r="E488" t="inlineStr">
        <is>
          <t>Floodplain Management</t>
        </is>
      </c>
      <c r="F488" s="2313" t="inlineStr">
        <is>
          <t>https://www.jeffco.us/2695/Floodplain-Management</t>
        </is>
      </c>
      <c r="G488" t="inlineStr">
        <is>
          <t>Floodplain regulations, development permits, and management info</t>
        </is>
      </c>
    </row>
    <row r="489" ht="15" customHeight="1" s="1439">
      <c r="A489">
        <f>IF(B489&lt;&gt;$D$3,"◌ Other",IF(C489="REGIONAL / ALL MUNICIPALITIES","Regional",IF(OR(ISNUMBER(SEARCH(LEFT('Property Info'!$B$17,MAX(1,FIND(",",'Property Info'!$B$17&amp;",")-1)),C489)),ISNUMBER(SEARCH('Property Info'!$B$18,C489)))),"★ Active","–")))</f>
        <v/>
      </c>
      <c r="B489" t="inlineStr">
        <is>
          <t>Jefferson County</t>
        </is>
      </c>
      <c r="C489" t="inlineStr">
        <is>
          <t>Jefferson County (Unincorporated)</t>
        </is>
      </c>
      <c r="D489" t="inlineStr">
        <is>
          <t>Floodplain / FEMA</t>
        </is>
      </c>
      <c r="E489" t="inlineStr">
        <is>
          <t>FEMA Map Service Center</t>
        </is>
      </c>
      <c r="F489" s="2313" t="inlineStr">
        <is>
          <t>https://msc.fema.gov/</t>
        </is>
      </c>
      <c r="G489" t="inlineStr">
        <is>
          <t>Official FEMA FIRM maps by address</t>
        </is>
      </c>
    </row>
    <row r="490" ht="15" customHeight="1" s="1439">
      <c r="A490">
        <f>IF(B490&lt;&gt;$D$3,"◌ Other",IF(C490="REGIONAL / ALL MUNICIPALITIES","Regional",IF(OR(ISNUMBER(SEARCH(LEFT('Property Info'!$B$17,MAX(1,FIND(",",'Property Info'!$B$17&amp;",")-1)),C490)),ISNUMBER(SEARCH('Property Info'!$B$18,C490)))),"★ Active","–")))</f>
        <v/>
      </c>
      <c r="B490" t="inlineStr">
        <is>
          <t>Jefferson County</t>
        </is>
      </c>
      <c r="C490" t="inlineStr">
        <is>
          <t>Jefferson County (Unincorporated)</t>
        </is>
      </c>
      <c r="D490" t="inlineStr">
        <is>
          <t>Floodplain / FEMA</t>
        </is>
      </c>
      <c r="E490" t="inlineStr">
        <is>
          <t>Colorado Hazard Mapping Portal</t>
        </is>
      </c>
      <c r="F490" s="2313" t="inlineStr">
        <is>
          <t>https://coloradohazardmapping.com/hazardMapping/floodplainMapping</t>
        </is>
      </c>
      <c r="G490" t="inlineStr">
        <is>
          <t>Statewide floodplain and hazard mapping resource</t>
        </is>
      </c>
    </row>
    <row r="491" ht="15" customHeight="1" s="1439">
      <c r="A491">
        <f>IF(B491&lt;&gt;$D$3,"◌ Other",IF(C491="REGIONAL / ALL MUNICIPALITIES","Regional",IF(OR(ISNUMBER(SEARCH(LEFT('Property Info'!$B$17,MAX(1,FIND(",",'Property Info'!$B$17&amp;",")-1)),C491)),ISNUMBER(SEARCH('Property Info'!$B$18,C491)))),"★ Active","–")))</f>
        <v/>
      </c>
      <c r="B491" t="inlineStr">
        <is>
          <t>Jefferson County</t>
        </is>
      </c>
      <c r="C491" t="inlineStr">
        <is>
          <t>Jefferson County (Unincorporated)</t>
        </is>
      </c>
      <c r="D491" t="inlineStr">
        <is>
          <t>Economic Development</t>
        </is>
      </c>
      <c r="E491" t="inlineStr">
        <is>
          <t>Jefferson County EDC</t>
        </is>
      </c>
      <c r="F491" s="2313" t="inlineStr">
        <is>
          <t>https://jeffcoedc.org/</t>
        </is>
      </c>
      <c r="G491" t="inlineStr">
        <is>
          <t>Business attraction, expansion, and retention in Jeffco</t>
        </is>
      </c>
    </row>
    <row r="492" ht="15" customHeight="1" s="1439">
      <c r="A492">
        <f>IF(B492&lt;&gt;$D$3,"◌ Other",IF(C492="REGIONAL / ALL MUNICIPALITIES","Regional",IF(OR(ISNUMBER(SEARCH(LEFT('Property Info'!$B$17,MAX(1,FIND(",",'Property Info'!$B$17&amp;",")-1)),C492)),ISNUMBER(SEARCH('Property Info'!$B$18,C492)))),"★ Active","–")))</f>
        <v/>
      </c>
      <c r="B492" t="inlineStr">
        <is>
          <t>Jefferson County</t>
        </is>
      </c>
      <c r="C492" t="inlineStr">
        <is>
          <t>Jefferson County (Unincorporated)</t>
        </is>
      </c>
      <c r="D492" t="inlineStr">
        <is>
          <t>Economic Development</t>
        </is>
      </c>
      <c r="E492" t="inlineStr">
        <is>
          <t>Business Incentives &amp; Resources</t>
        </is>
      </c>
      <c r="F492" s="2313" t="inlineStr">
        <is>
          <t>https://jeffcoedc.org/resources-and-incentives/</t>
        </is>
      </c>
      <c r="G492" t="inlineStr">
        <is>
          <t>Enterprise Zone credits, job tax credits, and business incentive programs</t>
        </is>
      </c>
    </row>
    <row r="493" ht="15" customHeight="1" s="1439">
      <c r="A493">
        <f>IF(B493&lt;&gt;$D$3,"◌ Other",IF(C493="REGIONAL / ALL MUNICIPALITIES","Regional",IF(OR(ISNUMBER(SEARCH(LEFT('Property Info'!$B$17,MAX(1,FIND(",",'Property Info'!$B$17&amp;",")-1)),C493)),ISNUMBER(SEARCH('Property Info'!$B$18,C493)))),"★ Active","–")))</f>
        <v/>
      </c>
      <c r="B493" t="inlineStr">
        <is>
          <t>Jefferson County</t>
        </is>
      </c>
      <c r="C493" t="inlineStr">
        <is>
          <t>Jefferson County (Unincorporated)</t>
        </is>
      </c>
      <c r="D493" t="inlineStr">
        <is>
          <t>Schools</t>
        </is>
      </c>
      <c r="E493" t="inlineStr">
        <is>
          <t>Jefferson County School District R-1</t>
        </is>
      </c>
      <c r="F493" s="2313" t="inlineStr">
        <is>
          <t>https://www.jeffco.k12.co.us/</t>
        </is>
      </c>
      <c r="G493" t="inlineStr">
        <is>
          <t>Primary county district — ~81,000 students in 160 schools</t>
        </is>
      </c>
    </row>
    <row r="494" ht="15" customHeight="1" s="1439">
      <c r="A494">
        <f>IF(B494&lt;&gt;$D$3,"◌ Other",IF(C494="REGIONAL / ALL MUNICIPALITIES","Regional",IF(OR(ISNUMBER(SEARCH(LEFT('Property Info'!$B$17,MAX(1,FIND(",",'Property Info'!$B$17&amp;",")-1)),C494)),ISNUMBER(SEARCH('Property Info'!$B$18,C494)))),"★ Active","–")))</f>
        <v/>
      </c>
      <c r="B494" t="inlineStr">
        <is>
          <t>Jefferson County</t>
        </is>
      </c>
      <c r="C494" t="inlineStr">
        <is>
          <t>Jefferson County (Unincorporated)</t>
        </is>
      </c>
      <c r="D494" t="inlineStr">
        <is>
          <t>Schools</t>
        </is>
      </c>
      <c r="E494" t="inlineStr">
        <is>
          <t>Littleton Public Schools (District 6)</t>
        </is>
      </c>
      <c r="F494" s="2313" t="inlineStr">
        <is>
          <t>https://www.littletonpublicschools.net/</t>
        </is>
      </c>
      <c r="G494" t="inlineStr">
        <is>
          <t>Serves portions of southern Jeffco near Littleton</t>
        </is>
      </c>
    </row>
    <row r="495" ht="15" customHeight="1" s="1439">
      <c r="A495">
        <f>IF(B495&lt;&gt;$D$3,"◌ Other",IF(C495="REGIONAL / ALL MUNICIPALITIES","Regional",IF(OR(ISNUMBER(SEARCH(LEFT('Property Info'!$B$17,MAX(1,FIND(",",'Property Info'!$B$17&amp;",")-1)),C495)),ISNUMBER(SEARCH('Property Info'!$B$18,C495)))),"★ Active","–")))</f>
        <v/>
      </c>
      <c r="B495" t="inlineStr">
        <is>
          <t>Jefferson County</t>
        </is>
      </c>
      <c r="C495" t="inlineStr">
        <is>
          <t>Jefferson County (Unincorporated)</t>
        </is>
      </c>
      <c r="D495" t="inlineStr">
        <is>
          <t>Property Assessment</t>
        </is>
      </c>
      <c r="E495" t="inlineStr">
        <is>
          <t>DOLA — Jefferson County Assessor</t>
        </is>
      </c>
      <c r="F495" s="2313" t="inlineStr">
        <is>
          <t>https://dpt.colorado.gov/locality/jefferson-county-assessor</t>
        </is>
      </c>
      <c r="G495" t="inlineStr">
        <is>
          <t>State DPT profile page for Jefferson County Assessor</t>
        </is>
      </c>
    </row>
    <row r="496" ht="15" customHeight="1" s="1439">
      <c r="A496">
        <f>IF(B496&lt;&gt;$D$3,"◌ Other",IF(C496="REGIONAL / ALL MUNICIPALITIES","Regional",IF(OR(ISNUMBER(SEARCH(LEFT('Property Info'!$B$17,MAX(1,FIND(",",'Property Info'!$B$17&amp;",")-1)),C496)),ISNUMBER(SEARCH('Property Info'!$B$18,C496)))),"★ Active","–")))</f>
        <v/>
      </c>
      <c r="B496" t="inlineStr">
        <is>
          <t>Jefferson County</t>
        </is>
      </c>
      <c r="C496" t="inlineStr">
        <is>
          <t>Golden</t>
        </is>
      </c>
      <c r="D496" t="inlineStr">
        <is>
          <t>Planning &amp; Zoning</t>
        </is>
      </c>
      <c r="E496" t="inlineStr">
        <is>
          <t>Golden Land Use &amp; Development</t>
        </is>
      </c>
      <c r="F496" s="2313" t="inlineStr">
        <is>
          <t>https://www.cityofgolden.gov/business/land_use_development/index.php</t>
        </is>
      </c>
      <c r="G496" t="inlineStr">
        <is>
          <t>Planning, zoning, and development review for Golden</t>
        </is>
      </c>
    </row>
    <row r="497" ht="15" customHeight="1" s="1439">
      <c r="A497">
        <f>IF(B497&lt;&gt;$D$3,"◌ Other",IF(C497="REGIONAL / ALL MUNICIPALITIES","Regional",IF(OR(ISNUMBER(SEARCH(LEFT('Property Info'!$B$17,MAX(1,FIND(",",'Property Info'!$B$17&amp;",")-1)),C497)),ISNUMBER(SEARCH('Property Info'!$B$18,C497)))),"★ Active","–")))</f>
        <v/>
      </c>
      <c r="B497" t="inlineStr">
        <is>
          <t>Jefferson County</t>
        </is>
      </c>
      <c r="C497" t="inlineStr">
        <is>
          <t>Golden</t>
        </is>
      </c>
      <c r="D497" t="inlineStr">
        <is>
          <t>Planning &amp; Zoning</t>
        </is>
      </c>
      <c r="E497" t="inlineStr">
        <is>
          <t>Golden Municipal Code Title 18 — Zoning</t>
        </is>
      </c>
      <c r="F497" s="2313" t="inlineStr">
        <is>
          <t>https://library.municode.com/co/golden/codes/municipal_code?nodeId=TIT18PLZO</t>
        </is>
      </c>
      <c r="G497" t="inlineStr">
        <is>
          <t>Golden zoning districts, uses, and development standards</t>
        </is>
      </c>
    </row>
    <row r="498" ht="15" customHeight="1" s="1439">
      <c r="A498">
        <f>IF(B498&lt;&gt;$D$3,"◌ Other",IF(C498="REGIONAL / ALL MUNICIPALITIES","Regional",IF(OR(ISNUMBER(SEARCH(LEFT('Property Info'!$B$17,MAX(1,FIND(",",'Property Info'!$B$17&amp;",")-1)),C498)),ISNUMBER(SEARCH('Property Info'!$B$18,C498)))),"★ Active","–")))</f>
        <v/>
      </c>
      <c r="B498" t="inlineStr">
        <is>
          <t>Jefferson County</t>
        </is>
      </c>
      <c r="C498" t="inlineStr">
        <is>
          <t>Golden</t>
        </is>
      </c>
      <c r="D498" t="inlineStr">
        <is>
          <t>Planning &amp; Zoning</t>
        </is>
      </c>
      <c r="E498" t="inlineStr">
        <is>
          <t>Golden Development Applications</t>
        </is>
      </c>
      <c r="F498" s="2313" t="inlineStr">
        <is>
          <t>https://www.cityofgolden.gov/business/land_use_development/development_applications.php</t>
        </is>
      </c>
      <c r="G498" t="inlineStr">
        <is>
          <t>Development application process and required documents</t>
        </is>
      </c>
    </row>
    <row r="499" ht="15" customHeight="1" s="1439">
      <c r="A499">
        <f>IF(B499&lt;&gt;$D$3,"◌ Other",IF(C499="REGIONAL / ALL MUNICIPALITIES","Regional",IF(OR(ISNUMBER(SEARCH(LEFT('Property Info'!$B$17,MAX(1,FIND(",",'Property Info'!$B$17&amp;",")-1)),C499)),ISNUMBER(SEARCH('Property Info'!$B$18,C499)))),"★ Active","–")))</f>
        <v/>
      </c>
      <c r="B499" t="inlineStr">
        <is>
          <t>Jefferson County</t>
        </is>
      </c>
      <c r="C499" t="inlineStr">
        <is>
          <t>Golden</t>
        </is>
      </c>
      <c r="D499" t="inlineStr">
        <is>
          <t>Planning &amp; Zoning</t>
        </is>
      </c>
      <c r="E499" t="inlineStr">
        <is>
          <t>Guiding Golden Comprehensive Plan 2026</t>
        </is>
      </c>
      <c r="F499" s="2313" t="inlineStr">
        <is>
          <t>https://www.guidinggolden.com/comprehensive-plan</t>
        </is>
      </c>
      <c r="G499" t="inlineStr">
        <is>
          <t>City comprehensive plan adopted 2026 guiding future development</t>
        </is>
      </c>
    </row>
    <row r="500" ht="15" customHeight="1" s="1439">
      <c r="A500">
        <f>IF(B500&lt;&gt;$D$3,"◌ Other",IF(C500="REGIONAL / ALL MUNICIPALITIES","Regional",IF(OR(ISNUMBER(SEARCH(LEFT('Property Info'!$B$17,MAX(1,FIND(",",'Property Info'!$B$17&amp;",")-1)),C500)),ISNUMBER(SEARCH('Property Info'!$B$18,C500)))),"★ Active","–")))</f>
        <v/>
      </c>
      <c r="B500" t="inlineStr">
        <is>
          <t>Jefferson County</t>
        </is>
      </c>
      <c r="C500" t="inlineStr">
        <is>
          <t>Lakewood</t>
        </is>
      </c>
      <c r="D500" t="inlineStr">
        <is>
          <t>Planning &amp; Zoning</t>
        </is>
      </c>
      <c r="E500" t="inlineStr">
        <is>
          <t>Lakewood Zoning &amp; Standards</t>
        </is>
      </c>
      <c r="F500" s="2313" t="inlineStr">
        <is>
          <t>https://www.lakewoodco.gov/Local-Government/Departments/Sustainability-and-Community-Development/Zoning-Standards</t>
        </is>
      </c>
      <c r="G500" t="inlineStr">
        <is>
          <t>City of Lakewood zoning information and development standards</t>
        </is>
      </c>
    </row>
    <row r="501" ht="15" customHeight="1" s="1439">
      <c r="A501">
        <f>IF(B501&lt;&gt;$D$3,"◌ Other",IF(C501="REGIONAL / ALL MUNICIPALITIES","Regional",IF(OR(ISNUMBER(SEARCH(LEFT('Property Info'!$B$17,MAX(1,FIND(",",'Property Info'!$B$17&amp;",")-1)),C501)),ISNUMBER(SEARCH('Property Info'!$B$18,C501)))),"★ Active","–")))</f>
        <v/>
      </c>
      <c r="B501" t="inlineStr">
        <is>
          <t>Jefferson County</t>
        </is>
      </c>
      <c r="C501" t="inlineStr">
        <is>
          <t>Lakewood</t>
        </is>
      </c>
      <c r="D501" t="inlineStr">
        <is>
          <t>Planning &amp; Zoning</t>
        </is>
      </c>
      <c r="E501" t="inlineStr">
        <is>
          <t>Envision Lakewood 2040 Comprehensive Plan</t>
        </is>
      </c>
      <c r="F501" s="2313" t="inlineStr">
        <is>
          <t>https://www.lakewoodco.gov/Local-Government/Departments/Sustainability-and-Community-Development/Comprehensive-Planning-Main/Envision-Lakewood-2040-Comprehensive-Plan</t>
        </is>
      </c>
      <c r="G501" t="inlineStr">
        <is>
          <t>Comprehensive plan adopted 2025 guiding development through 2040</t>
        </is>
      </c>
    </row>
    <row r="502" ht="15" customHeight="1" s="1439">
      <c r="A502">
        <f>IF(B502&lt;&gt;$D$3,"◌ Other",IF(C502="REGIONAL / ALL MUNICIPALITIES","Regional",IF(OR(ISNUMBER(SEARCH(LEFT('Property Info'!$B$17,MAX(1,FIND(",",'Property Info'!$B$17&amp;",")-1)),C502)),ISNUMBER(SEARCH('Property Info'!$B$18,C502)))),"★ Active","–")))</f>
        <v/>
      </c>
      <c r="B502" t="inlineStr">
        <is>
          <t>Jefferson County</t>
        </is>
      </c>
      <c r="C502" t="inlineStr">
        <is>
          <t>Lakewood</t>
        </is>
      </c>
      <c r="D502" t="inlineStr">
        <is>
          <t>GIS / Mapping</t>
        </is>
      </c>
      <c r="E502" t="inlineStr">
        <is>
          <t>Lakewood Property Search &amp; GIS</t>
        </is>
      </c>
      <c r="F502" s="2313" t="inlineStr">
        <is>
          <t>https://propertysearch.jeffco.us/</t>
        </is>
      </c>
      <c r="G502" t="inlineStr">
        <is>
          <t>Jefferson County assessor search for Lakewood properties</t>
        </is>
      </c>
    </row>
    <row r="503" ht="15" customHeight="1" s="1439">
      <c r="A503">
        <f>IF(B503&lt;&gt;$D$3,"◌ Other",IF(C503="REGIONAL / ALL MUNICIPALITIES","Regional",IF(OR(ISNUMBER(SEARCH(LEFT('Property Info'!$B$17,MAX(1,FIND(",",'Property Info'!$B$17&amp;",")-1)),C503)),ISNUMBER(SEARCH('Property Info'!$B$18,C503)))),"★ Active","–")))</f>
        <v/>
      </c>
      <c r="B503" t="inlineStr">
        <is>
          <t>Jefferson County</t>
        </is>
      </c>
      <c r="C503" t="inlineStr">
        <is>
          <t>Arvada</t>
        </is>
      </c>
      <c r="D503" t="inlineStr">
        <is>
          <t>Planning &amp; Zoning</t>
        </is>
      </c>
      <c r="E503" t="inlineStr">
        <is>
          <t>Arvada Zoning</t>
        </is>
      </c>
      <c r="F503" s="2313" t="inlineStr">
        <is>
          <t>https://www.arvadaco.gov/168/Zoning</t>
        </is>
      </c>
      <c r="G503" t="inlineStr">
        <is>
          <t>Zoning district information and verification for Arvada properties</t>
        </is>
      </c>
    </row>
    <row r="504" ht="15" customHeight="1" s="1439">
      <c r="A504">
        <f>IF(B504&lt;&gt;$D$3,"◌ Other",IF(C504="REGIONAL / ALL MUNICIPALITIES","Regional",IF(OR(ISNUMBER(SEARCH(LEFT('Property Info'!$B$17,MAX(1,FIND(",",'Property Info'!$B$17&amp;",")-1)),C504)),ISNUMBER(SEARCH('Property Info'!$B$18,C504)))),"★ Active","–")))</f>
        <v/>
      </c>
      <c r="B504" t="inlineStr">
        <is>
          <t>Jefferson County</t>
        </is>
      </c>
      <c r="C504" t="inlineStr">
        <is>
          <t>Arvada</t>
        </is>
      </c>
      <c r="D504" t="inlineStr">
        <is>
          <t>Planning &amp; Zoning</t>
        </is>
      </c>
      <c r="E504" t="inlineStr">
        <is>
          <t>Arvada Land Development Code</t>
        </is>
      </c>
      <c r="F504" s="2313" t="inlineStr">
        <is>
          <t>https://www.arvadaco.gov/179/Land-Development-Code</t>
        </is>
      </c>
      <c r="G504" t="inlineStr">
        <is>
          <t>Zoning districts, land uses, and development standards</t>
        </is>
      </c>
    </row>
    <row r="505" ht="15" customHeight="1" s="1439">
      <c r="A505">
        <f>IF(B505&lt;&gt;$D$3,"◌ Other",IF(C505="REGIONAL / ALL MUNICIPALITIES","Regional",IF(OR(ISNUMBER(SEARCH(LEFT('Property Info'!$B$17,MAX(1,FIND(",",'Property Info'!$B$17&amp;",")-1)),C505)),ISNUMBER(SEARCH('Property Info'!$B$18,C505)))),"★ Active","–")))</f>
        <v/>
      </c>
      <c r="B505" t="inlineStr">
        <is>
          <t>Jefferson County</t>
        </is>
      </c>
      <c r="C505" t="inlineStr">
        <is>
          <t>Arvada</t>
        </is>
      </c>
      <c r="D505" t="inlineStr">
        <is>
          <t>Planning &amp; Zoning</t>
        </is>
      </c>
      <c r="E505" t="inlineStr">
        <is>
          <t>Arvada Comprehensive Plan Update 2026</t>
        </is>
      </c>
      <c r="F505" s="2313" t="inlineStr">
        <is>
          <t>https://www.arvadaco.gov/1374/2026-27-Comprehensive-Plan</t>
        </is>
      </c>
      <c r="G505" t="inlineStr">
        <is>
          <t>Arvada 10-year comprehensive planning process</t>
        </is>
      </c>
    </row>
    <row r="506" ht="15" customHeight="1" s="1439">
      <c r="A506">
        <f>IF(B506&lt;&gt;$D$3,"◌ Other",IF(C506="REGIONAL / ALL MUNICIPALITIES","Regional",IF(OR(ISNUMBER(SEARCH(LEFT('Property Info'!$B$17,MAX(1,FIND(",",'Property Info'!$B$17&amp;",")-1)),C506)),ISNUMBER(SEARCH('Property Info'!$B$18,C506)))),"★ Active","–")))</f>
        <v/>
      </c>
      <c r="B506" t="inlineStr">
        <is>
          <t>Jefferson County</t>
        </is>
      </c>
      <c r="C506" t="inlineStr">
        <is>
          <t>Arvada</t>
        </is>
      </c>
      <c r="D506" t="inlineStr">
        <is>
          <t>GIS / Mapping</t>
        </is>
      </c>
      <c r="E506" t="inlineStr">
        <is>
          <t>City of Arvada Open Data</t>
        </is>
      </c>
      <c r="F506" s="2313" t="inlineStr">
        <is>
          <t>https://gis-arvada.opendata.arcgis.com/</t>
        </is>
      </c>
      <c r="G506" t="inlineStr">
        <is>
          <t>Arvada ArcGIS open data hub with downloadable spatial datasets</t>
        </is>
      </c>
    </row>
    <row r="507" ht="15" customHeight="1" s="1439">
      <c r="A507">
        <f>IF(B507&lt;&gt;$D$3,"◌ Other",IF(C507="REGIONAL / ALL MUNICIPALITIES","Regional",IF(OR(ISNUMBER(SEARCH(LEFT('Property Info'!$B$17,MAX(1,FIND(",",'Property Info'!$B$17&amp;",")-1)),C507)),ISNUMBER(SEARCH('Property Info'!$B$18,C507)))),"★ Active","–")))</f>
        <v/>
      </c>
      <c r="B507" t="inlineStr">
        <is>
          <t>Jefferson County</t>
        </is>
      </c>
      <c r="C507" t="inlineStr">
        <is>
          <t>Wheat Ridge</t>
        </is>
      </c>
      <c r="D507" t="inlineStr">
        <is>
          <t>Planning &amp; Zoning</t>
        </is>
      </c>
      <c r="E507" t="inlineStr">
        <is>
          <t>Wheat Ridge Zoning &amp; Development Code</t>
        </is>
      </c>
      <c r="F507" s="2313" t="inlineStr">
        <is>
          <t>https://www.ci.wheatridge.co.us/1114/Zoning-Development-Code</t>
        </is>
      </c>
      <c r="G507" t="inlineStr">
        <is>
          <t>Chapter 26 — zoning code and development regulations</t>
        </is>
      </c>
    </row>
    <row r="508" ht="15" customHeight="1" s="1439">
      <c r="A508">
        <f>IF(B508&lt;&gt;$D$3,"◌ Other",IF(C508="REGIONAL / ALL MUNICIPALITIES","Regional",IF(OR(ISNUMBER(SEARCH(LEFT('Property Info'!$B$17,MAX(1,FIND(",",'Property Info'!$B$17&amp;",")-1)),C508)),ISNUMBER(SEARCH('Property Info'!$B$18,C508)))),"★ Active","–")))</f>
        <v/>
      </c>
      <c r="B508" t="inlineStr">
        <is>
          <t>Jefferson County</t>
        </is>
      </c>
      <c r="C508" t="inlineStr">
        <is>
          <t>Wheat Ridge</t>
        </is>
      </c>
      <c r="D508" t="inlineStr">
        <is>
          <t>Planning &amp; Zoning</t>
        </is>
      </c>
      <c r="E508" t="inlineStr">
        <is>
          <t>Find Your Zoning — Wheat Ridge</t>
        </is>
      </c>
      <c r="F508" s="2313" t="inlineStr">
        <is>
          <t>https://www.ci.wheatridge.co.us/384/Find-Your-Zoning</t>
        </is>
      </c>
      <c r="G508" t="inlineStr">
        <is>
          <t>Tool to identify property zoning for Wheat Ridge locations</t>
        </is>
      </c>
    </row>
    <row r="509" ht="15" customHeight="1" s="1439">
      <c r="A509">
        <f>IF(B509&lt;&gt;$D$3,"◌ Other",IF(C509="REGIONAL / ALL MUNICIPALITIES","Regional",IF(OR(ISNUMBER(SEARCH(LEFT('Property Info'!$B$17,MAX(1,FIND(",",'Property Info'!$B$17&amp;",")-1)),C509)),ISNUMBER(SEARCH('Property Info'!$B$18,C509)))),"★ Active","–")))</f>
        <v/>
      </c>
      <c r="B509" t="inlineStr">
        <is>
          <t>Jefferson County</t>
        </is>
      </c>
      <c r="C509" t="inlineStr">
        <is>
          <t>Wheat Ridge</t>
        </is>
      </c>
      <c r="D509" t="inlineStr">
        <is>
          <t>Planning &amp; Zoning</t>
        </is>
      </c>
      <c r="E509" t="inlineStr">
        <is>
          <t>Wheat Ridge Land Use Planning</t>
        </is>
      </c>
      <c r="F509" s="2313" t="inlineStr">
        <is>
          <t>https://www.ci.wheatridge.co.us/394/Land-Use-Planning</t>
        </is>
      </c>
      <c r="G509" t="inlineStr">
        <is>
          <t>Development review and land use applications</t>
        </is>
      </c>
    </row>
    <row r="510" ht="15" customHeight="1" s="1439">
      <c r="A510">
        <f>IF(B510&lt;&gt;$D$3,"◌ Other",IF(C510="REGIONAL / ALL MUNICIPALITIES","Regional",IF(OR(ISNUMBER(SEARCH(LEFT('Property Info'!$B$17,MAX(1,FIND(",",'Property Info'!$B$17&amp;",")-1)),C510)),ISNUMBER(SEARCH('Property Info'!$B$18,C510)))),"★ Active","–")))</f>
        <v/>
      </c>
      <c r="B510" t="inlineStr">
        <is>
          <t>Jefferson County</t>
        </is>
      </c>
      <c r="C510" t="inlineStr">
        <is>
          <t>Edgewater</t>
        </is>
      </c>
      <c r="D510" t="inlineStr">
        <is>
          <t>Planning &amp; Zoning</t>
        </is>
      </c>
      <c r="E510" t="inlineStr">
        <is>
          <t>Edgewater Zoning Code (Ch. 16)</t>
        </is>
      </c>
      <c r="F510" s="2313" t="inlineStr">
        <is>
          <t>https://library.municode.com/co/edgewater/codes/municipal_code?nodeId=EDMUCO_CH16ZO</t>
        </is>
      </c>
      <c r="G510" t="inlineStr">
        <is>
          <t>Edgewater Municipal Code Chapter 16 — zoning districts and regulations</t>
        </is>
      </c>
    </row>
    <row r="511" ht="15" customHeight="1" s="1439">
      <c r="A511">
        <f>IF(B511&lt;&gt;$D$3,"◌ Other",IF(C511="REGIONAL / ALL MUNICIPALITIES","Regional",IF(OR(ISNUMBER(SEARCH(LEFT('Property Info'!$B$17,MAX(1,FIND(",",'Property Info'!$B$17&amp;",")-1)),C511)),ISNUMBER(SEARCH('Property Info'!$B$18,C511)))),"★ Active","–")))</f>
        <v/>
      </c>
      <c r="B511" t="inlineStr">
        <is>
          <t>Jefferson County</t>
        </is>
      </c>
      <c r="C511" t="inlineStr">
        <is>
          <t>Edgewater</t>
        </is>
      </c>
      <c r="D511" t="inlineStr">
        <is>
          <t>Planning &amp; Zoning</t>
        </is>
      </c>
      <c r="E511" t="inlineStr">
        <is>
          <t>Edgewater Planning &amp; Zoning Commission</t>
        </is>
      </c>
      <c r="F511" s="2313" t="inlineStr">
        <is>
          <t>https://www.edgewaterco.gov/your-government/boards-commissions/planning-zoning-commission</t>
        </is>
      </c>
      <c r="G511" t="inlineStr">
        <is>
          <t>Planning and zoning commission information</t>
        </is>
      </c>
    </row>
    <row r="512" ht="15" customHeight="1" s="1439">
      <c r="A512">
        <f>IF(B512&lt;&gt;$D$3,"◌ Other",IF(C512="REGIONAL / ALL MUNICIPALITIES","Regional",IF(OR(ISNUMBER(SEARCH(LEFT('Property Info'!$B$17,MAX(1,FIND(",",'Property Info'!$B$17&amp;",")-1)),C512)),ISNUMBER(SEARCH('Property Info'!$B$18,C512)))),"★ Active","–")))</f>
        <v/>
      </c>
      <c r="B512" t="inlineStr">
        <is>
          <t>Jefferson County</t>
        </is>
      </c>
      <c r="C512" t="inlineStr">
        <is>
          <t>Morrison</t>
        </is>
      </c>
      <c r="D512" t="inlineStr">
        <is>
          <t>Planning &amp; Zoning</t>
        </is>
      </c>
      <c r="E512" t="inlineStr">
        <is>
          <t>Town of Morrison</t>
        </is>
      </c>
      <c r="F512" s="2313" t="inlineStr">
        <is>
          <t>https://www.town.morrison.co.us/</t>
        </is>
      </c>
      <c r="G512" t="inlineStr">
        <is>
          <t>Town of Morrison official website — planning and development resources</t>
        </is>
      </c>
    </row>
    <row r="513" ht="15" customHeight="1" s="1439">
      <c r="A513">
        <f>IF(B513&lt;&gt;$D$3,"◌ Other",IF(C513="REGIONAL / ALL MUNICIPALITIES","Regional",IF(OR(ISNUMBER(SEARCH(LEFT('Property Info'!$B$17,MAX(1,FIND(",",'Property Info'!$B$17&amp;",")-1)),C513)),ISNUMBER(SEARCH('Property Info'!$B$18,C513)))),"★ Active","–")))</f>
        <v/>
      </c>
      <c r="B513" t="inlineStr">
        <is>
          <t>Jefferson County</t>
        </is>
      </c>
      <c r="C513" t="inlineStr">
        <is>
          <t>Littleton</t>
        </is>
      </c>
      <c r="D513" t="inlineStr">
        <is>
          <t>Planning &amp; Zoning</t>
        </is>
      </c>
      <c r="E513" t="inlineStr">
        <is>
          <t>Littleton Land Use Code &amp; Zoning Portal</t>
        </is>
      </c>
      <c r="F513" s="2313" t="inlineStr">
        <is>
          <t>https://www.littletonco.gov/Building-Development/Land-Planning-Entitlement/Plans-and-Regulations/ULUC-and-Zoning-Portal</t>
        </is>
      </c>
      <c r="G513" t="inlineStr">
        <is>
          <t>Littleton city zoning and unified land use code</t>
        </is>
      </c>
    </row>
    <row r="514" ht="15" customHeight="1" s="1439">
      <c r="A514">
        <f>IF(B514&lt;&gt;$D$3,"◌ Other",IF(C514="REGIONAL / ALL MUNICIPALITIES","Regional",IF(OR(ISNUMBER(SEARCH(LEFT('Property Info'!$B$17,MAX(1,FIND(",",'Property Info'!$B$17&amp;",")-1)),C514)),ISNUMBER(SEARCH('Property Info'!$B$18,C514)))),"★ Active","–")))</f>
        <v/>
      </c>
      <c r="B514" t="inlineStr">
        <is>
          <t>Larimer County</t>
        </is>
      </c>
      <c r="C514" t="inlineStr">
        <is>
          <t>Larimer County (Unincorporated)</t>
        </is>
      </c>
      <c r="D514" t="inlineStr">
        <is>
          <t>Property Assessment</t>
        </is>
      </c>
      <c r="E514" t="inlineStr">
        <is>
          <t>Assessor Property Search</t>
        </is>
      </c>
      <c r="F514" s="2313" t="inlineStr">
        <is>
          <t>https://www.larimer.gov/assessor/search</t>
        </is>
      </c>
      <c r="G514" t="inlineStr">
        <is>
          <t>Search by address, owner name, or parcel number; access ownership, valuations, land/building details, and tax data</t>
        </is>
      </c>
    </row>
    <row r="515" ht="15" customHeight="1" s="1439">
      <c r="A515">
        <f>IF(B515&lt;&gt;$D$3,"◌ Other",IF(C515="REGIONAL / ALL MUNICIPALITIES","Regional",IF(OR(ISNUMBER(SEARCH(LEFT('Property Info'!$B$17,MAX(1,FIND(",",'Property Info'!$B$17&amp;",")-1)),C515)),ISNUMBER(SEARCH('Property Info'!$B$18,C515)))),"★ Active","–")))</f>
        <v/>
      </c>
      <c r="B515" t="inlineStr">
        <is>
          <t>Larimer County</t>
        </is>
      </c>
      <c r="C515" t="inlineStr">
        <is>
          <t>Larimer County (Unincorporated)</t>
        </is>
      </c>
      <c r="D515" t="inlineStr">
        <is>
          <t>Property Assessment</t>
        </is>
      </c>
      <c r="E515" t="inlineStr">
        <is>
          <t>Assessor Office</t>
        </is>
      </c>
      <c r="F515" s="2313" t="inlineStr">
        <is>
          <t>https://www.larimer.gov/assessor</t>
        </is>
      </c>
      <c r="G515" t="inlineStr">
        <is>
          <t>Larimer County Assessor main page — 200 W. Oak Street, Fort Collins</t>
        </is>
      </c>
    </row>
    <row r="516" ht="15" customHeight="1" s="1439">
      <c r="A516">
        <f>IF(B516&lt;&gt;$D$3,"◌ Other",IF(C516="REGIONAL / ALL MUNICIPALITIES","Regional",IF(OR(ISNUMBER(SEARCH(LEFT('Property Info'!$B$17,MAX(1,FIND(",",'Property Info'!$B$17&amp;",")-1)),C516)),ISNUMBER(SEARCH('Property Info'!$B$18,C516)))),"★ Active","–")))</f>
        <v/>
      </c>
      <c r="B516" t="inlineStr">
        <is>
          <t>Larimer County</t>
        </is>
      </c>
      <c r="C516" t="inlineStr">
        <is>
          <t>Larimer County (Unincorporated)</t>
        </is>
      </c>
      <c r="D516" t="inlineStr">
        <is>
          <t>Property Assessment</t>
        </is>
      </c>
      <c r="E516" t="inlineStr">
        <is>
          <t>Assessor Public Data Center</t>
        </is>
      </c>
      <c r="F516" s="2313" t="inlineStr">
        <is>
          <t>https://www.larimer.gov/assessor/publicdata</t>
        </is>
      </c>
      <c r="G516" t="inlineStr">
        <is>
          <t>GIS digital data portal with publicly available assessor data downloads</t>
        </is>
      </c>
    </row>
    <row r="517" ht="15" customHeight="1" s="1439">
      <c r="A517">
        <f>IF(B517&lt;&gt;$D$3,"◌ Other",IF(C517="REGIONAL / ALL MUNICIPALITIES","Regional",IF(OR(ISNUMBER(SEARCH(LEFT('Property Info'!$B$17,MAX(1,FIND(",",'Property Info'!$B$17&amp;",")-1)),C517)),ISNUMBER(SEARCH('Property Info'!$B$18,C517)))),"★ Active","–")))</f>
        <v/>
      </c>
      <c r="B517" t="inlineStr">
        <is>
          <t>Larimer County</t>
        </is>
      </c>
      <c r="C517" t="inlineStr">
        <is>
          <t>Larimer County (Unincorporated)</t>
        </is>
      </c>
      <c r="D517" t="inlineStr">
        <is>
          <t>Property Assessment</t>
        </is>
      </c>
      <c r="E517" t="inlineStr">
        <is>
          <t>Property Valuation Appeals</t>
        </is>
      </c>
      <c r="F517" s="2313" t="inlineStr">
        <is>
          <t>https://www.larimer.gov/bocc/property-valuation-appeals</t>
        </is>
      </c>
      <c r="G517" t="inlineStr">
        <is>
          <t>NOV appeal process and deadlines for residential and non-residential properties</t>
        </is>
      </c>
    </row>
    <row r="518" ht="15" customHeight="1" s="1439">
      <c r="A518">
        <f>IF(B518&lt;&gt;$D$3,"◌ Other",IF(C518="REGIONAL / ALL MUNICIPALITIES","Regional",IF(OR(ISNUMBER(SEARCH(LEFT('Property Info'!$B$17,MAX(1,FIND(",",'Property Info'!$B$17&amp;",")-1)),C518)),ISNUMBER(SEARCH('Property Info'!$B$18,C518)))),"★ Active","–")))</f>
        <v/>
      </c>
      <c r="B518" t="inlineStr">
        <is>
          <t>Larimer County</t>
        </is>
      </c>
      <c r="C518" t="inlineStr">
        <is>
          <t>Larimer County (Unincorporated)</t>
        </is>
      </c>
      <c r="D518" t="inlineStr">
        <is>
          <t>Property Tax / Treasurer</t>
        </is>
      </c>
      <c r="E518" t="inlineStr">
        <is>
          <t>Property Tax Search</t>
        </is>
      </c>
      <c r="F518" s="2313" t="inlineStr">
        <is>
          <t>https://www.larimer.gov/treasurer/search</t>
        </is>
      </c>
      <c r="G518" t="inlineStr">
        <is>
          <t>Search tax info by account, parcel, owner name, address, or tax year</t>
        </is>
      </c>
    </row>
    <row r="519" ht="15" customHeight="1" s="1439">
      <c r="A519">
        <f>IF(B519&lt;&gt;$D$3,"◌ Other",IF(C519="REGIONAL / ALL MUNICIPALITIES","Regional",IF(OR(ISNUMBER(SEARCH(LEFT('Property Info'!$B$17,MAX(1,FIND(",",'Property Info'!$B$17&amp;",")-1)),C519)),ISNUMBER(SEARCH('Property Info'!$B$18,C519)))),"★ Active","–")))</f>
        <v/>
      </c>
      <c r="B519" t="inlineStr">
        <is>
          <t>Larimer County</t>
        </is>
      </c>
      <c r="C519" t="inlineStr">
        <is>
          <t>Larimer County (Unincorporated)</t>
        </is>
      </c>
      <c r="D519" t="inlineStr">
        <is>
          <t>Property Tax / Treasurer</t>
        </is>
      </c>
      <c r="E519" t="inlineStr">
        <is>
          <t>Pay Property Taxes Online</t>
        </is>
      </c>
      <c r="F519" s="2313" t="inlineStr">
        <is>
          <t>https://www.larimer.gov/treasurer/pay</t>
        </is>
      </c>
      <c r="G519" t="inlineStr">
        <is>
          <t>Secure online payment by eCheck or credit/debit card</t>
        </is>
      </c>
    </row>
    <row r="520" ht="15" customHeight="1" s="1439">
      <c r="A520">
        <f>IF(B520&lt;&gt;$D$3,"◌ Other",IF(C520="REGIONAL / ALL MUNICIPALITIES","Regional",IF(OR(ISNUMBER(SEARCH(LEFT('Property Info'!$B$17,MAX(1,FIND(",",'Property Info'!$B$17&amp;",")-1)),C520)),ISNUMBER(SEARCH('Property Info'!$B$18,C520)))),"★ Active","–")))</f>
        <v/>
      </c>
      <c r="B520" t="inlineStr">
        <is>
          <t>Larimer County</t>
        </is>
      </c>
      <c r="C520" t="inlineStr">
        <is>
          <t>Larimer County (Unincorporated)</t>
        </is>
      </c>
      <c r="D520" t="inlineStr">
        <is>
          <t>Property Tax / Treasurer</t>
        </is>
      </c>
      <c r="E520" t="inlineStr">
        <is>
          <t>Treasurer &amp; Public Trustee Office</t>
        </is>
      </c>
      <c r="F520" s="2313" t="inlineStr">
        <is>
          <t>https://www.larimer.gov/treasurer</t>
        </is>
      </c>
      <c r="G520" t="inlineStr">
        <is>
          <t>Treasurer main office — 200 W. Oak Street, Suite 2100, Fort Collins</t>
        </is>
      </c>
    </row>
    <row r="521" ht="15" customHeight="1" s="1439">
      <c r="A521">
        <f>IF(B521&lt;&gt;$D$3,"◌ Other",IF(C521="REGIONAL / ALL MUNICIPALITIES","Regional",IF(OR(ISNUMBER(SEARCH(LEFT('Property Info'!$B$17,MAX(1,FIND(",",'Property Info'!$B$17&amp;",")-1)),C521)),ISNUMBER(SEARCH('Property Info'!$B$18,C521)))),"★ Active","–")))</f>
        <v/>
      </c>
      <c r="B521" t="inlineStr">
        <is>
          <t>Larimer County</t>
        </is>
      </c>
      <c r="C521" t="inlineStr">
        <is>
          <t>Larimer County (Unincorporated)</t>
        </is>
      </c>
      <c r="D521" t="inlineStr">
        <is>
          <t>Clerk &amp; Recorder / Official Records</t>
        </is>
      </c>
      <c r="E521" t="inlineStr">
        <is>
          <t>Easy Access Online Records Portal</t>
        </is>
      </c>
      <c r="F521" s="2313" t="inlineStr">
        <is>
          <t>https://records.larimer.org/landmarkweb/</t>
        </is>
      </c>
      <c r="G521" t="inlineStr">
        <is>
          <t>Recorded documents from 1939 to present — search by name, legal description, or document type</t>
        </is>
      </c>
    </row>
    <row r="522" ht="15" customHeight="1" s="1439">
      <c r="A522">
        <f>IF(B522&lt;&gt;$D$3,"◌ Other",IF(C522="REGIONAL / ALL MUNICIPALITIES","Regional",IF(OR(ISNUMBER(SEARCH(LEFT('Property Info'!$B$17,MAX(1,FIND(",",'Property Info'!$B$17&amp;",")-1)),C522)),ISNUMBER(SEARCH('Property Info'!$B$18,C522)))),"★ Active","–")))</f>
        <v/>
      </c>
      <c r="B522" t="inlineStr">
        <is>
          <t>Larimer County</t>
        </is>
      </c>
      <c r="C522" t="inlineStr">
        <is>
          <t>Larimer County (Unincorporated)</t>
        </is>
      </c>
      <c r="D522" t="inlineStr">
        <is>
          <t>Clerk &amp; Recorder / Official Records</t>
        </is>
      </c>
      <c r="E522" t="inlineStr">
        <is>
          <t>Clerk &amp; Recorder Office</t>
        </is>
      </c>
      <c r="F522" s="2313" t="inlineStr">
        <is>
          <t>https://www.larimer.gov/clerk</t>
        </is>
      </c>
      <c r="G522" t="inlineStr">
        <is>
          <t>Main clerk and recorder office — 200 W. Oak Street, First Floor, Fort Collins</t>
        </is>
      </c>
    </row>
    <row r="523" ht="15" customHeight="1" s="1439">
      <c r="A523">
        <f>IF(B523&lt;&gt;$D$3,"◌ Other",IF(C523="REGIONAL / ALL MUNICIPALITIES","Regional",IF(OR(ISNUMBER(SEARCH(LEFT('Property Info'!$B$17,MAX(1,FIND(",",'Property Info'!$B$17&amp;",")-1)),C523)),ISNUMBER(SEARCH('Property Info'!$B$18,C523)))),"★ Active","–")))</f>
        <v/>
      </c>
      <c r="B523" t="inlineStr">
        <is>
          <t>Larimer County</t>
        </is>
      </c>
      <c r="C523" t="inlineStr">
        <is>
          <t>Larimer County (Unincorporated)</t>
        </is>
      </c>
      <c r="D523" t="inlineStr">
        <is>
          <t>Clerk &amp; Recorder / Official Records</t>
        </is>
      </c>
      <c r="E523" t="inlineStr">
        <is>
          <t>Recording Documents</t>
        </is>
      </c>
      <c r="F523" s="2313" t="inlineStr">
        <is>
          <t>https://www.larimer.gov/clerk/recording/docs</t>
        </is>
      </c>
      <c r="G523" t="inlineStr">
        <is>
          <t>Document recording procedures and certified copies</t>
        </is>
      </c>
    </row>
    <row r="524" ht="15" customHeight="1" s="1439">
      <c r="A524">
        <f>IF(B524&lt;&gt;$D$3,"◌ Other",IF(C524="REGIONAL / ALL MUNICIPALITIES","Regional",IF(OR(ISNUMBER(SEARCH(LEFT('Property Info'!$B$17,MAX(1,FIND(",",'Property Info'!$B$17&amp;",")-1)),C524)),ISNUMBER(SEARCH('Property Info'!$B$18,C524)))),"★ Active","–")))</f>
        <v/>
      </c>
      <c r="B524" t="inlineStr">
        <is>
          <t>Larimer County</t>
        </is>
      </c>
      <c r="C524" t="inlineStr">
        <is>
          <t>Larimer County (Unincorporated)</t>
        </is>
      </c>
      <c r="D524" t="inlineStr">
        <is>
          <t>GIS / Mapping</t>
        </is>
      </c>
      <c r="E524" t="inlineStr">
        <is>
          <t>Enterprise GIS Portal (Geocortex)</t>
        </is>
      </c>
      <c r="F524" s="2313" t="inlineStr">
        <is>
          <t>https://maps1.larimer.org/gvh/?Viewer=LIL</t>
        </is>
      </c>
      <c r="G524" t="inlineStr">
        <is>
          <t>Interactive GIS with parcel info, zoning, flood data, and aerial imagery</t>
        </is>
      </c>
    </row>
    <row r="525" ht="15" customHeight="1" s="1439">
      <c r="A525">
        <f>IF(B525&lt;&gt;$D$3,"◌ Other",IF(C525="REGIONAL / ALL MUNICIPALITIES","Regional",IF(OR(ISNUMBER(SEARCH(LEFT('Property Info'!$B$17,MAX(1,FIND(",",'Property Info'!$B$17&amp;",")-1)),C525)),ISNUMBER(SEARCH('Property Info'!$B$18,C525)))),"★ Active","–")))</f>
        <v/>
      </c>
      <c r="B525" t="inlineStr">
        <is>
          <t>Larimer County</t>
        </is>
      </c>
      <c r="C525" t="inlineStr">
        <is>
          <t>Larimer County (Unincorporated)</t>
        </is>
      </c>
      <c r="D525" t="inlineStr">
        <is>
          <t>GIS / Mapping</t>
        </is>
      </c>
      <c r="E525" t="inlineStr">
        <is>
          <t>GIS Digital Data Download</t>
        </is>
      </c>
      <c r="F525" s="2313" t="inlineStr">
        <is>
          <t>https://www.larimer.gov/it/gis/digital-data</t>
        </is>
      </c>
      <c r="G525" t="inlineStr">
        <is>
          <t>Downloadable GIS datasets — parcels, contours, LiDAR, and more</t>
        </is>
      </c>
    </row>
    <row r="526" ht="15" customHeight="1" s="1439">
      <c r="A526">
        <f>IF(B526&lt;&gt;$D$3,"◌ Other",IF(C526="REGIONAL / ALL MUNICIPALITIES","Regional",IF(OR(ISNUMBER(SEARCH(LEFT('Property Info'!$B$17,MAX(1,FIND(",",'Property Info'!$B$17&amp;",")-1)),C526)),ISNUMBER(SEARCH('Property Info'!$B$18,C526)))),"★ Active","–")))</f>
        <v/>
      </c>
      <c r="B526" t="inlineStr">
        <is>
          <t>Larimer County</t>
        </is>
      </c>
      <c r="C526" t="inlineStr">
        <is>
          <t>Larimer County (Unincorporated)</t>
        </is>
      </c>
      <c r="D526" t="inlineStr">
        <is>
          <t>GIS / Mapping</t>
        </is>
      </c>
      <c r="E526" t="inlineStr">
        <is>
          <t>GIS Information Hub</t>
        </is>
      </c>
      <c r="F526" s="2313" t="inlineStr">
        <is>
          <t>https://www.larimer.gov/it/gis</t>
        </is>
      </c>
      <c r="G526" t="inlineStr">
        <is>
          <t>Main GIS portal with mapping resources, data access, and web services</t>
        </is>
      </c>
    </row>
    <row r="527" ht="15" customHeight="1" s="1439">
      <c r="A527">
        <f>IF(B527&lt;&gt;$D$3,"◌ Other",IF(C527="REGIONAL / ALL MUNICIPALITIES","Regional",IF(OR(ISNUMBER(SEARCH(LEFT('Property Info'!$B$17,MAX(1,FIND(",",'Property Info'!$B$17&amp;",")-1)),C527)),ISNUMBER(SEARCH('Property Info'!$B$18,C527)))),"★ Active","–")))</f>
        <v/>
      </c>
      <c r="B527" t="inlineStr">
        <is>
          <t>Larimer County</t>
        </is>
      </c>
      <c r="C527" t="inlineStr">
        <is>
          <t>Larimer County (Unincorporated)</t>
        </is>
      </c>
      <c r="D527" t="inlineStr">
        <is>
          <t>Planning &amp; Zoning</t>
        </is>
      </c>
      <c r="E527" t="inlineStr">
        <is>
          <t>Planning Division</t>
        </is>
      </c>
      <c r="F527" s="2313" t="inlineStr">
        <is>
          <t>https://www.larimer.gov/planning</t>
        </is>
      </c>
      <c r="G527" t="inlineStr">
        <is>
          <t>County planning — 200 W. Oak Street, Third Floor, Fort Collins</t>
        </is>
      </c>
    </row>
    <row r="528" ht="15" customHeight="1" s="1439">
      <c r="A528">
        <f>IF(B528&lt;&gt;$D$3,"◌ Other",IF(C528="REGIONAL / ALL MUNICIPALITIES","Regional",IF(OR(ISNUMBER(SEARCH(LEFT('Property Info'!$B$17,MAX(1,FIND(",",'Property Info'!$B$17&amp;",")-1)),C528)),ISNUMBER(SEARCH('Property Info'!$B$18,C528)))),"★ Active","–")))</f>
        <v/>
      </c>
      <c r="B528" t="inlineStr">
        <is>
          <t>Larimer County</t>
        </is>
      </c>
      <c r="C528" t="inlineStr">
        <is>
          <t>Larimer County (Unincorporated)</t>
        </is>
      </c>
      <c r="D528" t="inlineStr">
        <is>
          <t>Planning &amp; Zoning</t>
        </is>
      </c>
      <c r="E528" t="inlineStr">
        <is>
          <t>Land Use Code</t>
        </is>
      </c>
      <c r="F528" s="2313" t="inlineStr">
        <is>
          <t>https://www.larimer.gov/planning/land-use-code</t>
        </is>
      </c>
      <c r="G528" t="inlineStr">
        <is>
          <t>Larimer County Land Use Code (effective December 8, 2025) — zoning districts, overlays, and development standards</t>
        </is>
      </c>
    </row>
    <row r="529" ht="15" customHeight="1" s="1439">
      <c r="A529">
        <f>IF(B529&lt;&gt;$D$3,"◌ Other",IF(C529="REGIONAL / ALL MUNICIPALITIES","Regional",IF(OR(ISNUMBER(SEARCH(LEFT('Property Info'!$B$17,MAX(1,FIND(",",'Property Info'!$B$17&amp;",")-1)),C529)),ISNUMBER(SEARCH('Property Info'!$B$18,C529)))),"★ Active","–")))</f>
        <v/>
      </c>
      <c r="B529" t="inlineStr">
        <is>
          <t>Larimer County</t>
        </is>
      </c>
      <c r="C529" t="inlineStr">
        <is>
          <t>Larimer County (Unincorporated)</t>
        </is>
      </c>
      <c r="D529" t="inlineStr">
        <is>
          <t>Planning &amp; Zoning</t>
        </is>
      </c>
      <c r="E529" t="inlineStr">
        <is>
          <t>Zoning Districts</t>
        </is>
      </c>
      <c r="F529" s="2313" t="inlineStr">
        <is>
          <t>https://www.larimer.gov/planning/zoning/districts</t>
        </is>
      </c>
      <c r="G529" t="inlineStr">
        <is>
          <t>Unincorporated Larimer County zoning districts, minimum lot sizes, and setbacks</t>
        </is>
      </c>
    </row>
    <row r="530" ht="15" customHeight="1" s="1439">
      <c r="A530">
        <f>IF(B530&lt;&gt;$D$3,"◌ Other",IF(C530="REGIONAL / ALL MUNICIPALITIES","Regional",IF(OR(ISNUMBER(SEARCH(LEFT('Property Info'!$B$17,MAX(1,FIND(",",'Property Info'!$B$17&amp;",")-1)),C530)),ISNUMBER(SEARCH('Property Info'!$B$18,C530)))),"★ Active","–")))</f>
        <v/>
      </c>
      <c r="B530" t="inlineStr">
        <is>
          <t>Larimer County</t>
        </is>
      </c>
      <c r="C530" t="inlineStr">
        <is>
          <t>Larimer County (Unincorporated)</t>
        </is>
      </c>
      <c r="D530" t="inlineStr">
        <is>
          <t>Planning &amp; Zoning</t>
        </is>
      </c>
      <c r="E530" t="inlineStr">
        <is>
          <t>Zoning Parcel Search</t>
        </is>
      </c>
      <c r="F530" s="2313" t="inlineStr">
        <is>
          <t>https://www.larimer.gov/planning/zoning/search</t>
        </is>
      </c>
      <c r="G530" t="inlineStr">
        <is>
          <t>Look up zoning district for any parcel in unincorporated Larimer County</t>
        </is>
      </c>
    </row>
    <row r="531" ht="15" customHeight="1" s="1439">
      <c r="A531">
        <f>IF(B531&lt;&gt;$D$3,"◌ Other",IF(C531="REGIONAL / ALL MUNICIPALITIES","Regional",IF(OR(ISNUMBER(SEARCH(LEFT('Property Info'!$B$17,MAX(1,FIND(",",'Property Info'!$B$17&amp;",")-1)),C531)),ISNUMBER(SEARCH('Property Info'!$B$18,C531)))),"★ Active","–")))</f>
        <v/>
      </c>
      <c r="B531" t="inlineStr">
        <is>
          <t>Larimer County</t>
        </is>
      </c>
      <c r="C531" t="inlineStr">
        <is>
          <t>Larimer County (Unincorporated)</t>
        </is>
      </c>
      <c r="D531" t="inlineStr">
        <is>
          <t>Floodplain / FEMA</t>
        </is>
      </c>
      <c r="E531" t="inlineStr">
        <is>
          <t>Floodplains &amp; Stormwater</t>
        </is>
      </c>
      <c r="F531" s="2313" t="inlineStr">
        <is>
          <t>https://www.larimer.gov/engineering/floodplains-and-stormwater/floodplains</t>
        </is>
      </c>
      <c r="G531" t="inlineStr">
        <is>
          <t>Interactive floodplain map — FEMA, Best Available, and Flood-Prone Areas</t>
        </is>
      </c>
    </row>
    <row r="532" ht="15" customHeight="1" s="1439">
      <c r="A532">
        <f>IF(B532&lt;&gt;$D$3,"◌ Other",IF(C532="REGIONAL / ALL MUNICIPALITIES","Regional",IF(OR(ISNUMBER(SEARCH(LEFT('Property Info'!$B$17,MAX(1,FIND(",",'Property Info'!$B$17&amp;",")-1)),C532)),ISNUMBER(SEARCH('Property Info'!$B$18,C532)))),"★ Active","–")))</f>
        <v/>
      </c>
      <c r="B532" t="inlineStr">
        <is>
          <t>Larimer County</t>
        </is>
      </c>
      <c r="C532" t="inlineStr">
        <is>
          <t>Larimer County (Unincorporated)</t>
        </is>
      </c>
      <c r="D532" t="inlineStr">
        <is>
          <t>Floodplain / FEMA</t>
        </is>
      </c>
      <c r="E532" t="inlineStr">
        <is>
          <t>FEMA Map Service Center</t>
        </is>
      </c>
      <c r="F532" s="2313" t="inlineStr">
        <is>
          <t>https://msc.fema.gov/</t>
        </is>
      </c>
      <c r="G532" t="inlineStr">
        <is>
          <t>Official FEMA FIRM maps by address</t>
        </is>
      </c>
    </row>
    <row r="533" ht="15" customHeight="1" s="1439">
      <c r="A533">
        <f>IF(B533&lt;&gt;$D$3,"◌ Other",IF(C533="REGIONAL / ALL MUNICIPALITIES","Regional",IF(OR(ISNUMBER(SEARCH(LEFT('Property Info'!$B$17,MAX(1,FIND(",",'Property Info'!$B$17&amp;",")-1)),C533)),ISNUMBER(SEARCH('Property Info'!$B$18,C533)))),"★ Active","–")))</f>
        <v/>
      </c>
      <c r="B533" t="inlineStr">
        <is>
          <t>Larimer County</t>
        </is>
      </c>
      <c r="C533" t="inlineStr">
        <is>
          <t>Larimer County (Unincorporated)</t>
        </is>
      </c>
      <c r="D533" t="inlineStr">
        <is>
          <t>Floodplain / FEMA</t>
        </is>
      </c>
      <c r="E533" t="inlineStr">
        <is>
          <t>Colorado Hazard Mapping Portal</t>
        </is>
      </c>
      <c r="F533" s="2313" t="inlineStr">
        <is>
          <t>https://coloradohazardmapping.com/hazardMapping/floodplainMapping</t>
        </is>
      </c>
      <c r="G533" t="inlineStr">
        <is>
          <t>Statewide floodplain and hazard mapping resource</t>
        </is>
      </c>
    </row>
    <row r="534" ht="15" customHeight="1" s="1439">
      <c r="A534">
        <f>IF(B534&lt;&gt;$D$3,"◌ Other",IF(C534="REGIONAL / ALL MUNICIPALITIES","Regional",IF(OR(ISNUMBER(SEARCH(LEFT('Property Info'!$B$17,MAX(1,FIND(",",'Property Info'!$B$17&amp;",")-1)),C534)),ISNUMBER(SEARCH('Property Info'!$B$18,C534)))),"★ Active","–")))</f>
        <v/>
      </c>
      <c r="B534" t="inlineStr">
        <is>
          <t>Larimer County</t>
        </is>
      </c>
      <c r="C534" t="inlineStr">
        <is>
          <t>Larimer County (Unincorporated)</t>
        </is>
      </c>
      <c r="D534" t="inlineStr">
        <is>
          <t>Economic Development</t>
        </is>
      </c>
      <c r="E534" t="inlineStr">
        <is>
          <t>Larimer County Economic &amp; Workforce Development</t>
        </is>
      </c>
      <c r="F534" s="2313" t="inlineStr">
        <is>
          <t>https://www.larimer.gov/ewd</t>
        </is>
      </c>
      <c r="G534" t="inlineStr">
        <is>
          <t>Business assistance, workforce solutions, and incentive programs</t>
        </is>
      </c>
    </row>
    <row r="535" ht="15" customHeight="1" s="1439">
      <c r="A535">
        <f>IF(B535&lt;&gt;$D$3,"◌ Other",IF(C535="REGIONAL / ALL MUNICIPALITIES","Regional",IF(OR(ISNUMBER(SEARCH(LEFT('Property Info'!$B$17,MAX(1,FIND(",",'Property Info'!$B$17&amp;",")-1)),C535)),ISNUMBER(SEARCH('Property Info'!$B$18,C535)))),"★ Active","–")))</f>
        <v/>
      </c>
      <c r="B535" t="inlineStr">
        <is>
          <t>Larimer County</t>
        </is>
      </c>
      <c r="C535" t="inlineStr">
        <is>
          <t>Larimer County (Unincorporated)</t>
        </is>
      </c>
      <c r="D535" t="inlineStr">
        <is>
          <t>Economic Development</t>
        </is>
      </c>
      <c r="E535" t="inlineStr">
        <is>
          <t>Small Business Development Center — Larimer</t>
        </is>
      </c>
      <c r="F535" s="2313" t="inlineStr">
        <is>
          <t>https://sbdc.colorado.gov/larimer</t>
        </is>
      </c>
      <c r="G535" t="inlineStr">
        <is>
          <t>Free confidential consulting and workshops for Larimer County businesses</t>
        </is>
      </c>
    </row>
    <row r="536" ht="15" customHeight="1" s="1439">
      <c r="A536">
        <f>IF(B536&lt;&gt;$D$3,"◌ Other",IF(C536="REGIONAL / ALL MUNICIPALITIES","Regional",IF(OR(ISNUMBER(SEARCH(LEFT('Property Info'!$B$17,MAX(1,FIND(",",'Property Info'!$B$17&amp;",")-1)),C536)),ISNUMBER(SEARCH('Property Info'!$B$18,C536)))),"★ Active","–")))</f>
        <v/>
      </c>
      <c r="B536" t="inlineStr">
        <is>
          <t>Larimer County</t>
        </is>
      </c>
      <c r="C536" t="inlineStr">
        <is>
          <t>Larimer County (Unincorporated)</t>
        </is>
      </c>
      <c r="D536" t="inlineStr">
        <is>
          <t>Schools</t>
        </is>
      </c>
      <c r="E536" t="inlineStr">
        <is>
          <t>Poudre School District R-1</t>
        </is>
      </c>
      <c r="F536" s="2313" t="inlineStr">
        <is>
          <t>https://www.psdschools.org/</t>
        </is>
      </c>
      <c r="G536" t="inlineStr">
        <is>
          <t>Serves Fort Collins, Wellington, Timnath, and unincorporated Larimer County — 52 schools</t>
        </is>
      </c>
    </row>
    <row r="537" ht="15" customHeight="1" s="1439">
      <c r="A537">
        <f>IF(B537&lt;&gt;$D$3,"◌ Other",IF(C537="REGIONAL / ALL MUNICIPALITIES","Regional",IF(OR(ISNUMBER(SEARCH(LEFT('Property Info'!$B$17,MAX(1,FIND(",",'Property Info'!$B$17&amp;",")-1)),C537)),ISNUMBER(SEARCH('Property Info'!$B$18,C537)))),"★ Active","–")))</f>
        <v/>
      </c>
      <c r="B537" t="inlineStr">
        <is>
          <t>Larimer County</t>
        </is>
      </c>
      <c r="C537" t="inlineStr">
        <is>
          <t>Larimer County (Unincorporated)</t>
        </is>
      </c>
      <c r="D537" t="inlineStr">
        <is>
          <t>Schools</t>
        </is>
      </c>
      <c r="E537" t="inlineStr">
        <is>
          <t>Thompson School District R2-J</t>
        </is>
      </c>
      <c r="F537" s="2313" t="inlineStr">
        <is>
          <t>https://www.tsd.org/</t>
        </is>
      </c>
      <c r="G537" t="inlineStr">
        <is>
          <t>Serves Loveland, Berthoud, and portions of Larimer/Weld/Boulder counties — 32 schools</t>
        </is>
      </c>
    </row>
    <row r="538" ht="15" customHeight="1" s="1439">
      <c r="A538">
        <f>IF(B538&lt;&gt;$D$3,"◌ Other",IF(C538="REGIONAL / ALL MUNICIPALITIES","Regional",IF(OR(ISNUMBER(SEARCH(LEFT('Property Info'!$B$17,MAX(1,FIND(",",'Property Info'!$B$17&amp;",")-1)),C538)),ISNUMBER(SEARCH('Property Info'!$B$18,C538)))),"★ Active","–")))</f>
        <v/>
      </c>
      <c r="B538" t="inlineStr">
        <is>
          <t>Larimer County</t>
        </is>
      </c>
      <c r="C538" t="inlineStr">
        <is>
          <t>Larimer County (Unincorporated)</t>
        </is>
      </c>
      <c r="D538" t="inlineStr">
        <is>
          <t>Schools</t>
        </is>
      </c>
      <c r="E538" t="inlineStr">
        <is>
          <t>Estes Park School District R-3</t>
        </is>
      </c>
      <c r="F538" s="2313" t="inlineStr">
        <is>
          <t>https://www.estesschools.org/</t>
        </is>
      </c>
      <c r="G538" t="inlineStr">
        <is>
          <t>Serves Estes Park area — 3 schools</t>
        </is>
      </c>
    </row>
    <row r="539" ht="15" customHeight="1" s="1439">
      <c r="A539">
        <f>IF(B539&lt;&gt;$D$3,"◌ Other",IF(C539="REGIONAL / ALL MUNICIPALITIES","Regional",IF(OR(ISNUMBER(SEARCH(LEFT('Property Info'!$B$17,MAX(1,FIND(",",'Property Info'!$B$17&amp;",")-1)),C539)),ISNUMBER(SEARCH('Property Info'!$B$18,C539)))),"★ Active","–")))</f>
        <v/>
      </c>
      <c r="B539" t="inlineStr">
        <is>
          <t>Larimer County</t>
        </is>
      </c>
      <c r="C539" t="inlineStr">
        <is>
          <t>Larimer County (Unincorporated)</t>
        </is>
      </c>
      <c r="D539" t="inlineStr">
        <is>
          <t>Property Assessment</t>
        </is>
      </c>
      <c r="E539" t="inlineStr">
        <is>
          <t>DOLA — Larimer County Assessor</t>
        </is>
      </c>
      <c r="F539" s="2313" t="inlineStr">
        <is>
          <t>https://dpt.colorado.gov/locality/larimer-county-assessor</t>
        </is>
      </c>
      <c r="G539" t="inlineStr">
        <is>
          <t>State DPT profile page for Larimer County Assessor</t>
        </is>
      </c>
    </row>
    <row r="540" ht="15" customHeight="1" s="1439">
      <c r="A540">
        <f>IF(B540&lt;&gt;$D$3,"◌ Other",IF(C540="REGIONAL / ALL MUNICIPALITIES","Regional",IF(OR(ISNUMBER(SEARCH(LEFT('Property Info'!$B$17,MAX(1,FIND(",",'Property Info'!$B$17&amp;",")-1)),C540)),ISNUMBER(SEARCH('Property Info'!$B$18,C540)))),"★ Active","–")))</f>
        <v/>
      </c>
      <c r="B540" t="inlineStr">
        <is>
          <t>Larimer County</t>
        </is>
      </c>
      <c r="C540" t="inlineStr">
        <is>
          <t>Fort Collins</t>
        </is>
      </c>
      <c r="D540" t="inlineStr">
        <is>
          <t>Planning &amp; Zoning</t>
        </is>
      </c>
      <c r="E540" t="inlineStr">
        <is>
          <t>Fort Collins Land Use Code</t>
        </is>
      </c>
      <c r="F540" s="2313" t="inlineStr">
        <is>
          <t>https://www.fcgov.com/planning-development-services/luc</t>
        </is>
      </c>
      <c r="G540" t="inlineStr">
        <is>
          <t>City Land Use Code with zoning regulations (effective May 17, 2024)</t>
        </is>
      </c>
    </row>
    <row r="541" ht="15" customHeight="1" s="1439">
      <c r="A541">
        <f>IF(B541&lt;&gt;$D$3,"◌ Other",IF(C541="REGIONAL / ALL MUNICIPALITIES","Regional",IF(OR(ISNUMBER(SEARCH(LEFT('Property Info'!$B$17,MAX(1,FIND(",",'Property Info'!$B$17&amp;",")-1)),C541)),ISNUMBER(SEARCH('Property Info'!$B$18,C541)))),"★ Active","–")))</f>
        <v/>
      </c>
      <c r="B541" t="inlineStr">
        <is>
          <t>Larimer County</t>
        </is>
      </c>
      <c r="C541" t="inlineStr">
        <is>
          <t>Fort Collins</t>
        </is>
      </c>
      <c r="D541" t="inlineStr">
        <is>
          <t>Planning &amp; Zoning</t>
        </is>
      </c>
      <c r="E541" t="inlineStr">
        <is>
          <t>Fort Collins Planning Services</t>
        </is>
      </c>
      <c r="F541" s="2313" t="inlineStr">
        <is>
          <t>https://www.fcgov.com/planning/</t>
        </is>
      </c>
      <c r="G541" t="inlineStr">
        <is>
          <t>Zoning info, City Plan (comprehensive plan), and development services</t>
        </is>
      </c>
    </row>
    <row r="542" ht="15" customHeight="1" s="1439">
      <c r="A542">
        <f>IF(B542&lt;&gt;$D$3,"◌ Other",IF(C542="REGIONAL / ALL MUNICIPALITIES","Regional",IF(OR(ISNUMBER(SEARCH(LEFT('Property Info'!$B$17,MAX(1,FIND(",",'Property Info'!$B$17&amp;",")-1)),C542)),ISNUMBER(SEARCH('Property Info'!$B$18,C542)))),"★ Active","–")))</f>
        <v/>
      </c>
      <c r="B542" t="inlineStr">
        <is>
          <t>Larimer County</t>
        </is>
      </c>
      <c r="C542" t="inlineStr">
        <is>
          <t>Fort Collins</t>
        </is>
      </c>
      <c r="D542" t="inlineStr">
        <is>
          <t>Planning &amp; Zoning</t>
        </is>
      </c>
      <c r="E542" t="inlineStr">
        <is>
          <t>Fort Collins Zoning Information</t>
        </is>
      </c>
      <c r="F542" s="2313" t="inlineStr">
        <is>
          <t>https://www.fcgov.com/zoning</t>
        </is>
      </c>
      <c r="G542" t="inlineStr">
        <is>
          <t>Zoning districts, zones, and permitted uses in Fort Collins</t>
        </is>
      </c>
    </row>
    <row r="543" ht="15" customHeight="1" s="1439">
      <c r="A543">
        <f>IF(B543&lt;&gt;$D$3,"◌ Other",IF(C543="REGIONAL / ALL MUNICIPALITIES","Regional",IF(OR(ISNUMBER(SEARCH(LEFT('Property Info'!$B$17,MAX(1,FIND(",",'Property Info'!$B$17&amp;",")-1)),C543)),ISNUMBER(SEARCH('Property Info'!$B$18,C543)))),"★ Active","–")))</f>
        <v/>
      </c>
      <c r="B543" t="inlineStr">
        <is>
          <t>Larimer County</t>
        </is>
      </c>
      <c r="C543" t="inlineStr">
        <is>
          <t>Fort Collins</t>
        </is>
      </c>
      <c r="D543" t="inlineStr">
        <is>
          <t>GIS / Mapping</t>
        </is>
      </c>
      <c r="E543" t="inlineStr">
        <is>
          <t>Fort Collins GIS Portal</t>
        </is>
      </c>
      <c r="F543" s="2313" t="inlineStr">
        <is>
          <t>https://gisweb.fcgov.com/HTML5Viewer/Index.html?Viewer=FCMaps</t>
        </is>
      </c>
      <c r="G543" t="inlineStr">
        <is>
          <t>City of Fort Collins GIS mapping and data access portal</t>
        </is>
      </c>
    </row>
    <row r="544" ht="15" customHeight="1" s="1439">
      <c r="A544">
        <f>IF(B544&lt;&gt;$D$3,"◌ Other",IF(C544="REGIONAL / ALL MUNICIPALITIES","Regional",IF(OR(ISNUMBER(SEARCH(LEFT('Property Info'!$B$17,MAX(1,FIND(",",'Property Info'!$B$17&amp;",")-1)),C544)),ISNUMBER(SEARCH('Property Info'!$B$18,C544)))),"★ Active","–")))</f>
        <v/>
      </c>
      <c r="B544" t="inlineStr">
        <is>
          <t>Larimer County</t>
        </is>
      </c>
      <c r="C544" t="inlineStr">
        <is>
          <t>Fort Collins</t>
        </is>
      </c>
      <c r="D544" t="inlineStr">
        <is>
          <t>Economic Development</t>
        </is>
      </c>
      <c r="E544" t="inlineStr">
        <is>
          <t>Fort Collins Economic Health Office</t>
        </is>
      </c>
      <c r="F544" s="2313" t="inlineStr">
        <is>
          <t>https://www.fcgov.com/business/</t>
        </is>
      </c>
      <c r="G544" t="inlineStr">
        <is>
          <t>Business resources and development services</t>
        </is>
      </c>
    </row>
    <row r="545" ht="15" customHeight="1" s="1439">
      <c r="A545">
        <f>IF(B545&lt;&gt;$D$3,"◌ Other",IF(C545="REGIONAL / ALL MUNICIPALITIES","Regional",IF(OR(ISNUMBER(SEARCH(LEFT('Property Info'!$B$17,MAX(1,FIND(",",'Property Info'!$B$17&amp;",")-1)),C545)),ISNUMBER(SEARCH('Property Info'!$B$18,C545)))),"★ Active","–")))</f>
        <v/>
      </c>
      <c r="B545" t="inlineStr">
        <is>
          <t>Larimer County</t>
        </is>
      </c>
      <c r="C545" t="inlineStr">
        <is>
          <t>Fort Collins</t>
        </is>
      </c>
      <c r="D545" t="inlineStr">
        <is>
          <t>Economic Development</t>
        </is>
      </c>
      <c r="E545" t="inlineStr">
        <is>
          <t>Fort Collins Area Chamber — Economic Development</t>
        </is>
      </c>
      <c r="F545" s="2313" t="inlineStr">
        <is>
          <t>https://fortcollinschamber.com/resources/economic-development/</t>
        </is>
      </c>
      <c r="G545" t="inlineStr">
        <is>
          <t>Chamber economic development resources and business support</t>
        </is>
      </c>
    </row>
    <row r="546" ht="15" customHeight="1" s="1439">
      <c r="A546">
        <f>IF(B546&lt;&gt;$D$3,"◌ Other",IF(C546="REGIONAL / ALL MUNICIPALITIES","Regional",IF(OR(ISNUMBER(SEARCH(LEFT('Property Info'!$B$17,MAX(1,FIND(",",'Property Info'!$B$17&amp;",")-1)),C546)),ISNUMBER(SEARCH('Property Info'!$B$18,C546)))),"★ Active","–")))</f>
        <v/>
      </c>
      <c r="B546" t="inlineStr">
        <is>
          <t>Larimer County</t>
        </is>
      </c>
      <c r="C546" t="inlineStr">
        <is>
          <t>Loveland</t>
        </is>
      </c>
      <c r="D546" t="inlineStr">
        <is>
          <t>Planning &amp; Zoning</t>
        </is>
      </c>
      <c r="E546" t="inlineStr">
        <is>
          <t>Loveland Unified Development Code (Title 18)</t>
        </is>
      </c>
      <c r="F546" s="2313" t="inlineStr">
        <is>
          <t>https://online.encodeplus.com/regs/loveland-co/</t>
        </is>
      </c>
      <c r="G546" t="inlineStr">
        <is>
          <t>Zoning, subdivision, and annexation regulations</t>
        </is>
      </c>
    </row>
    <row r="547" ht="15" customHeight="1" s="1439">
      <c r="A547">
        <f>IF(B547&lt;&gt;$D$3,"◌ Other",IF(C547="REGIONAL / ALL MUNICIPALITIES","Regional",IF(OR(ISNUMBER(SEARCH(LEFT('Property Info'!$B$17,MAX(1,FIND(",",'Property Info'!$B$17&amp;",")-1)),C547)),ISNUMBER(SEARCH('Property Info'!$B$18,C547)))),"★ Active","–")))</f>
        <v/>
      </c>
      <c r="B547" t="inlineStr">
        <is>
          <t>Larimer County</t>
        </is>
      </c>
      <c r="C547" t="inlineStr">
        <is>
          <t>Loveland</t>
        </is>
      </c>
      <c r="D547" t="inlineStr">
        <is>
          <t>Planning &amp; Zoning</t>
        </is>
      </c>
      <c r="E547" t="inlineStr">
        <is>
          <t>Loveland Current Planning Division</t>
        </is>
      </c>
      <c r="F547" s="2313" t="inlineStr">
        <is>
          <t>https://www.lovgov.org/services/development-services/current-planning</t>
        </is>
      </c>
      <c r="G547" t="inlineStr">
        <is>
          <t>Planning services and development review</t>
        </is>
      </c>
    </row>
    <row r="548" ht="15" customHeight="1" s="1439">
      <c r="A548">
        <f>IF(B548&lt;&gt;$D$3,"◌ Other",IF(C548="REGIONAL / ALL MUNICIPALITIES","Regional",IF(OR(ISNUMBER(SEARCH(LEFT('Property Info'!$B$17,MAX(1,FIND(",",'Property Info'!$B$17&amp;",")-1)),C548)),ISNUMBER(SEARCH('Property Info'!$B$18,C548)))),"★ Active","–")))</f>
        <v/>
      </c>
      <c r="B548" t="inlineStr">
        <is>
          <t>Larimer County</t>
        </is>
      </c>
      <c r="C548" t="inlineStr">
        <is>
          <t>Loveland</t>
        </is>
      </c>
      <c r="D548" t="inlineStr">
        <is>
          <t>Planning &amp; Zoning</t>
        </is>
      </c>
      <c r="E548" t="inlineStr">
        <is>
          <t>Loveland Property Zoning Search</t>
        </is>
      </c>
      <c r="F548" s="2313" t="inlineStr">
        <is>
          <t>https://www.lovgov.org/business/view-property-information</t>
        </is>
      </c>
      <c r="G548" t="inlineStr">
        <is>
          <t>Search zoning information for Loveland properties</t>
        </is>
      </c>
    </row>
    <row r="549" ht="15" customHeight="1" s="1439">
      <c r="A549">
        <f>IF(B549&lt;&gt;$D$3,"◌ Other",IF(C549="REGIONAL / ALL MUNICIPALITIES","Regional",IF(OR(ISNUMBER(SEARCH(LEFT('Property Info'!$B$17,MAX(1,FIND(",",'Property Info'!$B$17&amp;",")-1)),C549)),ISNUMBER(SEARCH('Property Info'!$B$18,C549)))),"★ Active","–")))</f>
        <v/>
      </c>
      <c r="B549" t="inlineStr">
        <is>
          <t>Larimer County</t>
        </is>
      </c>
      <c r="C549" t="inlineStr">
        <is>
          <t>Loveland</t>
        </is>
      </c>
      <c r="D549" t="inlineStr">
        <is>
          <t>Floodplain / FEMA</t>
        </is>
      </c>
      <c r="E549" t="inlineStr">
        <is>
          <t>Loveland Flood Management</t>
        </is>
      </c>
      <c r="F549" s="2313" t="inlineStr">
        <is>
          <t>https://www.lovgov.org/services/public-works/stormwater/flood-management</t>
        </is>
      </c>
      <c r="G549" t="inlineStr">
        <is>
          <t>City floodplain info and management programs</t>
        </is>
      </c>
    </row>
    <row r="550" ht="15" customHeight="1" s="1439">
      <c r="A550">
        <f>IF(B550&lt;&gt;$D$3,"◌ Other",IF(C550="REGIONAL / ALL MUNICIPALITIES","Regional",IF(OR(ISNUMBER(SEARCH(LEFT('Property Info'!$B$17,MAX(1,FIND(",",'Property Info'!$B$17&amp;",")-1)),C550)),ISNUMBER(SEARCH('Property Info'!$B$18,C550)))),"★ Active","–")))</f>
        <v/>
      </c>
      <c r="B550" t="inlineStr">
        <is>
          <t>Larimer County</t>
        </is>
      </c>
      <c r="C550" t="inlineStr">
        <is>
          <t>Loveland</t>
        </is>
      </c>
      <c r="D550" t="inlineStr">
        <is>
          <t>Economic Development</t>
        </is>
      </c>
      <c r="E550" t="inlineStr">
        <is>
          <t>Loveland Economic Development</t>
        </is>
      </c>
      <c r="F550" s="2313" t="inlineStr">
        <is>
          <t>https://lovelandeconomicdevelopment.org/</t>
        </is>
      </c>
      <c r="G550" t="inlineStr">
        <is>
          <t>City economic development services and business growth support</t>
        </is>
      </c>
    </row>
    <row r="551" ht="15" customHeight="1" s="1439">
      <c r="A551">
        <f>IF(B551&lt;&gt;$D$3,"◌ Other",IF(C551="REGIONAL / ALL MUNICIPALITIES","Regional",IF(OR(ISNUMBER(SEARCH(LEFT('Property Info'!$B$17,MAX(1,FIND(",",'Property Info'!$B$17&amp;",")-1)),C551)),ISNUMBER(SEARCH('Property Info'!$B$18,C551)))),"★ Active","–")))</f>
        <v/>
      </c>
      <c r="B551" t="inlineStr">
        <is>
          <t>Larimer County</t>
        </is>
      </c>
      <c r="C551" t="inlineStr">
        <is>
          <t>Estes Park</t>
        </is>
      </c>
      <c r="D551" t="inlineStr">
        <is>
          <t>Planning &amp; Zoning</t>
        </is>
      </c>
      <c r="E551" t="inlineStr">
        <is>
          <t>Estes Park Development Code &amp; Comprehensive Plan</t>
        </is>
      </c>
      <c r="F551" s="2313" t="inlineStr">
        <is>
          <t>https://estespark.colorado.gov/developmentcode</t>
        </is>
      </c>
      <c r="G551" t="inlineStr">
        <is>
          <t>Development Code (updated 2025-26) and Estes Forward Comprehensive Plan (2022)</t>
        </is>
      </c>
    </row>
    <row r="552" ht="15" customHeight="1" s="1439">
      <c r="A552">
        <f>IF(B552&lt;&gt;$D$3,"◌ Other",IF(C552="REGIONAL / ALL MUNICIPALITIES","Regional",IF(OR(ISNUMBER(SEARCH(LEFT('Property Info'!$B$17,MAX(1,FIND(",",'Property Info'!$B$17&amp;",")-1)),C552)),ISNUMBER(SEARCH('Property Info'!$B$18,C552)))),"★ Active","–")))</f>
        <v/>
      </c>
      <c r="B552" t="inlineStr">
        <is>
          <t>Larimer County</t>
        </is>
      </c>
      <c r="C552" t="inlineStr">
        <is>
          <t>Estes Park</t>
        </is>
      </c>
      <c r="D552" t="inlineStr">
        <is>
          <t>Planning &amp; Zoning</t>
        </is>
      </c>
      <c r="E552" t="inlineStr">
        <is>
          <t>Estes Park Planning &amp; Zoning</t>
        </is>
      </c>
      <c r="F552" s="2313" t="inlineStr">
        <is>
          <t>https://estespark.colorado.gov/planningzoning</t>
        </is>
      </c>
      <c r="G552" t="inlineStr">
        <is>
          <t>Planning and zoning services, development consultations</t>
        </is>
      </c>
    </row>
    <row r="553" ht="15" customHeight="1" s="1439">
      <c r="A553">
        <f>IF(B553&lt;&gt;$D$3,"◌ Other",IF(C553="REGIONAL / ALL MUNICIPALITIES","Regional",IF(OR(ISNUMBER(SEARCH(LEFT('Property Info'!$B$17,MAX(1,FIND(",",'Property Info'!$B$17&amp;",")-1)),C553)),ISNUMBER(SEARCH('Property Info'!$B$18,C553)))),"★ Active","–")))</f>
        <v/>
      </c>
      <c r="B553" t="inlineStr">
        <is>
          <t>Larimer County</t>
        </is>
      </c>
      <c r="C553" t="inlineStr">
        <is>
          <t>Estes Park</t>
        </is>
      </c>
      <c r="D553" t="inlineStr">
        <is>
          <t>Planning &amp; Zoning</t>
        </is>
      </c>
      <c r="E553" t="inlineStr">
        <is>
          <t>Estes Park Maps &amp; Zoning Portal</t>
        </is>
      </c>
      <c r="F553" s="2313" t="inlineStr">
        <is>
          <t>https://estespark.colorado.gov/maps</t>
        </is>
      </c>
      <c r="G553" t="inlineStr">
        <is>
          <t>Interactive mapping for zoning districts and planning information</t>
        </is>
      </c>
    </row>
    <row r="554" ht="15" customHeight="1" s="1439">
      <c r="A554">
        <f>IF(B554&lt;&gt;$D$3,"◌ Other",IF(C554="REGIONAL / ALL MUNICIPALITIES","Regional",IF(OR(ISNUMBER(SEARCH(LEFT('Property Info'!$B$17,MAX(1,FIND(",",'Property Info'!$B$17&amp;",")-1)),C554)),ISNUMBER(SEARCH('Property Info'!$B$18,C554)))),"★ Active","–")))</f>
        <v/>
      </c>
      <c r="B554" t="inlineStr">
        <is>
          <t>Larimer County</t>
        </is>
      </c>
      <c r="C554" t="inlineStr">
        <is>
          <t>Estes Park</t>
        </is>
      </c>
      <c r="D554" t="inlineStr">
        <is>
          <t>Floodplain / FEMA</t>
        </is>
      </c>
      <c r="E554" t="inlineStr">
        <is>
          <t>Estes Park Floodplain Management</t>
        </is>
      </c>
      <c r="F554" s="2313" t="inlineStr">
        <is>
          <t>https://estespark.colorado.gov/floodplains</t>
        </is>
      </c>
      <c r="G554" t="inlineStr">
        <is>
          <t>Floodplain management, hydrology studies, and flood risk information</t>
        </is>
      </c>
    </row>
    <row r="555" ht="15" customHeight="1" s="1439">
      <c r="A555">
        <f>IF(B555&lt;&gt;$D$3,"◌ Other",IF(C555="REGIONAL / ALL MUNICIPALITIES","Regional",IF(OR(ISNUMBER(SEARCH(LEFT('Property Info'!$B$17,MAX(1,FIND(",",'Property Info'!$B$17&amp;",")-1)),C555)),ISNUMBER(SEARCH('Property Info'!$B$18,C555)))),"★ Active","–")))</f>
        <v/>
      </c>
      <c r="B555" t="inlineStr">
        <is>
          <t>Larimer County</t>
        </is>
      </c>
      <c r="C555" t="inlineStr">
        <is>
          <t>Berthoud</t>
        </is>
      </c>
      <c r="D555" t="inlineStr">
        <is>
          <t>Planning &amp; Zoning</t>
        </is>
      </c>
      <c r="E555" t="inlineStr">
        <is>
          <t>Berthoud Planning Department</t>
        </is>
      </c>
      <c r="F555" s="2313" t="inlineStr">
        <is>
          <t>https://www.berthoud.org/178/Planning-Department</t>
        </is>
      </c>
      <c r="G555" t="inlineStr">
        <is>
          <t>Town planning and development services</t>
        </is>
      </c>
    </row>
    <row r="556" ht="15" customHeight="1" s="1439">
      <c r="A556">
        <f>IF(B556&lt;&gt;$D$3,"◌ Other",IF(C556="REGIONAL / ALL MUNICIPALITIES","Regional",IF(OR(ISNUMBER(SEARCH(LEFT('Property Info'!$B$17,MAX(1,FIND(",",'Property Info'!$B$17&amp;",")-1)),C556)),ISNUMBER(SEARCH('Property Info'!$B$18,C556)))),"★ Active","–")))</f>
        <v/>
      </c>
      <c r="B556" t="inlineStr">
        <is>
          <t>Larimer County</t>
        </is>
      </c>
      <c r="C556" t="inlineStr">
        <is>
          <t>Berthoud</t>
        </is>
      </c>
      <c r="D556" t="inlineStr">
        <is>
          <t>Planning &amp; Zoning</t>
        </is>
      </c>
      <c r="E556" t="inlineStr">
        <is>
          <t>Berthoud Development Code (Title 30)</t>
        </is>
      </c>
      <c r="F556" s="2313" t="inlineStr">
        <is>
          <t>https://library.municode.com/co/berthoud/codes/code_of_ordinances?nodeId=CH30BEDECO</t>
        </is>
      </c>
      <c r="G556" t="inlineStr">
        <is>
          <t>Zoning districts, regulations, and land use standards</t>
        </is>
      </c>
    </row>
    <row r="557" ht="15" customHeight="1" s="1439">
      <c r="A557">
        <f>IF(B557&lt;&gt;$D$3,"◌ Other",IF(C557="REGIONAL / ALL MUNICIPALITIES","Regional",IF(OR(ISNUMBER(SEARCH(LEFT('Property Info'!$B$17,MAX(1,FIND(",",'Property Info'!$B$17&amp;",")-1)),C557)),ISNUMBER(SEARCH('Property Info'!$B$18,C557)))),"★ Active","–")))</f>
        <v/>
      </c>
      <c r="B557" t="inlineStr">
        <is>
          <t>Larimer County</t>
        </is>
      </c>
      <c r="C557" t="inlineStr">
        <is>
          <t>Windsor</t>
        </is>
      </c>
      <c r="D557" t="inlineStr">
        <is>
          <t>Planning &amp; Zoning</t>
        </is>
      </c>
      <c r="E557" t="inlineStr">
        <is>
          <t>Windsor Planning &amp; Zoning</t>
        </is>
      </c>
      <c r="F557" s="2313" t="inlineStr">
        <is>
          <t>https://www.windsorgov.com/1229/Planning-Zoning</t>
        </is>
      </c>
      <c r="G557" t="inlineStr">
        <is>
          <t>Town planning, zoning, and development review (also serves Weld County portion)</t>
        </is>
      </c>
    </row>
    <row r="558" ht="15" customHeight="1" s="1439">
      <c r="A558">
        <f>IF(B558&lt;&gt;$D$3,"◌ Other",IF(C558="REGIONAL / ALL MUNICIPALITIES","Regional",IF(OR(ISNUMBER(SEARCH(LEFT('Property Info'!$B$17,MAX(1,FIND(",",'Property Info'!$B$17&amp;",")-1)),C558)),ISNUMBER(SEARCH('Property Info'!$B$18,C558)))),"★ Active","–")))</f>
        <v/>
      </c>
      <c r="B558" t="inlineStr">
        <is>
          <t>Larimer County</t>
        </is>
      </c>
      <c r="C558" t="inlineStr">
        <is>
          <t>Timnath</t>
        </is>
      </c>
      <c r="D558" t="inlineStr">
        <is>
          <t>Planning &amp; Zoning</t>
        </is>
      </c>
      <c r="E558" t="inlineStr">
        <is>
          <t>Timnath Planning Division</t>
        </is>
      </c>
      <c r="F558" s="2313" t="inlineStr">
        <is>
          <t>https://timnath.org/planning/</t>
        </is>
      </c>
      <c r="G558" t="inlineStr">
        <is>
          <t>Town of Timnath planning services and development review</t>
        </is>
      </c>
    </row>
    <row r="559" ht="15" customHeight="1" s="1439">
      <c r="A559">
        <f>IF(B559&lt;&gt;$D$3,"◌ Other",IF(C559="REGIONAL / ALL MUNICIPALITIES","Regional",IF(OR(ISNUMBER(SEARCH(LEFT('Property Info'!$B$17,MAX(1,FIND(",",'Property Info'!$B$17&amp;",")-1)),C559)),ISNUMBER(SEARCH('Property Info'!$B$18,C559)))),"★ Active","–")))</f>
        <v/>
      </c>
      <c r="B559" t="inlineStr">
        <is>
          <t>Larimer County</t>
        </is>
      </c>
      <c r="C559" t="inlineStr">
        <is>
          <t>Timnath</t>
        </is>
      </c>
      <c r="D559" t="inlineStr">
        <is>
          <t>Planning &amp; Zoning</t>
        </is>
      </c>
      <c r="E559" t="inlineStr">
        <is>
          <t>Timnath Land Use Code</t>
        </is>
      </c>
      <c r="F559" s="2313" t="inlineStr">
        <is>
          <t>https://timnath.org/town-ordinances/</t>
        </is>
      </c>
      <c r="G559" t="inlineStr">
        <is>
          <t>Land Use Code (Version 22, effective March 2, 2026)</t>
        </is>
      </c>
    </row>
    <row r="560" ht="15" customHeight="1" s="1439">
      <c r="A560">
        <f>IF(B560&lt;&gt;$D$3,"◌ Other",IF(C560="REGIONAL / ALL MUNICIPALITIES","Regional",IF(OR(ISNUMBER(SEARCH(LEFT('Property Info'!$B$17,MAX(1,FIND(",",'Property Info'!$B$17&amp;",")-1)),C560)),ISNUMBER(SEARCH('Property Info'!$B$18,C560)))),"★ Active","–")))</f>
        <v/>
      </c>
      <c r="B560" t="inlineStr">
        <is>
          <t>Larimer County</t>
        </is>
      </c>
      <c r="C560" t="inlineStr">
        <is>
          <t>Wellington</t>
        </is>
      </c>
      <c r="D560" t="inlineStr">
        <is>
          <t>Planning &amp; Zoning</t>
        </is>
      </c>
      <c r="E560" t="inlineStr">
        <is>
          <t>Wellington Building &amp; Planning</t>
        </is>
      </c>
      <c r="F560" s="2313" t="inlineStr">
        <is>
          <t>https://www.wellingtoncolorado.gov/150/Departments</t>
        </is>
      </c>
      <c r="G560" t="inlineStr">
        <is>
          <t>Town building and planning services</t>
        </is>
      </c>
    </row>
    <row r="561" ht="15" customHeight="1" s="1439">
      <c r="A561">
        <f>IF(B561&lt;&gt;$D$3,"◌ Other",IF(C561="REGIONAL / ALL MUNICIPALITIES","Regional",IF(OR(ISNUMBER(SEARCH(LEFT('Property Info'!$B$17,MAX(1,FIND(",",'Property Info'!$B$17&amp;",")-1)),C561)),ISNUMBER(SEARCH('Property Info'!$B$18,C561)))),"★ Active","–")))</f>
        <v/>
      </c>
      <c r="B561" t="inlineStr">
        <is>
          <t>Larimer County</t>
        </is>
      </c>
      <c r="C561" t="inlineStr">
        <is>
          <t>Wellington</t>
        </is>
      </c>
      <c r="D561" t="inlineStr">
        <is>
          <t>Planning &amp; Zoning</t>
        </is>
      </c>
      <c r="E561" t="inlineStr">
        <is>
          <t>Wellington Planning Commission</t>
        </is>
      </c>
      <c r="F561" s="2313" t="inlineStr">
        <is>
          <t>https://www.wellingtoncolorado.gov/160/Planning-Commission</t>
        </is>
      </c>
      <c r="G561" t="inlineStr">
        <is>
          <t>Planning Commission responsible for comprehensive planning and land use</t>
        </is>
      </c>
    </row>
  </sheetData>
  <mergeCells count="5">
    <mergeCell ref="F3:G3"/>
    <mergeCell ref="A1:G1"/>
    <mergeCell ref="A2:G2"/>
    <mergeCell ref="A3:C3"/>
    <mergeCell ref="D3:E3"/>
  </mergeCells>
  <conditionalFormatting sqref="A6:G384">
    <cfRule type="expression" priority="1" dxfId="12">
      <formula>$A6="◌ Other"</formula>
    </cfRule>
    <cfRule type="expression" priority="2" dxfId="11">
      <formula>$A6="Regional"</formula>
    </cfRule>
    <cfRule type="expression" priority="3" dxfId="10">
      <formula>$A6="★ Active"</formula>
    </cfRule>
  </conditionalFormatting>
  <dataValidations count="1">
    <dataValidation sqref="D3" showDropDown="0" showInputMessage="0" showErrorMessage="1" allowBlank="0" errorTitle="Invalid County" error="Please select a county from the list." type="list">
      <formula1>"Adams County,Boulder County,Broomfield County,Jefferson County,Larimer County,Weld County"</formula1>
    </dataValidation>
  </dataValidations>
  <hyperlinks>
    <hyperlink xmlns:r="http://schemas.openxmlformats.org/officeDocument/2006/relationships" ref="F6" r:id="rId1"/>
    <hyperlink xmlns:r="http://schemas.openxmlformats.org/officeDocument/2006/relationships" ref="F7" r:id="rId2"/>
    <hyperlink xmlns:r="http://schemas.openxmlformats.org/officeDocument/2006/relationships" ref="F8" r:id="rId3"/>
    <hyperlink xmlns:r="http://schemas.openxmlformats.org/officeDocument/2006/relationships" ref="F9" r:id="rId4"/>
    <hyperlink xmlns:r="http://schemas.openxmlformats.org/officeDocument/2006/relationships" ref="F10" r:id="rId5"/>
    <hyperlink xmlns:r="http://schemas.openxmlformats.org/officeDocument/2006/relationships" ref="F11" r:id="rId6"/>
    <hyperlink xmlns:r="http://schemas.openxmlformats.org/officeDocument/2006/relationships" ref="F12" r:id="rId7"/>
    <hyperlink xmlns:r="http://schemas.openxmlformats.org/officeDocument/2006/relationships" ref="F13" r:id="rId8"/>
    <hyperlink xmlns:r="http://schemas.openxmlformats.org/officeDocument/2006/relationships" ref="F14" r:id="rId9"/>
    <hyperlink xmlns:r="http://schemas.openxmlformats.org/officeDocument/2006/relationships" ref="F15" r:id="rId10"/>
    <hyperlink xmlns:r="http://schemas.openxmlformats.org/officeDocument/2006/relationships" ref="F16" r:id="rId11"/>
    <hyperlink xmlns:r="http://schemas.openxmlformats.org/officeDocument/2006/relationships" ref="F17" r:id="rId12"/>
    <hyperlink xmlns:r="http://schemas.openxmlformats.org/officeDocument/2006/relationships" ref="F18" r:id="rId13"/>
    <hyperlink xmlns:r="http://schemas.openxmlformats.org/officeDocument/2006/relationships" ref="F19" r:id="rId14"/>
    <hyperlink xmlns:r="http://schemas.openxmlformats.org/officeDocument/2006/relationships" ref="F20" r:id="rId15"/>
    <hyperlink xmlns:r="http://schemas.openxmlformats.org/officeDocument/2006/relationships" ref="F21" r:id="rId16"/>
    <hyperlink xmlns:r="http://schemas.openxmlformats.org/officeDocument/2006/relationships" ref="F22" r:id="rId17"/>
    <hyperlink xmlns:r="http://schemas.openxmlformats.org/officeDocument/2006/relationships" ref="F23" r:id="rId18"/>
    <hyperlink xmlns:r="http://schemas.openxmlformats.org/officeDocument/2006/relationships" ref="F24" r:id="rId19"/>
    <hyperlink xmlns:r="http://schemas.openxmlformats.org/officeDocument/2006/relationships" ref="F25" r:id="rId20"/>
    <hyperlink xmlns:r="http://schemas.openxmlformats.org/officeDocument/2006/relationships" ref="F26" r:id="rId21"/>
    <hyperlink xmlns:r="http://schemas.openxmlformats.org/officeDocument/2006/relationships" ref="F27" r:id="rId22"/>
    <hyperlink xmlns:r="http://schemas.openxmlformats.org/officeDocument/2006/relationships" ref="F28" r:id="rId23"/>
    <hyperlink xmlns:r="http://schemas.openxmlformats.org/officeDocument/2006/relationships" ref="F29" r:id="rId24"/>
    <hyperlink xmlns:r="http://schemas.openxmlformats.org/officeDocument/2006/relationships" ref="F30" r:id="rId25"/>
    <hyperlink xmlns:r="http://schemas.openxmlformats.org/officeDocument/2006/relationships" ref="F31" r:id="rId26"/>
    <hyperlink xmlns:r="http://schemas.openxmlformats.org/officeDocument/2006/relationships" ref="F32" r:id="rId27"/>
    <hyperlink xmlns:r="http://schemas.openxmlformats.org/officeDocument/2006/relationships" ref="F33" r:id="rId28"/>
    <hyperlink xmlns:r="http://schemas.openxmlformats.org/officeDocument/2006/relationships" ref="F34" r:id="rId29"/>
    <hyperlink xmlns:r="http://schemas.openxmlformats.org/officeDocument/2006/relationships" ref="F35" r:id="rId30"/>
    <hyperlink xmlns:r="http://schemas.openxmlformats.org/officeDocument/2006/relationships" ref="F36" r:id="rId31"/>
    <hyperlink xmlns:r="http://schemas.openxmlformats.org/officeDocument/2006/relationships" ref="F37" r:id="rId32"/>
    <hyperlink xmlns:r="http://schemas.openxmlformats.org/officeDocument/2006/relationships" ref="F38" r:id="rId33"/>
    <hyperlink xmlns:r="http://schemas.openxmlformats.org/officeDocument/2006/relationships" ref="F39" r:id="rId34"/>
    <hyperlink xmlns:r="http://schemas.openxmlformats.org/officeDocument/2006/relationships" ref="F40" r:id="rId35"/>
    <hyperlink xmlns:r="http://schemas.openxmlformats.org/officeDocument/2006/relationships" ref="F41" r:id="rId36"/>
    <hyperlink xmlns:r="http://schemas.openxmlformats.org/officeDocument/2006/relationships" ref="F42" r:id="rId37"/>
    <hyperlink xmlns:r="http://schemas.openxmlformats.org/officeDocument/2006/relationships" ref="F43" r:id="rId38"/>
    <hyperlink xmlns:r="http://schemas.openxmlformats.org/officeDocument/2006/relationships" ref="F44" r:id="rId39"/>
    <hyperlink xmlns:r="http://schemas.openxmlformats.org/officeDocument/2006/relationships" ref="F45" r:id="rId40"/>
    <hyperlink xmlns:r="http://schemas.openxmlformats.org/officeDocument/2006/relationships" ref="F46" r:id="rId41"/>
    <hyperlink xmlns:r="http://schemas.openxmlformats.org/officeDocument/2006/relationships" ref="F47" r:id="rId42"/>
    <hyperlink xmlns:r="http://schemas.openxmlformats.org/officeDocument/2006/relationships" ref="F48" r:id="rId43"/>
    <hyperlink xmlns:r="http://schemas.openxmlformats.org/officeDocument/2006/relationships" ref="F49" r:id="rId44"/>
    <hyperlink xmlns:r="http://schemas.openxmlformats.org/officeDocument/2006/relationships" ref="F50" r:id="rId45"/>
    <hyperlink xmlns:r="http://schemas.openxmlformats.org/officeDocument/2006/relationships" ref="F51" r:id="rId46"/>
    <hyperlink xmlns:r="http://schemas.openxmlformats.org/officeDocument/2006/relationships" ref="F52" r:id="rId47"/>
    <hyperlink xmlns:r="http://schemas.openxmlformats.org/officeDocument/2006/relationships" ref="F53" r:id="rId48"/>
    <hyperlink xmlns:r="http://schemas.openxmlformats.org/officeDocument/2006/relationships" ref="F54" r:id="rId49"/>
    <hyperlink xmlns:r="http://schemas.openxmlformats.org/officeDocument/2006/relationships" ref="F55" r:id="rId50"/>
    <hyperlink xmlns:r="http://schemas.openxmlformats.org/officeDocument/2006/relationships" ref="F56" r:id="rId51"/>
    <hyperlink xmlns:r="http://schemas.openxmlformats.org/officeDocument/2006/relationships" ref="F57" r:id="rId52"/>
    <hyperlink xmlns:r="http://schemas.openxmlformats.org/officeDocument/2006/relationships" ref="F58" r:id="rId53"/>
    <hyperlink xmlns:r="http://schemas.openxmlformats.org/officeDocument/2006/relationships" ref="F59" r:id="rId54"/>
    <hyperlink xmlns:r="http://schemas.openxmlformats.org/officeDocument/2006/relationships" ref="F60" r:id="rId55"/>
    <hyperlink xmlns:r="http://schemas.openxmlformats.org/officeDocument/2006/relationships" ref="F61" r:id="rId56"/>
    <hyperlink xmlns:r="http://schemas.openxmlformats.org/officeDocument/2006/relationships" ref="F62" r:id="rId57"/>
    <hyperlink xmlns:r="http://schemas.openxmlformats.org/officeDocument/2006/relationships" ref="F63" r:id="rId58"/>
    <hyperlink xmlns:r="http://schemas.openxmlformats.org/officeDocument/2006/relationships" ref="F64" r:id="rId59"/>
    <hyperlink xmlns:r="http://schemas.openxmlformats.org/officeDocument/2006/relationships" ref="F65" r:id="rId60"/>
    <hyperlink xmlns:r="http://schemas.openxmlformats.org/officeDocument/2006/relationships" ref="F66" r:id="rId61"/>
    <hyperlink xmlns:r="http://schemas.openxmlformats.org/officeDocument/2006/relationships" ref="F67" r:id="rId62"/>
    <hyperlink xmlns:r="http://schemas.openxmlformats.org/officeDocument/2006/relationships" ref="F68" r:id="rId63"/>
    <hyperlink xmlns:r="http://schemas.openxmlformats.org/officeDocument/2006/relationships" ref="F69" r:id="rId64"/>
    <hyperlink xmlns:r="http://schemas.openxmlformats.org/officeDocument/2006/relationships" ref="F70" r:id="rId65"/>
    <hyperlink xmlns:r="http://schemas.openxmlformats.org/officeDocument/2006/relationships" ref="F71" r:id="rId66"/>
    <hyperlink xmlns:r="http://schemas.openxmlformats.org/officeDocument/2006/relationships" ref="F72" r:id="rId67"/>
    <hyperlink xmlns:r="http://schemas.openxmlformats.org/officeDocument/2006/relationships" ref="F73" r:id="rId68"/>
    <hyperlink xmlns:r="http://schemas.openxmlformats.org/officeDocument/2006/relationships" ref="F74" r:id="rId69"/>
    <hyperlink xmlns:r="http://schemas.openxmlformats.org/officeDocument/2006/relationships" ref="F75" r:id="rId70"/>
    <hyperlink xmlns:r="http://schemas.openxmlformats.org/officeDocument/2006/relationships" ref="F76" r:id="rId71"/>
    <hyperlink xmlns:r="http://schemas.openxmlformats.org/officeDocument/2006/relationships" ref="F77" r:id="rId72"/>
    <hyperlink xmlns:r="http://schemas.openxmlformats.org/officeDocument/2006/relationships" ref="F78" r:id="rId73"/>
    <hyperlink xmlns:r="http://schemas.openxmlformats.org/officeDocument/2006/relationships" ref="F79" r:id="rId74"/>
    <hyperlink xmlns:r="http://schemas.openxmlformats.org/officeDocument/2006/relationships" ref="F80" r:id="rId75"/>
    <hyperlink xmlns:r="http://schemas.openxmlformats.org/officeDocument/2006/relationships" ref="F81" r:id="rId76"/>
    <hyperlink xmlns:r="http://schemas.openxmlformats.org/officeDocument/2006/relationships" ref="F82" r:id="rId77"/>
    <hyperlink xmlns:r="http://schemas.openxmlformats.org/officeDocument/2006/relationships" ref="F83" r:id="rId78"/>
    <hyperlink xmlns:r="http://schemas.openxmlformats.org/officeDocument/2006/relationships" ref="F84" r:id="rId79"/>
    <hyperlink xmlns:r="http://schemas.openxmlformats.org/officeDocument/2006/relationships" ref="F85" r:id="rId80"/>
    <hyperlink xmlns:r="http://schemas.openxmlformats.org/officeDocument/2006/relationships" ref="F86" r:id="rId81"/>
    <hyperlink xmlns:r="http://schemas.openxmlformats.org/officeDocument/2006/relationships" ref="F87" r:id="rId82"/>
    <hyperlink xmlns:r="http://schemas.openxmlformats.org/officeDocument/2006/relationships" ref="F88" r:id="rId83"/>
    <hyperlink xmlns:r="http://schemas.openxmlformats.org/officeDocument/2006/relationships" ref="F89" r:id="rId84"/>
    <hyperlink xmlns:r="http://schemas.openxmlformats.org/officeDocument/2006/relationships" ref="F90" r:id="rId85"/>
    <hyperlink xmlns:r="http://schemas.openxmlformats.org/officeDocument/2006/relationships" ref="F91" r:id="rId86"/>
    <hyperlink xmlns:r="http://schemas.openxmlformats.org/officeDocument/2006/relationships" ref="F92" r:id="rId87"/>
    <hyperlink xmlns:r="http://schemas.openxmlformats.org/officeDocument/2006/relationships" ref="F93" r:id="rId88"/>
    <hyperlink xmlns:r="http://schemas.openxmlformats.org/officeDocument/2006/relationships" ref="F94" r:id="rId89"/>
    <hyperlink xmlns:r="http://schemas.openxmlformats.org/officeDocument/2006/relationships" ref="F95" r:id="rId90"/>
    <hyperlink xmlns:r="http://schemas.openxmlformats.org/officeDocument/2006/relationships" ref="F96" r:id="rId91"/>
    <hyperlink xmlns:r="http://schemas.openxmlformats.org/officeDocument/2006/relationships" ref="F97" r:id="rId92"/>
    <hyperlink xmlns:r="http://schemas.openxmlformats.org/officeDocument/2006/relationships" ref="F98" r:id="rId93"/>
    <hyperlink xmlns:r="http://schemas.openxmlformats.org/officeDocument/2006/relationships" ref="F99" r:id="rId94"/>
    <hyperlink xmlns:r="http://schemas.openxmlformats.org/officeDocument/2006/relationships" ref="F100" r:id="rId95"/>
    <hyperlink xmlns:r="http://schemas.openxmlformats.org/officeDocument/2006/relationships" ref="F101" r:id="rId96"/>
    <hyperlink xmlns:r="http://schemas.openxmlformats.org/officeDocument/2006/relationships" ref="F102" r:id="rId97"/>
    <hyperlink xmlns:r="http://schemas.openxmlformats.org/officeDocument/2006/relationships" ref="F103" r:id="rId98"/>
    <hyperlink xmlns:r="http://schemas.openxmlformats.org/officeDocument/2006/relationships" ref="F104" r:id="rId99"/>
    <hyperlink xmlns:r="http://schemas.openxmlformats.org/officeDocument/2006/relationships" ref="F105" r:id="rId100"/>
    <hyperlink xmlns:r="http://schemas.openxmlformats.org/officeDocument/2006/relationships" ref="F106" r:id="rId101"/>
    <hyperlink xmlns:r="http://schemas.openxmlformats.org/officeDocument/2006/relationships" ref="F107" r:id="rId102"/>
    <hyperlink xmlns:r="http://schemas.openxmlformats.org/officeDocument/2006/relationships" ref="F108" r:id="rId103"/>
    <hyperlink xmlns:r="http://schemas.openxmlformats.org/officeDocument/2006/relationships" ref="F109" r:id="rId104"/>
    <hyperlink xmlns:r="http://schemas.openxmlformats.org/officeDocument/2006/relationships" ref="F110" r:id="rId105"/>
    <hyperlink xmlns:r="http://schemas.openxmlformats.org/officeDocument/2006/relationships" ref="F111" r:id="rId106"/>
    <hyperlink xmlns:r="http://schemas.openxmlformats.org/officeDocument/2006/relationships" ref="F112" r:id="rId107"/>
    <hyperlink xmlns:r="http://schemas.openxmlformats.org/officeDocument/2006/relationships" ref="F113" r:id="rId108"/>
    <hyperlink xmlns:r="http://schemas.openxmlformats.org/officeDocument/2006/relationships" ref="F114" r:id="rId109"/>
    <hyperlink xmlns:r="http://schemas.openxmlformats.org/officeDocument/2006/relationships" ref="F115" r:id="rId110"/>
    <hyperlink xmlns:r="http://schemas.openxmlformats.org/officeDocument/2006/relationships" ref="F116" r:id="rId111"/>
    <hyperlink xmlns:r="http://schemas.openxmlformats.org/officeDocument/2006/relationships" ref="F117" r:id="rId112"/>
    <hyperlink xmlns:r="http://schemas.openxmlformats.org/officeDocument/2006/relationships" ref="F118" r:id="rId113"/>
    <hyperlink xmlns:r="http://schemas.openxmlformats.org/officeDocument/2006/relationships" ref="F119" r:id="rId114"/>
    <hyperlink xmlns:r="http://schemas.openxmlformats.org/officeDocument/2006/relationships" ref="F120" r:id="rId115"/>
    <hyperlink xmlns:r="http://schemas.openxmlformats.org/officeDocument/2006/relationships" ref="F121" r:id="rId116"/>
    <hyperlink xmlns:r="http://schemas.openxmlformats.org/officeDocument/2006/relationships" ref="F122" r:id="rId117"/>
    <hyperlink xmlns:r="http://schemas.openxmlformats.org/officeDocument/2006/relationships" ref="F123" r:id="rId118"/>
    <hyperlink xmlns:r="http://schemas.openxmlformats.org/officeDocument/2006/relationships" ref="F124" r:id="rId119"/>
    <hyperlink xmlns:r="http://schemas.openxmlformats.org/officeDocument/2006/relationships" ref="F125" r:id="rId120"/>
    <hyperlink xmlns:r="http://schemas.openxmlformats.org/officeDocument/2006/relationships" ref="F126" r:id="rId121"/>
    <hyperlink xmlns:r="http://schemas.openxmlformats.org/officeDocument/2006/relationships" ref="F127" r:id="rId122"/>
    <hyperlink xmlns:r="http://schemas.openxmlformats.org/officeDocument/2006/relationships" ref="F128" r:id="rId123"/>
    <hyperlink xmlns:r="http://schemas.openxmlformats.org/officeDocument/2006/relationships" ref="F129" r:id="rId124"/>
    <hyperlink xmlns:r="http://schemas.openxmlformats.org/officeDocument/2006/relationships" ref="F130" r:id="rId125"/>
    <hyperlink xmlns:r="http://schemas.openxmlformats.org/officeDocument/2006/relationships" ref="F131" r:id="rId126"/>
    <hyperlink xmlns:r="http://schemas.openxmlformats.org/officeDocument/2006/relationships" ref="F132" r:id="rId127"/>
    <hyperlink xmlns:r="http://schemas.openxmlformats.org/officeDocument/2006/relationships" ref="F133" r:id="rId128"/>
    <hyperlink xmlns:r="http://schemas.openxmlformats.org/officeDocument/2006/relationships" ref="F134" r:id="rId129"/>
    <hyperlink xmlns:r="http://schemas.openxmlformats.org/officeDocument/2006/relationships" ref="F135" r:id="rId130"/>
    <hyperlink xmlns:r="http://schemas.openxmlformats.org/officeDocument/2006/relationships" ref="F136" r:id="rId131"/>
    <hyperlink xmlns:r="http://schemas.openxmlformats.org/officeDocument/2006/relationships" ref="F137" r:id="rId132"/>
    <hyperlink xmlns:r="http://schemas.openxmlformats.org/officeDocument/2006/relationships" ref="F138" r:id="rId133"/>
    <hyperlink xmlns:r="http://schemas.openxmlformats.org/officeDocument/2006/relationships" ref="F139" r:id="rId134"/>
    <hyperlink xmlns:r="http://schemas.openxmlformats.org/officeDocument/2006/relationships" ref="F140" r:id="rId135"/>
    <hyperlink xmlns:r="http://schemas.openxmlformats.org/officeDocument/2006/relationships" ref="F141" r:id="rId136"/>
    <hyperlink xmlns:r="http://schemas.openxmlformats.org/officeDocument/2006/relationships" ref="F142" r:id="rId137"/>
    <hyperlink xmlns:r="http://schemas.openxmlformats.org/officeDocument/2006/relationships" ref="F143" r:id="rId138"/>
    <hyperlink xmlns:r="http://schemas.openxmlformats.org/officeDocument/2006/relationships" ref="F144" r:id="rId139"/>
    <hyperlink xmlns:r="http://schemas.openxmlformats.org/officeDocument/2006/relationships" ref="F145" r:id="rId140"/>
    <hyperlink xmlns:r="http://schemas.openxmlformats.org/officeDocument/2006/relationships" ref="F146" r:id="rId141"/>
    <hyperlink xmlns:r="http://schemas.openxmlformats.org/officeDocument/2006/relationships" ref="F147" r:id="rId142"/>
    <hyperlink xmlns:r="http://schemas.openxmlformats.org/officeDocument/2006/relationships" ref="F148" r:id="rId143"/>
    <hyperlink xmlns:r="http://schemas.openxmlformats.org/officeDocument/2006/relationships" ref="F149" r:id="rId144"/>
    <hyperlink xmlns:r="http://schemas.openxmlformats.org/officeDocument/2006/relationships" ref="F150" r:id="rId145"/>
    <hyperlink xmlns:r="http://schemas.openxmlformats.org/officeDocument/2006/relationships" ref="F151" r:id="rId146"/>
    <hyperlink xmlns:r="http://schemas.openxmlformats.org/officeDocument/2006/relationships" ref="F152" r:id="rId147"/>
    <hyperlink xmlns:r="http://schemas.openxmlformats.org/officeDocument/2006/relationships" ref="F153" r:id="rId148"/>
    <hyperlink xmlns:r="http://schemas.openxmlformats.org/officeDocument/2006/relationships" ref="F154" r:id="rId149"/>
    <hyperlink xmlns:r="http://schemas.openxmlformats.org/officeDocument/2006/relationships" ref="F155" r:id="rId150"/>
    <hyperlink xmlns:r="http://schemas.openxmlformats.org/officeDocument/2006/relationships" ref="F156" r:id="rId151"/>
    <hyperlink xmlns:r="http://schemas.openxmlformats.org/officeDocument/2006/relationships" ref="F157" r:id="rId152"/>
    <hyperlink xmlns:r="http://schemas.openxmlformats.org/officeDocument/2006/relationships" ref="F158" r:id="rId153"/>
    <hyperlink xmlns:r="http://schemas.openxmlformats.org/officeDocument/2006/relationships" ref="F159" r:id="rId154"/>
    <hyperlink xmlns:r="http://schemas.openxmlformats.org/officeDocument/2006/relationships" ref="F160" r:id="rId155"/>
    <hyperlink xmlns:r="http://schemas.openxmlformats.org/officeDocument/2006/relationships" ref="F161" r:id="rId156"/>
    <hyperlink xmlns:r="http://schemas.openxmlformats.org/officeDocument/2006/relationships" ref="F162" r:id="rId157"/>
    <hyperlink xmlns:r="http://schemas.openxmlformats.org/officeDocument/2006/relationships" ref="F163" r:id="rId158"/>
    <hyperlink xmlns:r="http://schemas.openxmlformats.org/officeDocument/2006/relationships" ref="F164" r:id="rId159"/>
    <hyperlink xmlns:r="http://schemas.openxmlformats.org/officeDocument/2006/relationships" ref="F165" r:id="rId160"/>
    <hyperlink xmlns:r="http://schemas.openxmlformats.org/officeDocument/2006/relationships" ref="F166" r:id="rId161"/>
    <hyperlink xmlns:r="http://schemas.openxmlformats.org/officeDocument/2006/relationships" ref="F167" r:id="rId162"/>
    <hyperlink xmlns:r="http://schemas.openxmlformats.org/officeDocument/2006/relationships" ref="F168" r:id="rId163"/>
    <hyperlink xmlns:r="http://schemas.openxmlformats.org/officeDocument/2006/relationships" ref="F169" r:id="rId164"/>
    <hyperlink xmlns:r="http://schemas.openxmlformats.org/officeDocument/2006/relationships" ref="F170" r:id="rId165"/>
    <hyperlink xmlns:r="http://schemas.openxmlformats.org/officeDocument/2006/relationships" ref="F171" r:id="rId166"/>
    <hyperlink xmlns:r="http://schemas.openxmlformats.org/officeDocument/2006/relationships" ref="F172" r:id="rId167"/>
    <hyperlink xmlns:r="http://schemas.openxmlformats.org/officeDocument/2006/relationships" ref="F173" r:id="rId168"/>
    <hyperlink xmlns:r="http://schemas.openxmlformats.org/officeDocument/2006/relationships" ref="F174" r:id="rId169"/>
    <hyperlink xmlns:r="http://schemas.openxmlformats.org/officeDocument/2006/relationships" ref="F175" r:id="rId170"/>
    <hyperlink xmlns:r="http://schemas.openxmlformats.org/officeDocument/2006/relationships" ref="F176" r:id="rId171"/>
    <hyperlink xmlns:r="http://schemas.openxmlformats.org/officeDocument/2006/relationships" ref="F177" r:id="rId172"/>
    <hyperlink xmlns:r="http://schemas.openxmlformats.org/officeDocument/2006/relationships" ref="F178" r:id="rId173"/>
    <hyperlink xmlns:r="http://schemas.openxmlformats.org/officeDocument/2006/relationships" ref="F179" r:id="rId174"/>
    <hyperlink xmlns:r="http://schemas.openxmlformats.org/officeDocument/2006/relationships" ref="F180" r:id="rId175"/>
    <hyperlink xmlns:r="http://schemas.openxmlformats.org/officeDocument/2006/relationships" ref="F181" r:id="rId176"/>
    <hyperlink xmlns:r="http://schemas.openxmlformats.org/officeDocument/2006/relationships" ref="F182" r:id="rId177"/>
    <hyperlink xmlns:r="http://schemas.openxmlformats.org/officeDocument/2006/relationships" ref="F183" r:id="rId178"/>
    <hyperlink xmlns:r="http://schemas.openxmlformats.org/officeDocument/2006/relationships" ref="F184" r:id="rId179"/>
    <hyperlink xmlns:r="http://schemas.openxmlformats.org/officeDocument/2006/relationships" ref="F185" r:id="rId180"/>
    <hyperlink xmlns:r="http://schemas.openxmlformats.org/officeDocument/2006/relationships" ref="F186" r:id="rId181"/>
    <hyperlink xmlns:r="http://schemas.openxmlformats.org/officeDocument/2006/relationships" ref="F187" r:id="rId182"/>
    <hyperlink xmlns:r="http://schemas.openxmlformats.org/officeDocument/2006/relationships" ref="F188" r:id="rId183"/>
    <hyperlink xmlns:r="http://schemas.openxmlformats.org/officeDocument/2006/relationships" ref="F189" r:id="rId184"/>
    <hyperlink xmlns:r="http://schemas.openxmlformats.org/officeDocument/2006/relationships" ref="F190" r:id="rId185"/>
    <hyperlink xmlns:r="http://schemas.openxmlformats.org/officeDocument/2006/relationships" ref="F191" r:id="rId186"/>
    <hyperlink xmlns:r="http://schemas.openxmlformats.org/officeDocument/2006/relationships" ref="F192" r:id="rId187"/>
    <hyperlink xmlns:r="http://schemas.openxmlformats.org/officeDocument/2006/relationships" ref="F193" r:id="rId188"/>
    <hyperlink xmlns:r="http://schemas.openxmlformats.org/officeDocument/2006/relationships" ref="F194" r:id="rId189"/>
    <hyperlink xmlns:r="http://schemas.openxmlformats.org/officeDocument/2006/relationships" ref="F195" r:id="rId190"/>
    <hyperlink xmlns:r="http://schemas.openxmlformats.org/officeDocument/2006/relationships" ref="F196" r:id="rId191"/>
    <hyperlink xmlns:r="http://schemas.openxmlformats.org/officeDocument/2006/relationships" ref="F197" r:id="rId192"/>
    <hyperlink xmlns:r="http://schemas.openxmlformats.org/officeDocument/2006/relationships" ref="F198" r:id="rId193"/>
    <hyperlink xmlns:r="http://schemas.openxmlformats.org/officeDocument/2006/relationships" ref="F199" r:id="rId194"/>
    <hyperlink xmlns:r="http://schemas.openxmlformats.org/officeDocument/2006/relationships" ref="F200" r:id="rId195"/>
    <hyperlink xmlns:r="http://schemas.openxmlformats.org/officeDocument/2006/relationships" ref="F201" r:id="rId196"/>
    <hyperlink xmlns:r="http://schemas.openxmlformats.org/officeDocument/2006/relationships" ref="F202" r:id="rId197"/>
    <hyperlink xmlns:r="http://schemas.openxmlformats.org/officeDocument/2006/relationships" ref="F203" r:id="rId198"/>
    <hyperlink xmlns:r="http://schemas.openxmlformats.org/officeDocument/2006/relationships" ref="F204" r:id="rId199"/>
    <hyperlink xmlns:r="http://schemas.openxmlformats.org/officeDocument/2006/relationships" ref="F205" r:id="rId200"/>
    <hyperlink xmlns:r="http://schemas.openxmlformats.org/officeDocument/2006/relationships" ref="F206" r:id="rId201"/>
    <hyperlink xmlns:r="http://schemas.openxmlformats.org/officeDocument/2006/relationships" ref="F207" r:id="rId202"/>
    <hyperlink xmlns:r="http://schemas.openxmlformats.org/officeDocument/2006/relationships" ref="F208" r:id="rId203"/>
    <hyperlink xmlns:r="http://schemas.openxmlformats.org/officeDocument/2006/relationships" ref="F209" r:id="rId204"/>
    <hyperlink xmlns:r="http://schemas.openxmlformats.org/officeDocument/2006/relationships" ref="F210" r:id="rId205"/>
    <hyperlink xmlns:r="http://schemas.openxmlformats.org/officeDocument/2006/relationships" ref="F211" r:id="rId206"/>
    <hyperlink xmlns:r="http://schemas.openxmlformats.org/officeDocument/2006/relationships" ref="F212" r:id="rId207"/>
    <hyperlink xmlns:r="http://schemas.openxmlformats.org/officeDocument/2006/relationships" ref="F213" r:id="rId208"/>
    <hyperlink xmlns:r="http://schemas.openxmlformats.org/officeDocument/2006/relationships" ref="F214" r:id="rId209"/>
    <hyperlink xmlns:r="http://schemas.openxmlformats.org/officeDocument/2006/relationships" ref="F215" r:id="rId210"/>
    <hyperlink xmlns:r="http://schemas.openxmlformats.org/officeDocument/2006/relationships" ref="F216" r:id="rId211"/>
    <hyperlink xmlns:r="http://schemas.openxmlformats.org/officeDocument/2006/relationships" ref="F217" r:id="rId212"/>
    <hyperlink xmlns:r="http://schemas.openxmlformats.org/officeDocument/2006/relationships" ref="F218" r:id="rId213"/>
    <hyperlink xmlns:r="http://schemas.openxmlformats.org/officeDocument/2006/relationships" ref="F219" r:id="rId214"/>
    <hyperlink xmlns:r="http://schemas.openxmlformats.org/officeDocument/2006/relationships" ref="F220" r:id="rId215"/>
    <hyperlink xmlns:r="http://schemas.openxmlformats.org/officeDocument/2006/relationships" ref="F221" r:id="rId216"/>
    <hyperlink xmlns:r="http://schemas.openxmlformats.org/officeDocument/2006/relationships" ref="F222" r:id="rId217"/>
    <hyperlink xmlns:r="http://schemas.openxmlformats.org/officeDocument/2006/relationships" ref="F223" r:id="rId218"/>
    <hyperlink xmlns:r="http://schemas.openxmlformats.org/officeDocument/2006/relationships" ref="F224" r:id="rId219"/>
    <hyperlink xmlns:r="http://schemas.openxmlformats.org/officeDocument/2006/relationships" ref="F225" r:id="rId220"/>
    <hyperlink xmlns:r="http://schemas.openxmlformats.org/officeDocument/2006/relationships" ref="F226" r:id="rId221"/>
    <hyperlink xmlns:r="http://schemas.openxmlformats.org/officeDocument/2006/relationships" ref="F227" r:id="rId222"/>
    <hyperlink xmlns:r="http://schemas.openxmlformats.org/officeDocument/2006/relationships" ref="F228" r:id="rId223"/>
    <hyperlink xmlns:r="http://schemas.openxmlformats.org/officeDocument/2006/relationships" ref="F229" r:id="rId224"/>
    <hyperlink xmlns:r="http://schemas.openxmlformats.org/officeDocument/2006/relationships" ref="F230" r:id="rId225"/>
    <hyperlink xmlns:r="http://schemas.openxmlformats.org/officeDocument/2006/relationships" ref="F231" r:id="rId226"/>
    <hyperlink xmlns:r="http://schemas.openxmlformats.org/officeDocument/2006/relationships" ref="F232" r:id="rId227"/>
    <hyperlink xmlns:r="http://schemas.openxmlformats.org/officeDocument/2006/relationships" ref="F233" r:id="rId228"/>
    <hyperlink xmlns:r="http://schemas.openxmlformats.org/officeDocument/2006/relationships" ref="F234" r:id="rId229"/>
    <hyperlink xmlns:r="http://schemas.openxmlformats.org/officeDocument/2006/relationships" ref="F235" r:id="rId230"/>
    <hyperlink xmlns:r="http://schemas.openxmlformats.org/officeDocument/2006/relationships" ref="F236" r:id="rId231"/>
    <hyperlink xmlns:r="http://schemas.openxmlformats.org/officeDocument/2006/relationships" ref="F237" r:id="rId232"/>
    <hyperlink xmlns:r="http://schemas.openxmlformats.org/officeDocument/2006/relationships" ref="F238" r:id="rId233"/>
    <hyperlink xmlns:r="http://schemas.openxmlformats.org/officeDocument/2006/relationships" ref="F239" r:id="rId234"/>
    <hyperlink xmlns:r="http://schemas.openxmlformats.org/officeDocument/2006/relationships" ref="F240" r:id="rId235"/>
    <hyperlink xmlns:r="http://schemas.openxmlformats.org/officeDocument/2006/relationships" ref="F241" r:id="rId236"/>
    <hyperlink xmlns:r="http://schemas.openxmlformats.org/officeDocument/2006/relationships" ref="F242" r:id="rId237"/>
    <hyperlink xmlns:r="http://schemas.openxmlformats.org/officeDocument/2006/relationships" ref="F243" r:id="rId238"/>
    <hyperlink xmlns:r="http://schemas.openxmlformats.org/officeDocument/2006/relationships" ref="F244" r:id="rId239"/>
    <hyperlink xmlns:r="http://schemas.openxmlformats.org/officeDocument/2006/relationships" ref="F245" r:id="rId240"/>
    <hyperlink xmlns:r="http://schemas.openxmlformats.org/officeDocument/2006/relationships" ref="F246" r:id="rId241"/>
    <hyperlink xmlns:r="http://schemas.openxmlformats.org/officeDocument/2006/relationships" ref="F247" r:id="rId242"/>
    <hyperlink xmlns:r="http://schemas.openxmlformats.org/officeDocument/2006/relationships" ref="F248" r:id="rId243"/>
    <hyperlink xmlns:r="http://schemas.openxmlformats.org/officeDocument/2006/relationships" ref="F249" r:id="rId244"/>
    <hyperlink xmlns:r="http://schemas.openxmlformats.org/officeDocument/2006/relationships" ref="F250" r:id="rId245"/>
    <hyperlink xmlns:r="http://schemas.openxmlformats.org/officeDocument/2006/relationships" ref="F251" r:id="rId246"/>
    <hyperlink xmlns:r="http://schemas.openxmlformats.org/officeDocument/2006/relationships" ref="F252" r:id="rId247"/>
    <hyperlink xmlns:r="http://schemas.openxmlformats.org/officeDocument/2006/relationships" ref="F253" r:id="rId248"/>
    <hyperlink xmlns:r="http://schemas.openxmlformats.org/officeDocument/2006/relationships" ref="F254" r:id="rId249"/>
    <hyperlink xmlns:r="http://schemas.openxmlformats.org/officeDocument/2006/relationships" ref="F255" r:id="rId250"/>
    <hyperlink xmlns:r="http://schemas.openxmlformats.org/officeDocument/2006/relationships" ref="F256" r:id="rId251"/>
    <hyperlink xmlns:r="http://schemas.openxmlformats.org/officeDocument/2006/relationships" ref="F257" r:id="rId252"/>
    <hyperlink xmlns:r="http://schemas.openxmlformats.org/officeDocument/2006/relationships" ref="F258" r:id="rId253"/>
    <hyperlink xmlns:r="http://schemas.openxmlformats.org/officeDocument/2006/relationships" ref="F259" r:id="rId254"/>
    <hyperlink xmlns:r="http://schemas.openxmlformats.org/officeDocument/2006/relationships" ref="F260" r:id="rId255"/>
    <hyperlink xmlns:r="http://schemas.openxmlformats.org/officeDocument/2006/relationships" ref="F261" r:id="rId256"/>
    <hyperlink xmlns:r="http://schemas.openxmlformats.org/officeDocument/2006/relationships" ref="F262" r:id="rId257"/>
    <hyperlink xmlns:r="http://schemas.openxmlformats.org/officeDocument/2006/relationships" ref="F263" r:id="rId258"/>
    <hyperlink xmlns:r="http://schemas.openxmlformats.org/officeDocument/2006/relationships" ref="F264" r:id="rId259"/>
    <hyperlink xmlns:r="http://schemas.openxmlformats.org/officeDocument/2006/relationships" ref="F265" r:id="rId260"/>
    <hyperlink xmlns:r="http://schemas.openxmlformats.org/officeDocument/2006/relationships" ref="F266" r:id="rId261"/>
    <hyperlink xmlns:r="http://schemas.openxmlformats.org/officeDocument/2006/relationships" ref="F267" r:id="rId262"/>
    <hyperlink xmlns:r="http://schemas.openxmlformats.org/officeDocument/2006/relationships" ref="F268" r:id="rId263"/>
    <hyperlink xmlns:r="http://schemas.openxmlformats.org/officeDocument/2006/relationships" ref="F269" r:id="rId264"/>
    <hyperlink xmlns:r="http://schemas.openxmlformats.org/officeDocument/2006/relationships" ref="F270" r:id="rId265"/>
    <hyperlink xmlns:r="http://schemas.openxmlformats.org/officeDocument/2006/relationships" ref="F271" r:id="rId266"/>
    <hyperlink xmlns:r="http://schemas.openxmlformats.org/officeDocument/2006/relationships" ref="F272" r:id="rId267"/>
    <hyperlink xmlns:r="http://schemas.openxmlformats.org/officeDocument/2006/relationships" ref="F273" r:id="rId268"/>
    <hyperlink xmlns:r="http://schemas.openxmlformats.org/officeDocument/2006/relationships" ref="F274" r:id="rId269"/>
    <hyperlink xmlns:r="http://schemas.openxmlformats.org/officeDocument/2006/relationships" ref="F275" r:id="rId270"/>
    <hyperlink xmlns:r="http://schemas.openxmlformats.org/officeDocument/2006/relationships" ref="F276" r:id="rId271"/>
    <hyperlink xmlns:r="http://schemas.openxmlformats.org/officeDocument/2006/relationships" ref="F277" r:id="rId272"/>
    <hyperlink xmlns:r="http://schemas.openxmlformats.org/officeDocument/2006/relationships" ref="F278" r:id="rId273"/>
    <hyperlink xmlns:r="http://schemas.openxmlformats.org/officeDocument/2006/relationships" ref="F279" r:id="rId274"/>
    <hyperlink xmlns:r="http://schemas.openxmlformats.org/officeDocument/2006/relationships" ref="F280" r:id="rId275"/>
    <hyperlink xmlns:r="http://schemas.openxmlformats.org/officeDocument/2006/relationships" ref="F281" r:id="rId276"/>
    <hyperlink xmlns:r="http://schemas.openxmlformats.org/officeDocument/2006/relationships" ref="F282" r:id="rId277"/>
    <hyperlink xmlns:r="http://schemas.openxmlformats.org/officeDocument/2006/relationships" ref="F283" r:id="rId278"/>
    <hyperlink xmlns:r="http://schemas.openxmlformats.org/officeDocument/2006/relationships" ref="F284" r:id="rId279"/>
    <hyperlink xmlns:r="http://schemas.openxmlformats.org/officeDocument/2006/relationships" ref="F285" r:id="rId280"/>
    <hyperlink xmlns:r="http://schemas.openxmlformats.org/officeDocument/2006/relationships" ref="F286" r:id="rId281"/>
    <hyperlink xmlns:r="http://schemas.openxmlformats.org/officeDocument/2006/relationships" ref="F287" r:id="rId282"/>
    <hyperlink xmlns:r="http://schemas.openxmlformats.org/officeDocument/2006/relationships" ref="F288" r:id="rId283"/>
    <hyperlink xmlns:r="http://schemas.openxmlformats.org/officeDocument/2006/relationships" ref="F289" r:id="rId284"/>
    <hyperlink xmlns:r="http://schemas.openxmlformats.org/officeDocument/2006/relationships" ref="F290" r:id="rId285"/>
    <hyperlink xmlns:r="http://schemas.openxmlformats.org/officeDocument/2006/relationships" ref="F291" r:id="rId286"/>
    <hyperlink xmlns:r="http://schemas.openxmlformats.org/officeDocument/2006/relationships" ref="F292" r:id="rId287"/>
    <hyperlink xmlns:r="http://schemas.openxmlformats.org/officeDocument/2006/relationships" ref="F293" r:id="rId288"/>
    <hyperlink xmlns:r="http://schemas.openxmlformats.org/officeDocument/2006/relationships" ref="F294" r:id="rId289"/>
    <hyperlink xmlns:r="http://schemas.openxmlformats.org/officeDocument/2006/relationships" ref="F295" r:id="rId290"/>
    <hyperlink xmlns:r="http://schemas.openxmlformats.org/officeDocument/2006/relationships" ref="F296" r:id="rId291"/>
    <hyperlink xmlns:r="http://schemas.openxmlformats.org/officeDocument/2006/relationships" ref="F297" r:id="rId292"/>
    <hyperlink xmlns:r="http://schemas.openxmlformats.org/officeDocument/2006/relationships" ref="F298" r:id="rId293"/>
    <hyperlink xmlns:r="http://schemas.openxmlformats.org/officeDocument/2006/relationships" ref="F299" r:id="rId294"/>
    <hyperlink xmlns:r="http://schemas.openxmlformats.org/officeDocument/2006/relationships" ref="F300" r:id="rId295"/>
    <hyperlink xmlns:r="http://schemas.openxmlformats.org/officeDocument/2006/relationships" ref="F301" r:id="rId296"/>
    <hyperlink xmlns:r="http://schemas.openxmlformats.org/officeDocument/2006/relationships" ref="F302" r:id="rId297"/>
    <hyperlink xmlns:r="http://schemas.openxmlformats.org/officeDocument/2006/relationships" ref="F303" r:id="rId298"/>
    <hyperlink xmlns:r="http://schemas.openxmlformats.org/officeDocument/2006/relationships" ref="F304" r:id="rId299"/>
    <hyperlink xmlns:r="http://schemas.openxmlformats.org/officeDocument/2006/relationships" ref="F305" r:id="rId300"/>
    <hyperlink xmlns:r="http://schemas.openxmlformats.org/officeDocument/2006/relationships" ref="F306" r:id="rId301"/>
    <hyperlink xmlns:r="http://schemas.openxmlformats.org/officeDocument/2006/relationships" ref="F307" r:id="rId302"/>
    <hyperlink xmlns:r="http://schemas.openxmlformats.org/officeDocument/2006/relationships" ref="F308" r:id="rId303"/>
    <hyperlink xmlns:r="http://schemas.openxmlformats.org/officeDocument/2006/relationships" ref="F309" r:id="rId304"/>
    <hyperlink xmlns:r="http://schemas.openxmlformats.org/officeDocument/2006/relationships" ref="F310" r:id="rId305"/>
    <hyperlink xmlns:r="http://schemas.openxmlformats.org/officeDocument/2006/relationships" ref="F311" r:id="rId306"/>
    <hyperlink xmlns:r="http://schemas.openxmlformats.org/officeDocument/2006/relationships" ref="F312" r:id="rId307"/>
    <hyperlink xmlns:r="http://schemas.openxmlformats.org/officeDocument/2006/relationships" ref="F313" r:id="rId308"/>
    <hyperlink xmlns:r="http://schemas.openxmlformats.org/officeDocument/2006/relationships" ref="F314" r:id="rId309"/>
    <hyperlink xmlns:r="http://schemas.openxmlformats.org/officeDocument/2006/relationships" ref="F315" r:id="rId310"/>
    <hyperlink xmlns:r="http://schemas.openxmlformats.org/officeDocument/2006/relationships" ref="F316" r:id="rId311"/>
    <hyperlink xmlns:r="http://schemas.openxmlformats.org/officeDocument/2006/relationships" ref="F317" r:id="rId312"/>
    <hyperlink xmlns:r="http://schemas.openxmlformats.org/officeDocument/2006/relationships" ref="F318" r:id="rId313"/>
    <hyperlink xmlns:r="http://schemas.openxmlformats.org/officeDocument/2006/relationships" ref="F319" r:id="rId314"/>
    <hyperlink xmlns:r="http://schemas.openxmlformats.org/officeDocument/2006/relationships" ref="F320" r:id="rId315"/>
    <hyperlink xmlns:r="http://schemas.openxmlformats.org/officeDocument/2006/relationships" ref="F321" r:id="rId316"/>
    <hyperlink xmlns:r="http://schemas.openxmlformats.org/officeDocument/2006/relationships" ref="F322" r:id="rId317"/>
    <hyperlink xmlns:r="http://schemas.openxmlformats.org/officeDocument/2006/relationships" ref="F323" r:id="rId318"/>
    <hyperlink xmlns:r="http://schemas.openxmlformats.org/officeDocument/2006/relationships" ref="F324" r:id="rId319"/>
    <hyperlink xmlns:r="http://schemas.openxmlformats.org/officeDocument/2006/relationships" ref="F325" r:id="rId320"/>
    <hyperlink xmlns:r="http://schemas.openxmlformats.org/officeDocument/2006/relationships" ref="F326" r:id="rId321"/>
    <hyperlink xmlns:r="http://schemas.openxmlformats.org/officeDocument/2006/relationships" ref="F327" r:id="rId322"/>
    <hyperlink xmlns:r="http://schemas.openxmlformats.org/officeDocument/2006/relationships" ref="F328" r:id="rId323"/>
    <hyperlink xmlns:r="http://schemas.openxmlformats.org/officeDocument/2006/relationships" ref="F329" r:id="rId324"/>
    <hyperlink xmlns:r="http://schemas.openxmlformats.org/officeDocument/2006/relationships" ref="F330" r:id="rId325"/>
    <hyperlink xmlns:r="http://schemas.openxmlformats.org/officeDocument/2006/relationships" ref="F331" r:id="rId326"/>
    <hyperlink xmlns:r="http://schemas.openxmlformats.org/officeDocument/2006/relationships" ref="F332" r:id="rId327"/>
    <hyperlink xmlns:r="http://schemas.openxmlformats.org/officeDocument/2006/relationships" ref="F333" r:id="rId328"/>
    <hyperlink xmlns:r="http://schemas.openxmlformats.org/officeDocument/2006/relationships" ref="F334" r:id="rId329"/>
    <hyperlink xmlns:r="http://schemas.openxmlformats.org/officeDocument/2006/relationships" ref="F335" r:id="rId330"/>
    <hyperlink xmlns:r="http://schemas.openxmlformats.org/officeDocument/2006/relationships" ref="F336" r:id="rId331"/>
    <hyperlink xmlns:r="http://schemas.openxmlformats.org/officeDocument/2006/relationships" ref="F337" r:id="rId332"/>
    <hyperlink xmlns:r="http://schemas.openxmlformats.org/officeDocument/2006/relationships" ref="F338" r:id="rId333"/>
    <hyperlink xmlns:r="http://schemas.openxmlformats.org/officeDocument/2006/relationships" ref="F339" r:id="rId334"/>
    <hyperlink xmlns:r="http://schemas.openxmlformats.org/officeDocument/2006/relationships" ref="F340" r:id="rId335"/>
    <hyperlink xmlns:r="http://schemas.openxmlformats.org/officeDocument/2006/relationships" ref="F341" r:id="rId336"/>
    <hyperlink xmlns:r="http://schemas.openxmlformats.org/officeDocument/2006/relationships" ref="F342" r:id="rId337"/>
    <hyperlink xmlns:r="http://schemas.openxmlformats.org/officeDocument/2006/relationships" ref="F343" r:id="rId338"/>
    <hyperlink xmlns:r="http://schemas.openxmlformats.org/officeDocument/2006/relationships" ref="F344" r:id="rId339"/>
    <hyperlink xmlns:r="http://schemas.openxmlformats.org/officeDocument/2006/relationships" ref="F345" r:id="rId340"/>
    <hyperlink xmlns:r="http://schemas.openxmlformats.org/officeDocument/2006/relationships" ref="F346" r:id="rId341"/>
    <hyperlink xmlns:r="http://schemas.openxmlformats.org/officeDocument/2006/relationships" ref="F347" r:id="rId342"/>
    <hyperlink xmlns:r="http://schemas.openxmlformats.org/officeDocument/2006/relationships" ref="F348" r:id="rId343"/>
    <hyperlink xmlns:r="http://schemas.openxmlformats.org/officeDocument/2006/relationships" ref="F349" r:id="rId344"/>
    <hyperlink xmlns:r="http://schemas.openxmlformats.org/officeDocument/2006/relationships" ref="F350" r:id="rId345"/>
    <hyperlink xmlns:r="http://schemas.openxmlformats.org/officeDocument/2006/relationships" ref="F351" r:id="rId346"/>
    <hyperlink xmlns:r="http://schemas.openxmlformats.org/officeDocument/2006/relationships" ref="F352" r:id="rId347"/>
    <hyperlink xmlns:r="http://schemas.openxmlformats.org/officeDocument/2006/relationships" ref="F353" r:id="rId348"/>
    <hyperlink xmlns:r="http://schemas.openxmlformats.org/officeDocument/2006/relationships" ref="F354" r:id="rId349"/>
    <hyperlink xmlns:r="http://schemas.openxmlformats.org/officeDocument/2006/relationships" ref="F355" r:id="rId350"/>
    <hyperlink xmlns:r="http://schemas.openxmlformats.org/officeDocument/2006/relationships" ref="F356" r:id="rId351"/>
    <hyperlink xmlns:r="http://schemas.openxmlformats.org/officeDocument/2006/relationships" ref="F357" r:id="rId352"/>
    <hyperlink xmlns:r="http://schemas.openxmlformats.org/officeDocument/2006/relationships" ref="F358" r:id="rId353"/>
    <hyperlink xmlns:r="http://schemas.openxmlformats.org/officeDocument/2006/relationships" ref="F359" r:id="rId354"/>
    <hyperlink xmlns:r="http://schemas.openxmlformats.org/officeDocument/2006/relationships" ref="F360" r:id="rId355"/>
    <hyperlink xmlns:r="http://schemas.openxmlformats.org/officeDocument/2006/relationships" ref="F361" r:id="rId356"/>
    <hyperlink xmlns:r="http://schemas.openxmlformats.org/officeDocument/2006/relationships" ref="F362" r:id="rId357"/>
    <hyperlink xmlns:r="http://schemas.openxmlformats.org/officeDocument/2006/relationships" ref="F363" r:id="rId358"/>
    <hyperlink xmlns:r="http://schemas.openxmlformats.org/officeDocument/2006/relationships" ref="F364" r:id="rId359"/>
    <hyperlink xmlns:r="http://schemas.openxmlformats.org/officeDocument/2006/relationships" ref="F365" r:id="rId360"/>
    <hyperlink xmlns:r="http://schemas.openxmlformats.org/officeDocument/2006/relationships" ref="F366" r:id="rId361"/>
    <hyperlink xmlns:r="http://schemas.openxmlformats.org/officeDocument/2006/relationships" ref="F367" r:id="rId362"/>
    <hyperlink xmlns:r="http://schemas.openxmlformats.org/officeDocument/2006/relationships" ref="F368" r:id="rId363"/>
    <hyperlink xmlns:r="http://schemas.openxmlformats.org/officeDocument/2006/relationships" ref="F369" r:id="rId364"/>
    <hyperlink xmlns:r="http://schemas.openxmlformats.org/officeDocument/2006/relationships" ref="F370" r:id="rId365"/>
    <hyperlink xmlns:r="http://schemas.openxmlformats.org/officeDocument/2006/relationships" ref="F371" r:id="rId366"/>
    <hyperlink xmlns:r="http://schemas.openxmlformats.org/officeDocument/2006/relationships" ref="F372" r:id="rId367"/>
    <hyperlink xmlns:r="http://schemas.openxmlformats.org/officeDocument/2006/relationships" ref="F373" r:id="rId368"/>
    <hyperlink xmlns:r="http://schemas.openxmlformats.org/officeDocument/2006/relationships" ref="F374" r:id="rId369"/>
    <hyperlink xmlns:r="http://schemas.openxmlformats.org/officeDocument/2006/relationships" ref="F375" r:id="rId370"/>
    <hyperlink xmlns:r="http://schemas.openxmlformats.org/officeDocument/2006/relationships" ref="F376" r:id="rId371"/>
    <hyperlink xmlns:r="http://schemas.openxmlformats.org/officeDocument/2006/relationships" ref="F377" r:id="rId372"/>
    <hyperlink xmlns:r="http://schemas.openxmlformats.org/officeDocument/2006/relationships" ref="F378" r:id="rId373"/>
    <hyperlink xmlns:r="http://schemas.openxmlformats.org/officeDocument/2006/relationships" ref="F379" r:id="rId374"/>
    <hyperlink xmlns:r="http://schemas.openxmlformats.org/officeDocument/2006/relationships" ref="F380" r:id="rId375"/>
    <hyperlink xmlns:r="http://schemas.openxmlformats.org/officeDocument/2006/relationships" ref="F381" r:id="rId376"/>
    <hyperlink xmlns:r="http://schemas.openxmlformats.org/officeDocument/2006/relationships" ref="F382" r:id="rId377"/>
    <hyperlink xmlns:r="http://schemas.openxmlformats.org/officeDocument/2006/relationships" ref="F383" r:id="rId378"/>
    <hyperlink xmlns:r="http://schemas.openxmlformats.org/officeDocument/2006/relationships" ref="F384" r:id="rId379"/>
    <hyperlink xmlns:r="http://schemas.openxmlformats.org/officeDocument/2006/relationships" ref="F385" r:id="rId380"/>
    <hyperlink xmlns:r="http://schemas.openxmlformats.org/officeDocument/2006/relationships" ref="F386" r:id="rId381"/>
    <hyperlink xmlns:r="http://schemas.openxmlformats.org/officeDocument/2006/relationships" ref="F387" r:id="rId382"/>
    <hyperlink xmlns:r="http://schemas.openxmlformats.org/officeDocument/2006/relationships" ref="F388" r:id="rId383"/>
    <hyperlink xmlns:r="http://schemas.openxmlformats.org/officeDocument/2006/relationships" ref="F389" r:id="rId384"/>
    <hyperlink xmlns:r="http://schemas.openxmlformats.org/officeDocument/2006/relationships" ref="F390" r:id="rId385"/>
    <hyperlink xmlns:r="http://schemas.openxmlformats.org/officeDocument/2006/relationships" ref="F391" r:id="rId386"/>
    <hyperlink xmlns:r="http://schemas.openxmlformats.org/officeDocument/2006/relationships" ref="F392" r:id="rId387"/>
    <hyperlink xmlns:r="http://schemas.openxmlformats.org/officeDocument/2006/relationships" ref="F393" r:id="rId388"/>
    <hyperlink xmlns:r="http://schemas.openxmlformats.org/officeDocument/2006/relationships" ref="F394" r:id="rId389"/>
    <hyperlink xmlns:r="http://schemas.openxmlformats.org/officeDocument/2006/relationships" ref="F395" r:id="rId390"/>
    <hyperlink xmlns:r="http://schemas.openxmlformats.org/officeDocument/2006/relationships" ref="F396" r:id="rId391"/>
    <hyperlink xmlns:r="http://schemas.openxmlformats.org/officeDocument/2006/relationships" ref="F397" r:id="rId392"/>
    <hyperlink xmlns:r="http://schemas.openxmlformats.org/officeDocument/2006/relationships" ref="F398" r:id="rId393"/>
    <hyperlink xmlns:r="http://schemas.openxmlformats.org/officeDocument/2006/relationships" ref="F399" r:id="rId394"/>
    <hyperlink xmlns:r="http://schemas.openxmlformats.org/officeDocument/2006/relationships" ref="F400" r:id="rId395"/>
    <hyperlink xmlns:r="http://schemas.openxmlformats.org/officeDocument/2006/relationships" ref="F401" r:id="rId396"/>
    <hyperlink xmlns:r="http://schemas.openxmlformats.org/officeDocument/2006/relationships" ref="F402" r:id="rId397"/>
    <hyperlink xmlns:r="http://schemas.openxmlformats.org/officeDocument/2006/relationships" ref="F403" r:id="rId398"/>
    <hyperlink xmlns:r="http://schemas.openxmlformats.org/officeDocument/2006/relationships" ref="F404" r:id="rId399"/>
    <hyperlink xmlns:r="http://schemas.openxmlformats.org/officeDocument/2006/relationships" ref="F405" r:id="rId400"/>
    <hyperlink xmlns:r="http://schemas.openxmlformats.org/officeDocument/2006/relationships" ref="F406" r:id="rId401"/>
    <hyperlink xmlns:r="http://schemas.openxmlformats.org/officeDocument/2006/relationships" ref="F407" r:id="rId402"/>
    <hyperlink xmlns:r="http://schemas.openxmlformats.org/officeDocument/2006/relationships" ref="F408" r:id="rId403"/>
    <hyperlink xmlns:r="http://schemas.openxmlformats.org/officeDocument/2006/relationships" ref="F409" r:id="rId404"/>
    <hyperlink xmlns:r="http://schemas.openxmlformats.org/officeDocument/2006/relationships" ref="F410" r:id="rId405"/>
    <hyperlink xmlns:r="http://schemas.openxmlformats.org/officeDocument/2006/relationships" ref="F411" r:id="rId406"/>
    <hyperlink xmlns:r="http://schemas.openxmlformats.org/officeDocument/2006/relationships" ref="F412" r:id="rId407"/>
    <hyperlink xmlns:r="http://schemas.openxmlformats.org/officeDocument/2006/relationships" ref="F413" r:id="rId408"/>
    <hyperlink xmlns:r="http://schemas.openxmlformats.org/officeDocument/2006/relationships" ref="F414" r:id="rId409"/>
    <hyperlink xmlns:r="http://schemas.openxmlformats.org/officeDocument/2006/relationships" ref="F415" r:id="rId410"/>
    <hyperlink xmlns:r="http://schemas.openxmlformats.org/officeDocument/2006/relationships" ref="F416" r:id="rId411"/>
    <hyperlink xmlns:r="http://schemas.openxmlformats.org/officeDocument/2006/relationships" ref="F417" r:id="rId412"/>
    <hyperlink xmlns:r="http://schemas.openxmlformats.org/officeDocument/2006/relationships" ref="F418" r:id="rId413"/>
    <hyperlink xmlns:r="http://schemas.openxmlformats.org/officeDocument/2006/relationships" ref="F419" r:id="rId414"/>
    <hyperlink xmlns:r="http://schemas.openxmlformats.org/officeDocument/2006/relationships" ref="F420" r:id="rId415"/>
    <hyperlink xmlns:r="http://schemas.openxmlformats.org/officeDocument/2006/relationships" ref="F421" r:id="rId416"/>
    <hyperlink xmlns:r="http://schemas.openxmlformats.org/officeDocument/2006/relationships" ref="F422" r:id="rId417"/>
    <hyperlink xmlns:r="http://schemas.openxmlformats.org/officeDocument/2006/relationships" ref="F423" r:id="rId418"/>
    <hyperlink xmlns:r="http://schemas.openxmlformats.org/officeDocument/2006/relationships" ref="F424" r:id="rId419"/>
    <hyperlink xmlns:r="http://schemas.openxmlformats.org/officeDocument/2006/relationships" ref="F425" r:id="rId420"/>
    <hyperlink xmlns:r="http://schemas.openxmlformats.org/officeDocument/2006/relationships" ref="F426" r:id="rId421"/>
    <hyperlink xmlns:r="http://schemas.openxmlformats.org/officeDocument/2006/relationships" ref="F427" r:id="rId422"/>
    <hyperlink xmlns:r="http://schemas.openxmlformats.org/officeDocument/2006/relationships" ref="F428" r:id="rId423"/>
    <hyperlink xmlns:r="http://schemas.openxmlformats.org/officeDocument/2006/relationships" ref="F429" r:id="rId424"/>
    <hyperlink xmlns:r="http://schemas.openxmlformats.org/officeDocument/2006/relationships" ref="F430" r:id="rId425"/>
    <hyperlink xmlns:r="http://schemas.openxmlformats.org/officeDocument/2006/relationships" ref="F431" r:id="rId426"/>
    <hyperlink xmlns:r="http://schemas.openxmlformats.org/officeDocument/2006/relationships" ref="F432" r:id="rId427"/>
    <hyperlink xmlns:r="http://schemas.openxmlformats.org/officeDocument/2006/relationships" ref="F433" r:id="rId428"/>
    <hyperlink xmlns:r="http://schemas.openxmlformats.org/officeDocument/2006/relationships" ref="F434" r:id="rId429"/>
    <hyperlink xmlns:r="http://schemas.openxmlformats.org/officeDocument/2006/relationships" ref="F435" r:id="rId430"/>
    <hyperlink xmlns:r="http://schemas.openxmlformats.org/officeDocument/2006/relationships" ref="F436" r:id="rId431"/>
    <hyperlink xmlns:r="http://schemas.openxmlformats.org/officeDocument/2006/relationships" ref="F437" r:id="rId432"/>
    <hyperlink xmlns:r="http://schemas.openxmlformats.org/officeDocument/2006/relationships" ref="F438" r:id="rId433"/>
    <hyperlink xmlns:r="http://schemas.openxmlformats.org/officeDocument/2006/relationships" ref="F439" r:id="rId434"/>
    <hyperlink xmlns:r="http://schemas.openxmlformats.org/officeDocument/2006/relationships" ref="F440" r:id="rId435"/>
    <hyperlink xmlns:r="http://schemas.openxmlformats.org/officeDocument/2006/relationships" ref="F441" r:id="rId436"/>
    <hyperlink xmlns:r="http://schemas.openxmlformats.org/officeDocument/2006/relationships" ref="F442" r:id="rId437"/>
    <hyperlink xmlns:r="http://schemas.openxmlformats.org/officeDocument/2006/relationships" ref="F443" r:id="rId438"/>
    <hyperlink xmlns:r="http://schemas.openxmlformats.org/officeDocument/2006/relationships" ref="F444" r:id="rId439"/>
    <hyperlink xmlns:r="http://schemas.openxmlformats.org/officeDocument/2006/relationships" ref="F445" r:id="rId440"/>
    <hyperlink xmlns:r="http://schemas.openxmlformats.org/officeDocument/2006/relationships" ref="F446" r:id="rId441"/>
    <hyperlink xmlns:r="http://schemas.openxmlformats.org/officeDocument/2006/relationships" ref="F447" r:id="rId442"/>
    <hyperlink xmlns:r="http://schemas.openxmlformats.org/officeDocument/2006/relationships" ref="F448" r:id="rId443"/>
    <hyperlink xmlns:r="http://schemas.openxmlformats.org/officeDocument/2006/relationships" ref="F449" r:id="rId444"/>
    <hyperlink xmlns:r="http://schemas.openxmlformats.org/officeDocument/2006/relationships" ref="F450" r:id="rId445"/>
    <hyperlink xmlns:r="http://schemas.openxmlformats.org/officeDocument/2006/relationships" ref="F451" r:id="rId446"/>
    <hyperlink xmlns:r="http://schemas.openxmlformats.org/officeDocument/2006/relationships" ref="F452" r:id="rId447"/>
    <hyperlink xmlns:r="http://schemas.openxmlformats.org/officeDocument/2006/relationships" ref="F453" r:id="rId448"/>
    <hyperlink xmlns:r="http://schemas.openxmlformats.org/officeDocument/2006/relationships" ref="F454" r:id="rId449"/>
    <hyperlink xmlns:r="http://schemas.openxmlformats.org/officeDocument/2006/relationships" ref="F455" r:id="rId450"/>
    <hyperlink xmlns:r="http://schemas.openxmlformats.org/officeDocument/2006/relationships" ref="F456" r:id="rId451"/>
    <hyperlink xmlns:r="http://schemas.openxmlformats.org/officeDocument/2006/relationships" ref="F457" r:id="rId452"/>
    <hyperlink xmlns:r="http://schemas.openxmlformats.org/officeDocument/2006/relationships" ref="F458" r:id="rId453"/>
    <hyperlink xmlns:r="http://schemas.openxmlformats.org/officeDocument/2006/relationships" ref="F459" r:id="rId454"/>
    <hyperlink xmlns:r="http://schemas.openxmlformats.org/officeDocument/2006/relationships" ref="F460" r:id="rId455"/>
    <hyperlink xmlns:r="http://schemas.openxmlformats.org/officeDocument/2006/relationships" ref="F461" r:id="rId456"/>
    <hyperlink xmlns:r="http://schemas.openxmlformats.org/officeDocument/2006/relationships" ref="F462" r:id="rId457"/>
    <hyperlink xmlns:r="http://schemas.openxmlformats.org/officeDocument/2006/relationships" ref="F463" r:id="rId458"/>
    <hyperlink xmlns:r="http://schemas.openxmlformats.org/officeDocument/2006/relationships" ref="F464" r:id="rId459"/>
    <hyperlink xmlns:r="http://schemas.openxmlformats.org/officeDocument/2006/relationships" ref="F465" r:id="rId460"/>
    <hyperlink xmlns:r="http://schemas.openxmlformats.org/officeDocument/2006/relationships" ref="F466" r:id="rId461"/>
    <hyperlink xmlns:r="http://schemas.openxmlformats.org/officeDocument/2006/relationships" ref="F467" r:id="rId462"/>
    <hyperlink xmlns:r="http://schemas.openxmlformats.org/officeDocument/2006/relationships" ref="F468" r:id="rId463"/>
    <hyperlink xmlns:r="http://schemas.openxmlformats.org/officeDocument/2006/relationships" ref="F469" r:id="rId464"/>
    <hyperlink xmlns:r="http://schemas.openxmlformats.org/officeDocument/2006/relationships" ref="F470" r:id="rId465"/>
    <hyperlink xmlns:r="http://schemas.openxmlformats.org/officeDocument/2006/relationships" ref="F471" r:id="rId466"/>
    <hyperlink xmlns:r="http://schemas.openxmlformats.org/officeDocument/2006/relationships" ref="F472" r:id="rId467"/>
    <hyperlink xmlns:r="http://schemas.openxmlformats.org/officeDocument/2006/relationships" ref="F473" r:id="rId468"/>
    <hyperlink xmlns:r="http://schemas.openxmlformats.org/officeDocument/2006/relationships" ref="F474" r:id="rId469"/>
    <hyperlink xmlns:r="http://schemas.openxmlformats.org/officeDocument/2006/relationships" ref="F475" r:id="rId470"/>
    <hyperlink xmlns:r="http://schemas.openxmlformats.org/officeDocument/2006/relationships" ref="F476" r:id="rId471"/>
    <hyperlink xmlns:r="http://schemas.openxmlformats.org/officeDocument/2006/relationships" ref="F477" r:id="rId472"/>
    <hyperlink xmlns:r="http://schemas.openxmlformats.org/officeDocument/2006/relationships" ref="F478" r:id="rId473"/>
    <hyperlink xmlns:r="http://schemas.openxmlformats.org/officeDocument/2006/relationships" ref="F479" r:id="rId474"/>
    <hyperlink xmlns:r="http://schemas.openxmlformats.org/officeDocument/2006/relationships" ref="F480" r:id="rId475"/>
    <hyperlink xmlns:r="http://schemas.openxmlformats.org/officeDocument/2006/relationships" ref="F481" r:id="rId476"/>
    <hyperlink xmlns:r="http://schemas.openxmlformats.org/officeDocument/2006/relationships" ref="F482" r:id="rId477"/>
    <hyperlink xmlns:r="http://schemas.openxmlformats.org/officeDocument/2006/relationships" ref="F483" r:id="rId478"/>
    <hyperlink xmlns:r="http://schemas.openxmlformats.org/officeDocument/2006/relationships" ref="F484" r:id="rId479"/>
    <hyperlink xmlns:r="http://schemas.openxmlformats.org/officeDocument/2006/relationships" ref="F485" r:id="rId480"/>
    <hyperlink xmlns:r="http://schemas.openxmlformats.org/officeDocument/2006/relationships" ref="F486" r:id="rId481"/>
    <hyperlink xmlns:r="http://schemas.openxmlformats.org/officeDocument/2006/relationships" ref="F487" r:id="rId482"/>
    <hyperlink xmlns:r="http://schemas.openxmlformats.org/officeDocument/2006/relationships" ref="F488" r:id="rId483"/>
    <hyperlink xmlns:r="http://schemas.openxmlformats.org/officeDocument/2006/relationships" ref="F489" r:id="rId484"/>
    <hyperlink xmlns:r="http://schemas.openxmlformats.org/officeDocument/2006/relationships" ref="F490" r:id="rId485"/>
    <hyperlink xmlns:r="http://schemas.openxmlformats.org/officeDocument/2006/relationships" ref="F491" r:id="rId486"/>
    <hyperlink xmlns:r="http://schemas.openxmlformats.org/officeDocument/2006/relationships" ref="F492" r:id="rId487"/>
    <hyperlink xmlns:r="http://schemas.openxmlformats.org/officeDocument/2006/relationships" ref="F493" r:id="rId488"/>
    <hyperlink xmlns:r="http://schemas.openxmlformats.org/officeDocument/2006/relationships" ref="F494" r:id="rId489"/>
    <hyperlink xmlns:r="http://schemas.openxmlformats.org/officeDocument/2006/relationships" ref="F495" r:id="rId490"/>
    <hyperlink xmlns:r="http://schemas.openxmlformats.org/officeDocument/2006/relationships" ref="F496" r:id="rId491"/>
    <hyperlink xmlns:r="http://schemas.openxmlformats.org/officeDocument/2006/relationships" ref="F497" r:id="rId492"/>
    <hyperlink xmlns:r="http://schemas.openxmlformats.org/officeDocument/2006/relationships" ref="F498" r:id="rId493"/>
    <hyperlink xmlns:r="http://schemas.openxmlformats.org/officeDocument/2006/relationships" ref="F499" r:id="rId494"/>
    <hyperlink xmlns:r="http://schemas.openxmlformats.org/officeDocument/2006/relationships" ref="F500" r:id="rId495"/>
    <hyperlink xmlns:r="http://schemas.openxmlformats.org/officeDocument/2006/relationships" ref="F501" r:id="rId496"/>
    <hyperlink xmlns:r="http://schemas.openxmlformats.org/officeDocument/2006/relationships" ref="F502" r:id="rId497"/>
    <hyperlink xmlns:r="http://schemas.openxmlformats.org/officeDocument/2006/relationships" ref="F503" r:id="rId498"/>
    <hyperlink xmlns:r="http://schemas.openxmlformats.org/officeDocument/2006/relationships" ref="F504" r:id="rId499"/>
    <hyperlink xmlns:r="http://schemas.openxmlformats.org/officeDocument/2006/relationships" ref="F505" r:id="rId500"/>
    <hyperlink xmlns:r="http://schemas.openxmlformats.org/officeDocument/2006/relationships" ref="F506" r:id="rId501"/>
    <hyperlink xmlns:r="http://schemas.openxmlformats.org/officeDocument/2006/relationships" ref="F507" r:id="rId502"/>
    <hyperlink xmlns:r="http://schemas.openxmlformats.org/officeDocument/2006/relationships" ref="F508" r:id="rId503"/>
    <hyperlink xmlns:r="http://schemas.openxmlformats.org/officeDocument/2006/relationships" ref="F509" r:id="rId504"/>
    <hyperlink xmlns:r="http://schemas.openxmlformats.org/officeDocument/2006/relationships" ref="F510" r:id="rId505"/>
    <hyperlink xmlns:r="http://schemas.openxmlformats.org/officeDocument/2006/relationships" ref="F511" r:id="rId506"/>
    <hyperlink xmlns:r="http://schemas.openxmlformats.org/officeDocument/2006/relationships" ref="F512" r:id="rId507"/>
    <hyperlink xmlns:r="http://schemas.openxmlformats.org/officeDocument/2006/relationships" ref="F513" r:id="rId508"/>
    <hyperlink xmlns:r="http://schemas.openxmlformats.org/officeDocument/2006/relationships" ref="F514" r:id="rId509"/>
    <hyperlink xmlns:r="http://schemas.openxmlformats.org/officeDocument/2006/relationships" ref="F515" r:id="rId510"/>
    <hyperlink xmlns:r="http://schemas.openxmlformats.org/officeDocument/2006/relationships" ref="F516" r:id="rId511"/>
    <hyperlink xmlns:r="http://schemas.openxmlformats.org/officeDocument/2006/relationships" ref="F517" r:id="rId512"/>
    <hyperlink xmlns:r="http://schemas.openxmlformats.org/officeDocument/2006/relationships" ref="F518" r:id="rId513"/>
    <hyperlink xmlns:r="http://schemas.openxmlformats.org/officeDocument/2006/relationships" ref="F519" r:id="rId514"/>
    <hyperlink xmlns:r="http://schemas.openxmlformats.org/officeDocument/2006/relationships" ref="F520" r:id="rId515"/>
    <hyperlink xmlns:r="http://schemas.openxmlformats.org/officeDocument/2006/relationships" ref="F521" r:id="rId516"/>
    <hyperlink xmlns:r="http://schemas.openxmlformats.org/officeDocument/2006/relationships" ref="F522" r:id="rId517"/>
    <hyperlink xmlns:r="http://schemas.openxmlformats.org/officeDocument/2006/relationships" ref="F523" r:id="rId518"/>
    <hyperlink xmlns:r="http://schemas.openxmlformats.org/officeDocument/2006/relationships" ref="F524" r:id="rId519"/>
    <hyperlink xmlns:r="http://schemas.openxmlformats.org/officeDocument/2006/relationships" ref="F525" r:id="rId520"/>
    <hyperlink xmlns:r="http://schemas.openxmlformats.org/officeDocument/2006/relationships" ref="F526" r:id="rId521"/>
    <hyperlink xmlns:r="http://schemas.openxmlformats.org/officeDocument/2006/relationships" ref="F527" r:id="rId522"/>
    <hyperlink xmlns:r="http://schemas.openxmlformats.org/officeDocument/2006/relationships" ref="F528" r:id="rId523"/>
    <hyperlink xmlns:r="http://schemas.openxmlformats.org/officeDocument/2006/relationships" ref="F529" r:id="rId524"/>
    <hyperlink xmlns:r="http://schemas.openxmlformats.org/officeDocument/2006/relationships" ref="F530" r:id="rId525"/>
    <hyperlink xmlns:r="http://schemas.openxmlformats.org/officeDocument/2006/relationships" ref="F531" r:id="rId526"/>
    <hyperlink xmlns:r="http://schemas.openxmlformats.org/officeDocument/2006/relationships" ref="F532" r:id="rId527"/>
    <hyperlink xmlns:r="http://schemas.openxmlformats.org/officeDocument/2006/relationships" ref="F533" r:id="rId528"/>
    <hyperlink xmlns:r="http://schemas.openxmlformats.org/officeDocument/2006/relationships" ref="F534" r:id="rId529"/>
    <hyperlink xmlns:r="http://schemas.openxmlformats.org/officeDocument/2006/relationships" ref="F535" r:id="rId530"/>
    <hyperlink xmlns:r="http://schemas.openxmlformats.org/officeDocument/2006/relationships" ref="F536" r:id="rId531"/>
    <hyperlink xmlns:r="http://schemas.openxmlformats.org/officeDocument/2006/relationships" ref="F537" r:id="rId532"/>
    <hyperlink xmlns:r="http://schemas.openxmlformats.org/officeDocument/2006/relationships" ref="F538" r:id="rId533"/>
    <hyperlink xmlns:r="http://schemas.openxmlformats.org/officeDocument/2006/relationships" ref="F539" r:id="rId534"/>
    <hyperlink xmlns:r="http://schemas.openxmlformats.org/officeDocument/2006/relationships" ref="F540" r:id="rId535"/>
    <hyperlink xmlns:r="http://schemas.openxmlformats.org/officeDocument/2006/relationships" ref="F541" r:id="rId536"/>
    <hyperlink xmlns:r="http://schemas.openxmlformats.org/officeDocument/2006/relationships" ref="F542" r:id="rId537"/>
    <hyperlink xmlns:r="http://schemas.openxmlformats.org/officeDocument/2006/relationships" ref="F543" r:id="rId538"/>
    <hyperlink xmlns:r="http://schemas.openxmlformats.org/officeDocument/2006/relationships" ref="F544" r:id="rId539"/>
    <hyperlink xmlns:r="http://schemas.openxmlformats.org/officeDocument/2006/relationships" ref="F545" r:id="rId540"/>
    <hyperlink xmlns:r="http://schemas.openxmlformats.org/officeDocument/2006/relationships" ref="F546" r:id="rId541"/>
    <hyperlink xmlns:r="http://schemas.openxmlformats.org/officeDocument/2006/relationships" ref="F547" r:id="rId542"/>
    <hyperlink xmlns:r="http://schemas.openxmlformats.org/officeDocument/2006/relationships" ref="F548" r:id="rId543"/>
    <hyperlink xmlns:r="http://schemas.openxmlformats.org/officeDocument/2006/relationships" ref="F549" r:id="rId544"/>
    <hyperlink xmlns:r="http://schemas.openxmlformats.org/officeDocument/2006/relationships" ref="F550" r:id="rId545"/>
    <hyperlink xmlns:r="http://schemas.openxmlformats.org/officeDocument/2006/relationships" ref="F551" r:id="rId546"/>
    <hyperlink xmlns:r="http://schemas.openxmlformats.org/officeDocument/2006/relationships" ref="F552" r:id="rId547"/>
    <hyperlink xmlns:r="http://schemas.openxmlformats.org/officeDocument/2006/relationships" ref="F553" r:id="rId548"/>
    <hyperlink xmlns:r="http://schemas.openxmlformats.org/officeDocument/2006/relationships" ref="F554" r:id="rId549"/>
    <hyperlink xmlns:r="http://schemas.openxmlformats.org/officeDocument/2006/relationships" ref="F555" r:id="rId550"/>
    <hyperlink xmlns:r="http://schemas.openxmlformats.org/officeDocument/2006/relationships" ref="F556" r:id="rId551"/>
    <hyperlink xmlns:r="http://schemas.openxmlformats.org/officeDocument/2006/relationships" ref="F557" r:id="rId552"/>
    <hyperlink xmlns:r="http://schemas.openxmlformats.org/officeDocument/2006/relationships" ref="F558" r:id="rId553"/>
    <hyperlink xmlns:r="http://schemas.openxmlformats.org/officeDocument/2006/relationships" ref="F559" r:id="rId554"/>
    <hyperlink xmlns:r="http://schemas.openxmlformats.org/officeDocument/2006/relationships" ref="F560" r:id="rId555"/>
    <hyperlink xmlns:r="http://schemas.openxmlformats.org/officeDocument/2006/relationships" ref="F561" r:id="rId556"/>
  </hyperlinks>
  <pageMargins left="0.75" right="0.75" top="1" bottom="1" header="0.5" footer="0.5"/>
  <tableParts count="1">
    <tablePart xmlns:r="http://schemas.openxmlformats.org/officeDocument/2006/relationships" r:id="rId557"/>
  </tableParts>
</worksheet>
</file>

<file path=xl/worksheets/sheet27.xml><?xml version="1.0" encoding="utf-8"?>
<worksheet xmlns="http://schemas.openxmlformats.org/spreadsheetml/2006/main">
  <sheetPr>
    <outlinePr summaryBelow="1" summaryRight="1"/>
    <pageSetUpPr/>
  </sheetPr>
  <dimension ref="A1:D67"/>
  <sheetViews>
    <sheetView workbookViewId="0">
      <selection activeCell="A1" sqref="A1"/>
    </sheetView>
  </sheetViews>
  <sheetFormatPr baseColWidth="8" defaultRowHeight="15"/>
  <cols>
    <col width="28" customWidth="1" style="1439" min="1" max="1"/>
    <col width="45" customWidth="1" style="1439" min="2" max="2"/>
    <col width="20" customWidth="1" style="1439" min="3" max="3"/>
    <col width="18" customWidth="1" style="1439" min="4" max="4"/>
  </cols>
  <sheetData>
    <row r="1" ht="26" customHeight="1" s="1439">
      <c r="A1" s="2307" t="inlineStr">
        <is>
          <t>WORD EXPORT PREP  —  All narrative fields in one place</t>
        </is>
      </c>
    </row>
    <row r="2">
      <c r="A2" s="2287" t="inlineStr">
        <is>
          <t>Field</t>
        </is>
      </c>
      <c r="B2" s="2287" t="inlineStr">
        <is>
          <t>Value (copy to Word)</t>
        </is>
      </c>
      <c r="C2" s="2287" t="inlineStr">
        <is>
          <t>Source</t>
        </is>
      </c>
      <c r="D2" s="2287" t="inlineStr">
        <is>
          <t>Notes</t>
        </is>
      </c>
    </row>
    <row r="3" ht="18" customHeight="1" s="1439">
      <c r="A3" s="2308" t="inlineStr">
        <is>
          <t>SUBJECT PROPERTY IDENTIFICATION</t>
        </is>
      </c>
    </row>
    <row r="4" ht="18" customHeight="1" s="1439">
      <c r="A4" s="2282" t="inlineStr">
        <is>
          <t>Appraisal Date</t>
        </is>
      </c>
      <c r="B4" s="2309">
        <f>'Property Info'!B2</f>
        <v/>
      </c>
      <c r="C4" s="2310" t="inlineStr">
        <is>
          <t>Property Info B2</t>
        </is>
      </c>
    </row>
    <row r="5" ht="18" customHeight="1" s="1439">
      <c r="A5" s="2282" t="inlineStr">
        <is>
          <t>Property Address</t>
        </is>
      </c>
      <c r="B5" s="2309">
        <f>'Property Info'!B4</f>
        <v/>
      </c>
      <c r="C5" s="2310" t="inlineStr">
        <is>
          <t>Property Info B4</t>
        </is>
      </c>
    </row>
    <row r="6" ht="18" customHeight="1" s="1439">
      <c r="A6" s="2282" t="inlineStr">
        <is>
          <t>City</t>
        </is>
      </c>
      <c r="B6" s="2309">
        <f>'Property Info'!B5</f>
        <v/>
      </c>
      <c r="C6" s="2310" t="inlineStr">
        <is>
          <t>Property Info B5</t>
        </is>
      </c>
    </row>
    <row r="7" ht="18" customHeight="1" s="1439">
      <c r="A7" s="2282" t="inlineStr">
        <is>
          <t>County</t>
        </is>
      </c>
      <c r="B7" s="2309">
        <f>'Property Info'!B6</f>
        <v/>
      </c>
      <c r="C7" s="2310" t="inlineStr">
        <is>
          <t>Property Info B6</t>
        </is>
      </c>
    </row>
    <row r="8" ht="18" customHeight="1" s="1439">
      <c r="A8" s="2282" t="inlineStr">
        <is>
          <t>State / Zip</t>
        </is>
      </c>
      <c r="B8" s="2309">
        <f>'Property Info'!B7</f>
        <v/>
      </c>
      <c r="C8" s="2310" t="inlineStr">
        <is>
          <t>Property Info B7</t>
        </is>
      </c>
    </row>
    <row r="9" ht="18" customHeight="1" s="1439">
      <c r="A9" s="2282" t="inlineStr">
        <is>
          <t>Parcel / Schedule #</t>
        </is>
      </c>
      <c r="B9" s="2309">
        <f>'Property Info'!B38</f>
        <v/>
      </c>
      <c r="C9" s="2310" t="inlineStr">
        <is>
          <t>Property Info B38</t>
        </is>
      </c>
    </row>
    <row r="10" ht="18" customHeight="1" s="1439">
      <c r="A10" s="2282" t="inlineStr">
        <is>
          <t>Legal Description</t>
        </is>
      </c>
      <c r="B10" s="2309">
        <f>'Property Info'!B36</f>
        <v/>
      </c>
      <c r="C10" s="2310" t="inlineStr">
        <is>
          <t>Property Info B36</t>
        </is>
      </c>
    </row>
    <row r="11" ht="18" customHeight="1" s="1439">
      <c r="A11" s="2282" t="inlineStr">
        <is>
          <t>Owner Name</t>
        </is>
      </c>
      <c r="B11" s="2309">
        <f>'Property Info'!B33</f>
        <v/>
      </c>
      <c r="C11" s="2310" t="inlineStr">
        <is>
          <t>Property Info B33</t>
        </is>
      </c>
    </row>
    <row r="13" ht="18" customHeight="1" s="1439">
      <c r="A13" s="2308" t="inlineStr">
        <is>
          <t>SITE DATA</t>
        </is>
      </c>
    </row>
    <row r="14" ht="18" customHeight="1" s="1439">
      <c r="A14" s="2282" t="inlineStr">
        <is>
          <t>Land Area (SF)</t>
        </is>
      </c>
      <c r="B14" s="2309">
        <f>TEXT('Property Info'!B11,"#,##0")&amp;" SF"</f>
        <v/>
      </c>
      <c r="C14" s="2310" t="inlineStr">
        <is>
          <t>Property Info B11</t>
        </is>
      </c>
    </row>
    <row r="15" ht="18" customHeight="1" s="1439">
      <c r="A15" s="2282" t="inlineStr">
        <is>
          <t>Land Area (Acres)</t>
        </is>
      </c>
      <c r="B15" s="2309">
        <f>TEXT('Property Info'!B12,"0.00")&amp;" AC"</f>
        <v/>
      </c>
      <c r="C15" s="2310" t="inlineStr">
        <is>
          <t>Property Info B12</t>
        </is>
      </c>
    </row>
    <row r="16" ht="18" customHeight="1" s="1439">
      <c r="A16" s="2282" t="inlineStr">
        <is>
          <t>Zoning</t>
        </is>
      </c>
      <c r="B16" s="2309">
        <f>'Property Info'!B57&amp;" — "&amp;'Property Info'!B58</f>
        <v/>
      </c>
      <c r="C16" s="2310" t="inlineStr">
        <is>
          <t>Property Info B57/B58</t>
        </is>
      </c>
    </row>
    <row r="17" ht="18" customHeight="1" s="1439">
      <c r="A17" s="2282" t="inlineStr">
        <is>
          <t>Flood Zone</t>
        </is>
      </c>
      <c r="B17" s="2309">
        <f>IF('Property Info'!B55="X","Zone X (unshaded) — not in FEMA flood hazard area","Zone "&amp;'Property Info'!B55)</f>
        <v/>
      </c>
      <c r="C17" s="2310" t="inlineStr">
        <is>
          <t>Property Info B55</t>
        </is>
      </c>
    </row>
    <row r="18" ht="18" customHeight="1" s="1439">
      <c r="A18" s="2282" t="inlineStr">
        <is>
          <t>FEMA Map Panel</t>
        </is>
      </c>
      <c r="B18" s="2309">
        <f>'Property Info'!B56</f>
        <v/>
      </c>
      <c r="C18" s="2310" t="inlineStr">
        <is>
          <t>Property Info B56</t>
        </is>
      </c>
    </row>
    <row r="20" ht="18" customHeight="1" s="1439">
      <c r="A20" s="2308" t="inlineStr">
        <is>
          <t>IMPROVEMENT DATA</t>
        </is>
      </c>
    </row>
    <row r="21" ht="18" customHeight="1" s="1439">
      <c r="A21" s="2282" t="inlineStr">
        <is>
          <t>Building Size (GBA)</t>
        </is>
      </c>
      <c r="B21" s="2309">
        <f>TEXT('Property Info'!B45,"#,##0")&amp;" SF"</f>
        <v/>
      </c>
      <c r="C21" s="2310" t="inlineStr">
        <is>
          <t>Property Info B45</t>
        </is>
      </c>
    </row>
    <row r="22" ht="18" customHeight="1" s="1439">
      <c r="A22" s="2282" t="inlineStr">
        <is>
          <t>Net Rentable Area</t>
        </is>
      </c>
      <c r="B22" s="2309">
        <f>TEXT('Property Info'!B46,"#,##0")&amp;" SF"</f>
        <v/>
      </c>
      <c r="C22" s="2310" t="inlineStr">
        <is>
          <t>Property Info B46</t>
        </is>
      </c>
    </row>
    <row r="23" ht="18" customHeight="1" s="1439">
      <c r="A23" s="2282" t="inlineStr">
        <is>
          <t>Year Built</t>
        </is>
      </c>
      <c r="B23" s="2309">
        <f>TEXT('Property Info'!B43,"0")</f>
        <v/>
      </c>
      <c r="C23" s="2310" t="inlineStr">
        <is>
          <t>Property Info B43</t>
        </is>
      </c>
    </row>
    <row r="24" ht="18" customHeight="1" s="1439">
      <c r="A24" s="2282" t="inlineStr">
        <is>
          <t>Effective Year Built</t>
        </is>
      </c>
      <c r="B24" s="2309">
        <f>TEXT('Property Info'!B44,"0")</f>
        <v/>
      </c>
      <c r="C24" s="2310" t="inlineStr">
        <is>
          <t>Property Info B44</t>
        </is>
      </c>
    </row>
    <row r="25" ht="18" customHeight="1" s="1439">
      <c r="A25" s="2282" t="inlineStr">
        <is>
          <t>Quality Class</t>
        </is>
      </c>
      <c r="B25" s="2309">
        <f>'Property Info'!B40</f>
        <v/>
      </c>
      <c r="C25" s="2310" t="inlineStr">
        <is>
          <t>Property Info B40</t>
        </is>
      </c>
    </row>
    <row r="26" ht="18" customHeight="1" s="1439">
      <c r="A26" s="2282" t="inlineStr">
        <is>
          <t>Construction Class</t>
        </is>
      </c>
      <c r="B26" s="2309">
        <f>'Property Info'!B41</f>
        <v/>
      </c>
      <c r="C26" s="2310" t="inlineStr">
        <is>
          <t>Property Info B41</t>
        </is>
      </c>
    </row>
    <row r="27" ht="18" customHeight="1" s="1439">
      <c r="A27" s="2282" t="inlineStr">
        <is>
          <t>Stories</t>
        </is>
      </c>
      <c r="B27" s="2309">
        <f>'Property Info'!B42</f>
        <v/>
      </c>
      <c r="C27" s="2310" t="inlineStr">
        <is>
          <t>Property Info B42</t>
        </is>
      </c>
    </row>
    <row r="28" ht="18" customHeight="1" s="1439">
      <c r="A28" s="2282" t="inlineStr">
        <is>
          <t>Clear Height</t>
        </is>
      </c>
      <c r="B28" s="2309">
        <f>TEXT('Property Info'!B47,"0")&amp;" ft"</f>
        <v/>
      </c>
      <c r="C28" s="2310" t="inlineStr">
        <is>
          <t>Property Info B47</t>
        </is>
      </c>
    </row>
    <row r="29" ht="18" customHeight="1" s="1439">
      <c r="A29" s="2282" t="inlineStr">
        <is>
          <t>Dock Doors</t>
        </is>
      </c>
      <c r="B29" s="2309">
        <f>TEXT('Property Info'!B48,"0")</f>
        <v/>
      </c>
      <c r="C29" s="2310" t="inlineStr">
        <is>
          <t>Property Info B48</t>
        </is>
      </c>
    </row>
    <row r="30" ht="18" customHeight="1" s="1439">
      <c r="A30" s="2282" t="inlineStr">
        <is>
          <t>Drive-In Doors</t>
        </is>
      </c>
      <c r="B30" s="2309">
        <f>TEXT('Property Info'!B49,"0")</f>
        <v/>
      </c>
      <c r="C30" s="2310" t="inlineStr">
        <is>
          <t>Property Info B49</t>
        </is>
      </c>
    </row>
    <row r="31" ht="18" customHeight="1" s="1439">
      <c r="A31" s="2282" t="inlineStr">
        <is>
          <t>Sprinkler System</t>
        </is>
      </c>
      <c r="B31" s="2309">
        <f>'Property Info'!B50</f>
        <v/>
      </c>
      <c r="C31" s="2310" t="inlineStr">
        <is>
          <t>Property Info B50</t>
        </is>
      </c>
    </row>
    <row r="32" ht="18" customHeight="1" s="1439">
      <c r="A32" s="2282" t="inlineStr">
        <is>
          <t>HVAC</t>
        </is>
      </c>
      <c r="B32" s="2309">
        <f>'Property Info'!B51</f>
        <v/>
      </c>
      <c r="C32" s="2310" t="inlineStr">
        <is>
          <t>Property Info B51</t>
        </is>
      </c>
    </row>
    <row r="33" ht="18" customHeight="1" s="1439">
      <c r="A33" s="2282" t="inlineStr">
        <is>
          <t>Parking</t>
        </is>
      </c>
      <c r="B33" s="2309">
        <f>TEXT('Property Info'!B52,"0")&amp;" spaces"</f>
        <v/>
      </c>
      <c r="C33" s="2310" t="inlineStr">
        <is>
          <t>Property Info B52</t>
        </is>
      </c>
    </row>
    <row r="34" ht="18" customHeight="1" s="1439">
      <c r="A34" s="2282" t="inlineStr">
        <is>
          <t>Condition</t>
        </is>
      </c>
      <c r="B34" s="2309">
        <f>'Property Info'!B53</f>
        <v/>
      </c>
      <c r="C34" s="2310" t="inlineStr">
        <is>
          <t>Property Info B53</t>
        </is>
      </c>
    </row>
    <row r="36" ht="18" customHeight="1" s="1439">
      <c r="A36" s="2308" t="inlineStr">
        <is>
          <t>ASSESSED VALUES</t>
        </is>
      </c>
    </row>
    <row r="37" ht="18" customHeight="1" s="1439">
      <c r="A37" s="2282" t="inlineStr">
        <is>
          <t>Land Assessed Value</t>
        </is>
      </c>
      <c r="B37" s="2309">
        <f>TEXT('Property Info'!B60,"$#,##0")</f>
        <v/>
      </c>
      <c r="C37" s="2310" t="inlineStr">
        <is>
          <t>Property Info B60</t>
        </is>
      </c>
    </row>
    <row r="38" ht="18" customHeight="1" s="1439">
      <c r="A38" s="2282" t="inlineStr">
        <is>
          <t>Building Assessed Value</t>
        </is>
      </c>
      <c r="B38" s="2309">
        <f>TEXT('Property Info'!B61,"$#,##0")</f>
        <v/>
      </c>
      <c r="C38" s="2310" t="inlineStr">
        <is>
          <t>Property Info B61</t>
        </is>
      </c>
    </row>
    <row r="39" ht="18" customHeight="1" s="1439">
      <c r="A39" s="2282" t="inlineStr">
        <is>
          <t>Total Assessed Value</t>
        </is>
      </c>
      <c r="B39" s="2309">
        <f>TEXT('Property Info'!B62,"$#,##0")</f>
        <v/>
      </c>
      <c r="C39" s="2310" t="inlineStr">
        <is>
          <t>Property Info B62</t>
        </is>
      </c>
    </row>
    <row r="40" ht="18" customHeight="1" s="1439">
      <c r="A40" s="2282" t="inlineStr">
        <is>
          <t>Prior Year Total AV</t>
        </is>
      </c>
      <c r="B40" s="2309">
        <f>TEXT('Property Info'!B63,"$#,##0")</f>
        <v/>
      </c>
      <c r="C40" s="2310" t="inlineStr">
        <is>
          <t>Property Info B63</t>
        </is>
      </c>
    </row>
    <row r="41" ht="18" customHeight="1" s="1439">
      <c r="A41" s="2282" t="inlineStr">
        <is>
          <t>Tax Rate (mill levy)</t>
        </is>
      </c>
      <c r="B41" s="2309">
        <f>TEXT('Property Info'!B64,"0.000")&amp;" mills"</f>
        <v/>
      </c>
      <c r="C41" s="2310" t="inlineStr">
        <is>
          <t>Property Info B64</t>
        </is>
      </c>
    </row>
    <row r="42" ht="18" customHeight="1" s="1439">
      <c r="A42" s="2282" t="inlineStr">
        <is>
          <t>Annual Taxes</t>
        </is>
      </c>
      <c r="B42" s="2309">
        <f>TEXT('Property Info'!B65,"$#,##0")</f>
        <v/>
      </c>
      <c r="C42" s="2310" t="inlineStr">
        <is>
          <t>Property Info B65</t>
        </is>
      </c>
    </row>
    <row r="44" ht="18" customHeight="1" s="1439">
      <c r="A44" s="2308" t="inlineStr">
        <is>
          <t>VALUE CONCLUSIONS</t>
        </is>
      </c>
    </row>
    <row r="45" ht="18" customHeight="1" s="1439">
      <c r="A45" s="2282" t="inlineStr">
        <is>
          <t>Cost Approach Value</t>
        </is>
      </c>
      <c r="B45" s="2309">
        <f>'Cost Approach'!D33</f>
        <v/>
      </c>
      <c r="C45" s="2310" t="inlineStr">
        <is>
          <t>Cost Approach D33</t>
        </is>
      </c>
    </row>
    <row r="46" ht="18" customHeight="1" s="1439">
      <c r="A46" s="2282" t="inlineStr">
        <is>
          <t>Sales Comp Value</t>
        </is>
      </c>
      <c r="B46" s="2309">
        <f>'Basic Sales Grid'!D4</f>
        <v/>
      </c>
      <c r="C46" s="2310" t="inlineStr">
        <is>
          <t>Basic Sales Grid D4</t>
        </is>
      </c>
    </row>
    <row r="47" ht="18" customHeight="1" s="1439">
      <c r="A47" s="2282" t="inlineStr">
        <is>
          <t>Income Approach Value</t>
        </is>
      </c>
      <c r="B47" s="2309">
        <f>'Income Approach'!D37</f>
        <v/>
      </c>
      <c r="C47" s="2310" t="inlineStr">
        <is>
          <t>Income Approach D37</t>
        </is>
      </c>
    </row>
    <row r="48" ht="18" customHeight="1" s="1439">
      <c r="A48" s="2282" t="inlineStr">
        <is>
          <t>Final Value Conclusion</t>
        </is>
      </c>
      <c r="B48" s="2311" t="inlineStr"/>
      <c r="C48" s="2310" t="inlineStr">
        <is>
          <t>Enter manually</t>
        </is>
      </c>
    </row>
    <row r="49" ht="18" customHeight="1" s="1439">
      <c r="A49" s="2282" t="inlineStr">
        <is>
          <t>Effective Date</t>
        </is>
      </c>
      <c r="B49" s="2309">
        <f>'Property Info'!B2</f>
        <v/>
      </c>
      <c r="C49" s="2310" t="inlineStr">
        <is>
          <t>Property Info B2</t>
        </is>
      </c>
    </row>
    <row r="51" ht="18" customHeight="1" s="1439">
      <c r="A51" s="2308" t="inlineStr">
        <is>
          <t>H&amp;BU NARRATIVE (AS VACANT)</t>
        </is>
      </c>
    </row>
    <row r="52" ht="18" customHeight="1" s="1439">
      <c r="A52" s="2282" t="inlineStr">
        <is>
          <t>Physically Possible</t>
        </is>
      </c>
      <c r="B52" s="2309">
        <f>'H&amp;BU'!F4</f>
        <v/>
      </c>
      <c r="C52" s="2310" t="inlineStr">
        <is>
          <t>H&amp;BU F4</t>
        </is>
      </c>
    </row>
    <row r="53" ht="18" customHeight="1" s="1439">
      <c r="A53" s="2282" t="inlineStr">
        <is>
          <t>Legally Permissible</t>
        </is>
      </c>
      <c r="B53" s="2309">
        <f>'H&amp;BU'!F5</f>
        <v/>
      </c>
      <c r="C53" s="2310" t="inlineStr">
        <is>
          <t>H&amp;BU F5</t>
        </is>
      </c>
    </row>
    <row r="54" ht="18" customHeight="1" s="1439">
      <c r="A54" s="2282" t="inlineStr">
        <is>
          <t>Financially Feasible</t>
        </is>
      </c>
      <c r="B54" s="2309">
        <f>'H&amp;BU'!F6</f>
        <v/>
      </c>
      <c r="C54" s="2310" t="inlineStr">
        <is>
          <t>H&amp;BU F6</t>
        </is>
      </c>
    </row>
    <row r="55" ht="18" customHeight="1" s="1439">
      <c r="A55" s="2282" t="inlineStr">
        <is>
          <t>Maximally Productive</t>
        </is>
      </c>
      <c r="B55" s="2309">
        <f>'H&amp;BU'!F7</f>
        <v/>
      </c>
      <c r="C55" s="2310" t="inlineStr">
        <is>
          <t>H&amp;BU F7</t>
        </is>
      </c>
    </row>
    <row r="57" ht="18" customHeight="1" s="1439">
      <c r="A57" s="2308" t="inlineStr">
        <is>
          <t>H&amp;BU NARRATIVE (AS IMPROVED)</t>
        </is>
      </c>
    </row>
    <row r="58" ht="18" customHeight="1" s="1439">
      <c r="A58" s="2282" t="inlineStr">
        <is>
          <t>Physically Possible</t>
        </is>
      </c>
      <c r="B58" s="2309">
        <f>'H&amp;BU'!F12</f>
        <v/>
      </c>
      <c r="C58" s="2310" t="inlineStr">
        <is>
          <t>H&amp;BU F12</t>
        </is>
      </c>
    </row>
    <row r="59" ht="18" customHeight="1" s="1439">
      <c r="A59" s="2282" t="inlineStr">
        <is>
          <t>Legally Permissible</t>
        </is>
      </c>
      <c r="B59" s="2309">
        <f>'H&amp;BU'!F13</f>
        <v/>
      </c>
      <c r="C59" s="2310" t="inlineStr">
        <is>
          <t>H&amp;BU F13</t>
        </is>
      </c>
    </row>
    <row r="60" ht="18" customHeight="1" s="1439">
      <c r="A60" s="2282" t="inlineStr">
        <is>
          <t>Financially Feasible</t>
        </is>
      </c>
      <c r="B60" s="2309">
        <f>'H&amp;BU'!F14</f>
        <v/>
      </c>
      <c r="C60" s="2310" t="inlineStr">
        <is>
          <t>H&amp;BU F14</t>
        </is>
      </c>
    </row>
    <row r="61" ht="18" customHeight="1" s="1439">
      <c r="A61" s="2282" t="inlineStr">
        <is>
          <t>Maximally Productive</t>
        </is>
      </c>
      <c r="B61" s="2309">
        <f>'H&amp;BU'!F15</f>
        <v/>
      </c>
      <c r="C61" s="2310" t="inlineStr">
        <is>
          <t>H&amp;BU F15</t>
        </is>
      </c>
    </row>
    <row r="63" ht="18" customHeight="1" s="1439">
      <c r="A63" s="2308" t="inlineStr">
        <is>
          <t>APPRAISER INFO</t>
        </is>
      </c>
    </row>
    <row r="64" ht="18" customHeight="1" s="1439">
      <c r="A64" s="2282" t="inlineStr">
        <is>
          <t>Appraiser Name</t>
        </is>
      </c>
      <c r="B64" s="2311" t="inlineStr"/>
      <c r="C64" s="2310" t="inlineStr">
        <is>
          <t>Enter manually</t>
        </is>
      </c>
    </row>
    <row r="65" ht="18" customHeight="1" s="1439">
      <c r="A65" s="2282" t="inlineStr">
        <is>
          <t>Appraiser Certification</t>
        </is>
      </c>
      <c r="B65" s="2311" t="inlineStr"/>
      <c r="C65" s="2310" t="inlineStr">
        <is>
          <t>Enter manually</t>
        </is>
      </c>
    </row>
    <row r="66" ht="18" customHeight="1" s="1439">
      <c r="A66" s="2282" t="inlineStr">
        <is>
          <t>Supervisor Name</t>
        </is>
      </c>
      <c r="B66" s="2311" t="inlineStr"/>
      <c r="C66" s="2310" t="inlineStr">
        <is>
          <t>Enter manually</t>
        </is>
      </c>
    </row>
    <row r="67" ht="18" customHeight="1" s="1439">
      <c r="A67" s="2282" t="inlineStr">
        <is>
          <t>Report Date</t>
        </is>
      </c>
      <c r="B67" s="2311" t="inlineStr"/>
      <c r="C67" s="2310" t="inlineStr">
        <is>
          <t>Enter manually</t>
        </is>
      </c>
    </row>
  </sheetData>
  <mergeCells count="9">
    <mergeCell ref="A1:D1"/>
    <mergeCell ref="A3:D3"/>
    <mergeCell ref="A20:D20"/>
    <mergeCell ref="A57:D57"/>
    <mergeCell ref="A51:D51"/>
    <mergeCell ref="A36:D36"/>
    <mergeCell ref="A63:D63"/>
    <mergeCell ref="A13:D13"/>
    <mergeCell ref="A44:D44"/>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Stephen Craig</dc:creator>
  <dcterms:created xsi:type="dcterms:W3CDTF">2018-01-24T22:43:46Z</dcterms:created>
  <dcterms:modified xsi:type="dcterms:W3CDTF">2026-06-07T17:52:15Z</dcterms:modified>
  <cp:lastModifiedBy>Shaquille Carter</cp:lastModifiedBy>
  <cp:lastPrinted>2023-05-11T22:25:51Z</cp:lastPrinted>
</cp:coreProperties>
</file>

<file path=docProps/custom.xml><?xml version="1.0" encoding="utf-8"?>
<Properties xmlns:vt="http://schemas.openxmlformats.org/officeDocument/2006/docPropsVTypes" xmlns="http://schemas.openxmlformats.org/officeDocument/2006/custom-properties">
  <property name="Class_List_2" linkTarget="Prop_Class_List_2" fmtid="{D5CDD505-2E9C-101B-9397-08002B2CF9AE}" pid="2">
    <vt:lpwstr/>
  </property>
  <property name="Class_Value_2" linkTarget="Prop_Class_Value_2" fmtid="{D5CDD505-2E9C-101B-9397-08002B2CF9AE}" pid="3">
    <vt:lpwstr/>
  </property>
  <property name="Type_List" linkTarget="Prop_Type_List" fmtid="{D5CDD505-2E9C-101B-9397-08002B2CF9AE}" pid="4">
    <vt:lpwstr/>
  </property>
  <property name="Type_Value" linkTarget="Prop_Type_Value" fmtid="{D5CDD505-2E9C-101B-9397-08002B2CF9AE}" pid="5">
    <vt:lpwstr/>
  </property>
  <property name="Type_Value_List" linkTarget="Prop_Type_Value_List" fmtid="{D5CDD505-2E9C-101B-9397-08002B2CF9AE}" pid="6">
    <vt:lpwstr/>
  </property>
</Properties>
</file>